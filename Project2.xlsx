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5B14DEB-00FC-4338-BBED-2B1579D427F9}" xr6:coauthVersionLast="47" xr6:coauthVersionMax="47" xr10:uidLastSave="{00000000-0000-0000-0000-000000000000}"/>
  <bookViews>
    <workbookView xWindow="-108" yWindow="-108" windowWidth="23256" windowHeight="12456" firstSheet="1" activeTab="5" xr2:uid="{1D9AA4AC-D50E-4849-8EAC-5640D70212AB}"/>
  </bookViews>
  <sheets>
    <sheet name="Biotech_funding-1" sheetId="10" r:id="rId1"/>
    <sheet name="Clinical_trails-1" sheetId="18" r:id="rId2"/>
    <sheet name="disease_burden-1" sheetId="12" r:id="rId3"/>
    <sheet name="drug_approvals-1" sheetId="14" r:id="rId4"/>
    <sheet name="pharma_companies_financials-1" sheetId="13" r:id="rId5"/>
    <sheet name="Data_Profiling" sheetId="16" r:id="rId6"/>
  </sheets>
  <definedNames>
    <definedName name="ExternalData_1" localSheetId="0" hidden="1">'Biotech_funding-1'!$A$1:$H$1209</definedName>
    <definedName name="ExternalData_1" localSheetId="1" hidden="1">'Clinical_trails-1'!$A$1:$K$600</definedName>
    <definedName name="ExternalData_1" localSheetId="2" hidden="1">'disease_burden-1'!$A$1:$E$3311</definedName>
    <definedName name="ExternalData_1" localSheetId="4" hidden="1">'pharma_companies_financials-1'!$A$1:$J$490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6" l="1"/>
  <c r="J2" i="14" a="1"/>
  <c r="J3" i="14" a="1"/>
  <c r="J4" i="14" a="1"/>
  <c r="J5" i="14" a="1"/>
  <c r="J6" i="14" a="1"/>
  <c r="J7" i="14" a="1"/>
  <c r="J8" i="14" a="1"/>
  <c r="J9" i="14" a="1"/>
  <c r="J10" i="14" a="1"/>
  <c r="J11" i="14" a="1"/>
  <c r="J12" i="14" a="1"/>
  <c r="J13" i="14" a="1"/>
  <c r="J14" i="14" a="1"/>
  <c r="J15" i="14" a="1"/>
  <c r="J16" i="14" a="1"/>
  <c r="J17" i="14" a="1"/>
  <c r="J18" i="14" a="1"/>
  <c r="J19" i="14" a="1"/>
  <c r="J20" i="14" a="1"/>
  <c r="J21" i="14" a="1"/>
  <c r="J22" i="14" a="1"/>
  <c r="J23" i="14" a="1"/>
  <c r="J24" i="14" a="1"/>
  <c r="J25" i="14" a="1"/>
  <c r="J26" i="14" a="1"/>
  <c r="J27" i="14" a="1"/>
  <c r="J28" i="14" a="1"/>
  <c r="J29" i="14" a="1"/>
  <c r="J30" i="14" a="1"/>
  <c r="J31" i="14" a="1"/>
  <c r="J32" i="14" a="1"/>
  <c r="J33" i="14" a="1"/>
  <c r="J34" i="14" a="1"/>
  <c r="J35" i="14" a="1"/>
  <c r="J36" i="14" a="1"/>
  <c r="J37" i="14" a="1"/>
  <c r="J38" i="14" a="1"/>
  <c r="J39" i="14" a="1"/>
  <c r="J40" i="14" a="1"/>
  <c r="J41" i="14" a="1"/>
  <c r="J42" i="14" a="1"/>
  <c r="J43" i="14" a="1"/>
  <c r="J44" i="14" a="1"/>
  <c r="J45" i="14" a="1"/>
  <c r="J46" i="14" a="1"/>
  <c r="J47" i="14" a="1"/>
  <c r="J48" i="14" a="1"/>
  <c r="J49" i="14" a="1"/>
  <c r="J50" i="14" a="1"/>
  <c r="J51" i="14" a="1"/>
  <c r="J52" i="14" a="1"/>
  <c r="J53" i="14" a="1"/>
  <c r="J54" i="14" a="1"/>
  <c r="J55" i="14" a="1"/>
  <c r="J56" i="14" a="1"/>
  <c r="J57" i="14" a="1"/>
  <c r="J58" i="14" a="1"/>
  <c r="J59" i="14" a="1"/>
  <c r="J60" i="14" a="1"/>
  <c r="J61" i="14" a="1"/>
  <c r="J62" i="14" a="1"/>
  <c r="J63" i="14" a="1"/>
  <c r="J64" i="14" a="1"/>
  <c r="J65" i="14" a="1"/>
  <c r="J66" i="14" a="1"/>
  <c r="J67" i="14" a="1"/>
  <c r="J68" i="14" a="1"/>
  <c r="J69" i="14" a="1"/>
  <c r="J70" i="14" a="1"/>
  <c r="J71" i="14" a="1"/>
  <c r="J72" i="14" a="1"/>
  <c r="J73" i="14" a="1"/>
  <c r="J74" i="14" a="1"/>
  <c r="J75" i="14" a="1"/>
  <c r="J76" i="14" a="1"/>
  <c r="J77" i="14" a="1"/>
  <c r="J78" i="14" a="1"/>
  <c r="J79" i="14" a="1"/>
  <c r="J80" i="14" a="1"/>
  <c r="J81" i="14" a="1"/>
  <c r="J82" i="14" a="1"/>
  <c r="J83" i="14" a="1"/>
  <c r="J84" i="14" a="1"/>
  <c r="J85" i="14" a="1"/>
  <c r="J86" i="14" a="1"/>
  <c r="J87" i="14" a="1"/>
  <c r="J88" i="14" a="1"/>
  <c r="J89" i="14" a="1"/>
  <c r="J90" i="14" a="1"/>
  <c r="J91" i="14" a="1"/>
  <c r="J92" i="14" a="1"/>
  <c r="J93" i="14" a="1"/>
  <c r="J94" i="14" a="1"/>
  <c r="J95" i="14" a="1"/>
  <c r="J96" i="14" a="1"/>
  <c r="J97" i="14" a="1"/>
  <c r="J98" i="14" a="1"/>
  <c r="J99" i="14" a="1"/>
  <c r="J100" i="14" a="1"/>
  <c r="J101" i="14" a="1"/>
  <c r="J102" i="14" a="1"/>
  <c r="J103" i="14" a="1"/>
  <c r="J104" i="14" a="1"/>
  <c r="J105" i="14" a="1"/>
  <c r="J106" i="14" a="1"/>
  <c r="J107" i="14" a="1"/>
  <c r="J108" i="14" a="1"/>
  <c r="J109" i="14" a="1"/>
  <c r="J110" i="14" a="1"/>
  <c r="J111" i="14" a="1"/>
  <c r="J112" i="14" a="1"/>
  <c r="J113" i="14" a="1"/>
  <c r="J114" i="14" a="1"/>
  <c r="J115" i="14" a="1"/>
  <c r="J116" i="14" a="1"/>
  <c r="J117" i="14" a="1"/>
  <c r="J118" i="14" a="1"/>
  <c r="J119" i="14" a="1"/>
  <c r="J120" i="14" a="1"/>
  <c r="J121" i="14" a="1"/>
  <c r="J122" i="14" a="1"/>
  <c r="J123" i="14" a="1"/>
  <c r="J124" i="14" a="1"/>
  <c r="J125" i="14" a="1"/>
  <c r="J126" i="14" a="1"/>
  <c r="J127" i="14" a="1"/>
  <c r="J128" i="14" a="1"/>
  <c r="J129" i="14" a="1"/>
  <c r="J130" i="14" a="1"/>
  <c r="J131" i="14" a="1"/>
  <c r="J132" i="14" a="1"/>
  <c r="J133" i="14" a="1"/>
  <c r="J134" i="14" a="1"/>
  <c r="J135" i="14" a="1"/>
  <c r="J136" i="14" a="1"/>
  <c r="J137" i="14" a="1"/>
  <c r="J138" i="14" a="1"/>
  <c r="J139" i="14" a="1"/>
  <c r="J140" i="14" a="1"/>
  <c r="J141" i="14" a="1"/>
  <c r="J142" i="14" a="1"/>
  <c r="J143" i="14" a="1"/>
  <c r="J144" i="14" a="1"/>
  <c r="J145" i="14" a="1"/>
  <c r="J146" i="14" a="1"/>
  <c r="J147" i="14" a="1"/>
  <c r="J148" i="14" a="1"/>
  <c r="J149" i="14" a="1"/>
  <c r="J150" i="14" a="1"/>
  <c r="J151" i="14" a="1"/>
  <c r="J152" i="14" a="1"/>
  <c r="J153" i="14" a="1"/>
  <c r="J154" i="14" a="1"/>
  <c r="J155" i="14" a="1"/>
  <c r="J156" i="14" a="1"/>
  <c r="J157" i="14" a="1"/>
  <c r="J158" i="14" a="1"/>
  <c r="J159" i="14" a="1"/>
  <c r="J160" i="14" a="1"/>
  <c r="J161" i="14" a="1"/>
  <c r="J162" i="14" a="1"/>
  <c r="J163" i="14" a="1"/>
  <c r="J164" i="14" a="1"/>
  <c r="J165" i="14" a="1"/>
  <c r="J166" i="14" a="1"/>
  <c r="J167" i="14" a="1"/>
  <c r="J168" i="14" a="1"/>
  <c r="J169" i="14" a="1"/>
  <c r="J170" i="14" a="1"/>
  <c r="J171" i="14" a="1"/>
  <c r="J172" i="14" a="1"/>
  <c r="J173" i="14" a="1"/>
  <c r="J174" i="14" a="1"/>
  <c r="J175" i="14" a="1"/>
  <c r="J176" i="14" a="1"/>
  <c r="J177" i="14" a="1"/>
  <c r="J178" i="14" a="1"/>
  <c r="J179" i="14" a="1"/>
  <c r="J180" i="14" a="1"/>
  <c r="J181" i="14" a="1"/>
  <c r="J182" i="14" a="1"/>
  <c r="J183" i="14" a="1"/>
  <c r="J184" i="14" a="1"/>
  <c r="J185" i="14" a="1"/>
  <c r="J186" i="14" a="1"/>
  <c r="J187" i="14" a="1"/>
  <c r="J188" i="14" a="1"/>
  <c r="J189" i="14" a="1"/>
  <c r="J190" i="14" a="1"/>
  <c r="J191" i="14" a="1"/>
  <c r="J192" i="14" a="1"/>
  <c r="J193" i="14" a="1"/>
  <c r="J194" i="14" a="1"/>
  <c r="J195" i="14" a="1"/>
  <c r="J196" i="14" a="1"/>
  <c r="J197" i="14" a="1"/>
  <c r="J198" i="14" a="1"/>
  <c r="J199" i="14" a="1"/>
  <c r="J200" i="14" a="1"/>
  <c r="J201" i="14" a="1"/>
  <c r="J202" i="14" a="1"/>
  <c r="J203" i="14" a="1"/>
  <c r="J204" i="14" a="1"/>
  <c r="J205" i="14" a="1"/>
  <c r="J206" i="14" a="1"/>
  <c r="J207" i="14" a="1"/>
  <c r="J208" i="14" a="1"/>
  <c r="J209" i="14" a="1"/>
  <c r="J210" i="14" a="1"/>
  <c r="J211" i="14" a="1"/>
  <c r="J212" i="14" a="1"/>
  <c r="J213" i="14" a="1"/>
  <c r="J214" i="14" a="1"/>
  <c r="J215" i="14" a="1"/>
  <c r="J216" i="14" a="1"/>
  <c r="J217" i="14" a="1"/>
  <c r="J218" i="14" a="1"/>
  <c r="J219" i="14" a="1"/>
  <c r="J220" i="14" a="1"/>
  <c r="J221" i="14" a="1"/>
  <c r="J222" i="14" a="1"/>
  <c r="J223" i="14" a="1"/>
  <c r="J224" i="14" a="1"/>
  <c r="J225" i="14" a="1"/>
  <c r="J226" i="14" a="1"/>
  <c r="J227" i="14" a="1"/>
  <c r="J228" i="14" a="1"/>
  <c r="J229" i="14" a="1"/>
  <c r="J230" i="14" a="1"/>
  <c r="J231" i="14" a="1"/>
  <c r="J232" i="14" a="1"/>
  <c r="J233" i="14" a="1"/>
  <c r="J234" i="14" a="1"/>
  <c r="J235" i="14" a="1"/>
  <c r="J236" i="14" a="1"/>
  <c r="J237" i="14" a="1"/>
  <c r="J238" i="14" a="1"/>
  <c r="J239" i="14" a="1"/>
  <c r="J240" i="14" a="1"/>
  <c r="J241" i="14" a="1"/>
  <c r="J242" i="14" a="1"/>
  <c r="J243" i="14" a="1"/>
  <c r="J244" i="14" a="1"/>
  <c r="J245" i="14" a="1"/>
  <c r="J246" i="14" a="1"/>
  <c r="J247" i="14" a="1"/>
  <c r="J248" i="14" a="1"/>
  <c r="J249" i="14" a="1"/>
  <c r="J250" i="14" a="1"/>
  <c r="J251" i="14" a="1"/>
  <c r="J252" i="14" a="1"/>
  <c r="J253" i="14" a="1"/>
  <c r="J254" i="14" a="1"/>
  <c r="J255" i="14" a="1"/>
  <c r="J256" i="14" a="1"/>
  <c r="J257" i="14" a="1"/>
  <c r="J258" i="14" a="1"/>
  <c r="J259" i="14" a="1"/>
  <c r="J260" i="14" a="1"/>
  <c r="J261" i="14" a="1"/>
  <c r="J262" i="14" a="1"/>
  <c r="J263" i="14" a="1"/>
  <c r="J264" i="14" a="1"/>
  <c r="J265" i="14" a="1"/>
  <c r="J266" i="14" a="1"/>
  <c r="J267" i="14" a="1"/>
  <c r="J268" i="14" a="1"/>
  <c r="J269" i="14" a="1"/>
  <c r="J270" i="14" a="1"/>
  <c r="J271" i="14" a="1"/>
  <c r="J272" i="14" a="1"/>
  <c r="J273" i="14" a="1"/>
  <c r="J274" i="14" a="1"/>
  <c r="J275" i="14" a="1"/>
  <c r="J276" i="14" a="1"/>
  <c r="J277" i="14" a="1"/>
  <c r="J278" i="14" a="1"/>
  <c r="J279" i="14" a="1"/>
  <c r="J280" i="14" a="1"/>
  <c r="J281" i="14" a="1"/>
  <c r="J282" i="14" a="1"/>
  <c r="J283" i="14" a="1"/>
  <c r="J284" i="14" a="1"/>
  <c r="J285" i="14" a="1"/>
  <c r="J286" i="14" a="1"/>
  <c r="J287" i="14" a="1"/>
  <c r="J288" i="14" a="1"/>
  <c r="J289" i="14" a="1"/>
  <c r="J290" i="14" a="1"/>
  <c r="J291" i="14" a="1"/>
  <c r="J292" i="14" a="1"/>
  <c r="J293" i="14" a="1"/>
  <c r="J294" i="14" a="1"/>
  <c r="J295" i="14" a="1"/>
  <c r="J296" i="14" a="1"/>
  <c r="J297" i="14" a="1"/>
  <c r="J298" i="14" a="1"/>
  <c r="J299" i="14" a="1"/>
  <c r="J300" i="14" a="1"/>
  <c r="J301" i="14" a="1"/>
  <c r="J302" i="14" a="1"/>
  <c r="J303" i="14" a="1"/>
  <c r="J304" i="14" a="1"/>
  <c r="J305" i="14" a="1"/>
  <c r="J306" i="14" a="1"/>
  <c r="J307" i="14" a="1"/>
  <c r="J308" i="14" a="1"/>
  <c r="J309" i="14" a="1"/>
  <c r="J310" i="14" a="1"/>
  <c r="J311" i="14" a="1"/>
  <c r="J312" i="14" a="1"/>
  <c r="J313" i="14" a="1"/>
  <c r="J314" i="14" a="1"/>
  <c r="J315" i="14" a="1"/>
  <c r="J316" i="14" a="1"/>
  <c r="J317" i="14" a="1"/>
  <c r="J318" i="14" a="1"/>
  <c r="J319" i="14" a="1"/>
  <c r="J320" i="14" a="1"/>
  <c r="J321" i="14" a="1"/>
  <c r="J322" i="14" a="1"/>
  <c r="J323" i="14" a="1"/>
  <c r="J324" i="14" a="1"/>
  <c r="J325" i="14" a="1"/>
  <c r="J326" i="14" a="1"/>
  <c r="J327" i="14" a="1"/>
  <c r="J328" i="14" a="1"/>
  <c r="J329" i="14" a="1"/>
  <c r="J330" i="14" a="1"/>
  <c r="J331" i="14" a="1"/>
  <c r="J332" i="14" a="1"/>
  <c r="J333" i="14" a="1"/>
  <c r="J334" i="14" a="1"/>
  <c r="J335" i="14" a="1"/>
  <c r="J336" i="14" a="1"/>
  <c r="J337" i="14" a="1"/>
  <c r="J338" i="14" a="1"/>
  <c r="J339" i="14" a="1"/>
  <c r="J340" i="14" a="1"/>
  <c r="J341" i="14" a="1"/>
  <c r="J342" i="14" a="1"/>
  <c r="J343" i="14" a="1"/>
  <c r="J344" i="14" a="1"/>
  <c r="J345" i="14" a="1"/>
  <c r="J346" i="14" a="1"/>
  <c r="J347" i="14" a="1"/>
  <c r="J348" i="14" a="1"/>
  <c r="J349" i="14" a="1"/>
  <c r="J350" i="14" a="1"/>
  <c r="J351" i="14" a="1"/>
  <c r="J352" i="14" a="1"/>
  <c r="J353" i="14" a="1"/>
  <c r="J354" i="14" a="1"/>
  <c r="J355" i="14" a="1"/>
  <c r="J356" i="14" a="1"/>
  <c r="J357" i="14" a="1"/>
  <c r="J358" i="14" a="1"/>
  <c r="J359" i="14" a="1"/>
  <c r="J360" i="14" a="1"/>
  <c r="J361" i="14" a="1"/>
  <c r="J362" i="14" a="1"/>
  <c r="J363" i="14" a="1"/>
  <c r="J364" i="14" a="1"/>
  <c r="J365" i="14" a="1"/>
  <c r="J366" i="14" a="1"/>
  <c r="J367" i="14" a="1"/>
  <c r="J368" i="14" a="1"/>
  <c r="J369" i="14" a="1"/>
  <c r="J370" i="14" a="1"/>
  <c r="J371" i="14" a="1"/>
  <c r="J372" i="14" a="1"/>
  <c r="J373" i="14" a="1"/>
  <c r="J374" i="14" a="1"/>
  <c r="J375" i="14" a="1"/>
  <c r="J376" i="14" a="1"/>
  <c r="J377" i="14" a="1"/>
  <c r="J378" i="14" a="1"/>
  <c r="J379" i="14" a="1"/>
  <c r="J380" i="14" a="1"/>
  <c r="J381" i="14" a="1"/>
  <c r="J382" i="14" a="1"/>
  <c r="J383" i="14" a="1"/>
  <c r="J384" i="14" a="1"/>
  <c r="J385" i="14" a="1"/>
  <c r="J386" i="14" a="1"/>
  <c r="J387" i="14" a="1"/>
  <c r="J388" i="14" a="1"/>
  <c r="J389" i="14" a="1"/>
  <c r="J390" i="14" a="1"/>
  <c r="J391" i="14" a="1"/>
  <c r="J392" i="14" a="1"/>
  <c r="J393" i="14" a="1"/>
  <c r="J394" i="14" a="1"/>
  <c r="J395" i="14" a="1"/>
  <c r="J396" i="14" a="1"/>
  <c r="J397" i="14" a="1"/>
  <c r="J398" i="14" a="1"/>
  <c r="J399" i="14" a="1"/>
  <c r="J400" i="14" a="1"/>
  <c r="J401" i="14" a="1"/>
  <c r="J402" i="14" a="1"/>
  <c r="J403" i="14" a="1"/>
  <c r="J404" i="14" a="1"/>
  <c r="J405" i="14" a="1"/>
  <c r="J406" i="14" a="1"/>
  <c r="J407" i="14" a="1"/>
  <c r="J408" i="14" a="1"/>
  <c r="J409" i="14" a="1"/>
  <c r="J410" i="14" a="1"/>
  <c r="J411" i="14" a="1"/>
  <c r="J412" i="14" a="1"/>
  <c r="J413" i="14" a="1"/>
  <c r="J414" i="14" a="1"/>
  <c r="J415" i="14" a="1"/>
  <c r="J416" i="14" a="1"/>
  <c r="J417" i="14" a="1"/>
  <c r="J418" i="14" a="1"/>
  <c r="J419" i="14" a="1"/>
  <c r="J420" i="14" a="1"/>
  <c r="J421" i="14" a="1"/>
  <c r="J422" i="14" a="1"/>
  <c r="J423" i="14" a="1"/>
  <c r="J424" i="14" a="1"/>
  <c r="J425" i="14" a="1"/>
  <c r="J426" i="14" a="1"/>
  <c r="J427" i="14" a="1"/>
  <c r="J428" i="14" a="1"/>
  <c r="J429" i="14" a="1"/>
  <c r="J430" i="14" a="1"/>
  <c r="J431" i="14" a="1"/>
  <c r="J432" i="14" a="1"/>
  <c r="J433" i="14" a="1"/>
  <c r="J434" i="14" a="1"/>
  <c r="J435" i="14" a="1"/>
  <c r="J436" i="14" a="1"/>
  <c r="J437" i="14" a="1"/>
  <c r="J438" i="14" a="1"/>
  <c r="J439" i="14" a="1"/>
  <c r="J440" i="14" a="1"/>
  <c r="J441" i="14" a="1"/>
  <c r="J442" i="14" a="1"/>
  <c r="J443" i="14" a="1"/>
  <c r="J444" i="14" a="1"/>
  <c r="J445" i="14" a="1"/>
  <c r="J446" i="14" a="1"/>
  <c r="J447" i="14" a="1"/>
  <c r="J448" i="14" a="1"/>
  <c r="J449" i="14" a="1"/>
  <c r="J450" i="14" a="1"/>
  <c r="J451" i="14" a="1"/>
  <c r="J452" i="14" a="1"/>
  <c r="J453" i="14" a="1"/>
  <c r="J454" i="14" a="1"/>
  <c r="J455" i="14" a="1"/>
  <c r="J456" i="14" a="1"/>
  <c r="J457" i="14" a="1"/>
  <c r="J458" i="14" a="1"/>
  <c r="J459" i="14" a="1"/>
  <c r="J460" i="14" a="1"/>
  <c r="J461" i="14" a="1"/>
  <c r="J462" i="14" a="1"/>
  <c r="J463" i="14" a="1"/>
  <c r="J464" i="14" a="1"/>
  <c r="J465" i="14" a="1"/>
  <c r="J466" i="14" a="1"/>
  <c r="J467" i="14" a="1"/>
  <c r="J468" i="14" a="1"/>
  <c r="J469" i="14" a="1"/>
  <c r="J470" i="14" a="1"/>
  <c r="J471" i="14" a="1"/>
  <c r="J472" i="14" a="1"/>
  <c r="J473" i="14" a="1"/>
  <c r="J474" i="14" a="1"/>
  <c r="J475" i="14" a="1"/>
  <c r="J476" i="14" a="1"/>
  <c r="J477" i="14" a="1"/>
  <c r="J478" i="14" a="1"/>
  <c r="J479" i="14" a="1"/>
  <c r="J480" i="14" a="1"/>
  <c r="J481" i="14" a="1"/>
  <c r="J482" i="14" a="1"/>
  <c r="J483" i="14" a="1"/>
  <c r="J484" i="14" a="1"/>
  <c r="J485" i="14" a="1"/>
  <c r="J486" i="14" a="1"/>
  <c r="J487" i="14" a="1"/>
  <c r="J488" i="14" a="1"/>
  <c r="J489" i="14" a="1"/>
  <c r="J490" i="14" a="1"/>
  <c r="J491" i="14" a="1"/>
  <c r="J492" i="14" a="1"/>
  <c r="J493" i="14" a="1"/>
  <c r="J494" i="14" a="1"/>
  <c r="J495" i="14" a="1"/>
  <c r="J496" i="14" a="1"/>
  <c r="J497" i="14" a="1"/>
  <c r="J498" i="14" a="1"/>
  <c r="J499" i="14" a="1"/>
  <c r="J500" i="14" a="1"/>
  <c r="J501" i="14" a="1"/>
  <c r="J502" i="14" a="1"/>
  <c r="J503" i="14" a="1"/>
  <c r="J504" i="14" a="1"/>
  <c r="J505" i="14" a="1"/>
  <c r="J506" i="14" a="1"/>
  <c r="J507" i="14" a="1"/>
  <c r="J508" i="14" a="1"/>
  <c r="J509" i="14" a="1"/>
  <c r="J510" i="14" a="1"/>
  <c r="J511" i="14" a="1"/>
  <c r="J512" i="14" a="1"/>
  <c r="J513" i="14" a="1"/>
  <c r="J514" i="14" a="1"/>
  <c r="J515" i="14" a="1"/>
  <c r="J516" i="14" a="1"/>
  <c r="J517" i="14" a="1"/>
  <c r="J518" i="14" a="1"/>
  <c r="J519" i="14" a="1"/>
  <c r="J520" i="14" a="1"/>
  <c r="J521" i="14" a="1"/>
  <c r="J522" i="14" a="1"/>
  <c r="J523" i="14" a="1"/>
  <c r="J524" i="14" a="1"/>
  <c r="J525" i="14" a="1"/>
  <c r="J526" i="14" a="1"/>
  <c r="J527" i="14" a="1"/>
  <c r="J528" i="14" a="1"/>
  <c r="J529" i="14" a="1"/>
  <c r="J530" i="14" a="1"/>
  <c r="J531" i="14" a="1"/>
  <c r="J532" i="14" a="1"/>
  <c r="J533" i="14" a="1"/>
  <c r="J534" i="14" a="1"/>
  <c r="J535" i="14" a="1"/>
  <c r="J536" i="14" a="1"/>
  <c r="J537" i="14" a="1"/>
  <c r="J538" i="14" a="1"/>
  <c r="J539" i="14" a="1"/>
  <c r="J540" i="14" a="1"/>
  <c r="J541" i="14" a="1"/>
  <c r="J542" i="14" a="1"/>
  <c r="J543" i="14" a="1"/>
  <c r="J544" i="14" a="1"/>
  <c r="J545" i="14" a="1"/>
  <c r="J546" i="14" a="1"/>
  <c r="J547" i="14" a="1"/>
  <c r="J548" i="14" a="1"/>
  <c r="J549" i="14" a="1"/>
  <c r="J550" i="14" a="1"/>
  <c r="J551" i="14" a="1"/>
  <c r="J552" i="14" a="1"/>
  <c r="J553" i="14" a="1"/>
  <c r="J554" i="14" a="1"/>
  <c r="J555" i="14" a="1"/>
  <c r="J556" i="14" a="1"/>
  <c r="J557" i="14" a="1"/>
  <c r="J558" i="14" a="1"/>
  <c r="J559" i="14" a="1"/>
  <c r="J560" i="14" a="1"/>
  <c r="J561" i="14" a="1"/>
  <c r="J562" i="14" a="1"/>
  <c r="J563" i="14" a="1"/>
  <c r="J564" i="14" a="1"/>
  <c r="J565" i="14" a="1"/>
  <c r="J566" i="14" a="1"/>
  <c r="J567" i="14" a="1"/>
  <c r="J568" i="14" a="1"/>
  <c r="J569" i="14" a="1"/>
  <c r="J570" i="14" a="1"/>
  <c r="J571" i="14" a="1"/>
  <c r="J572" i="14" a="1"/>
  <c r="J573" i="14" a="1"/>
  <c r="J574" i="14" a="1"/>
  <c r="J575" i="14" a="1"/>
  <c r="J576" i="14" a="1"/>
  <c r="J577" i="14" a="1"/>
  <c r="J578" i="14" a="1"/>
  <c r="J579" i="14" a="1"/>
  <c r="J580" i="14" a="1"/>
  <c r="J581" i="14" a="1"/>
  <c r="J582" i="14" a="1"/>
  <c r="J583" i="14" a="1"/>
  <c r="J584" i="14" a="1"/>
  <c r="J585" i="14" a="1"/>
  <c r="J586" i="14" a="1"/>
  <c r="J587" i="14" a="1"/>
  <c r="J588" i="14" a="1"/>
  <c r="J589" i="14" a="1"/>
  <c r="J590" i="14" a="1"/>
  <c r="J591" i="14" a="1"/>
  <c r="J592" i="14" a="1"/>
  <c r="J593" i="14" a="1"/>
  <c r="J594" i="14" a="1"/>
  <c r="J595" i="14" a="1"/>
  <c r="J596" i="14" a="1"/>
  <c r="J597" i="14" a="1"/>
  <c r="J598" i="14" a="1"/>
  <c r="J599" i="14" a="1"/>
  <c r="J600" i="14" a="1"/>
  <c r="J601" i="14" a="1"/>
  <c r="J602" i="14" a="1"/>
  <c r="J603" i="14" a="1"/>
  <c r="J604" i="14" a="1"/>
  <c r="J605" i="14" a="1"/>
  <c r="J606" i="14" a="1"/>
  <c r="J607" i="14" a="1"/>
  <c r="J608" i="14" a="1"/>
  <c r="J609" i="14" a="1"/>
  <c r="J610" i="14" a="1"/>
  <c r="J611" i="14" a="1"/>
  <c r="J612" i="14" a="1"/>
  <c r="J613" i="14" a="1"/>
  <c r="J614" i="14" a="1"/>
  <c r="J615" i="14" a="1"/>
  <c r="J616" i="14" a="1"/>
  <c r="J617" i="14" a="1"/>
  <c r="J618" i="14" a="1"/>
  <c r="J619" i="14" a="1"/>
  <c r="J620" i="14" a="1"/>
  <c r="J621" i="14" a="1"/>
  <c r="J622" i="14" a="1"/>
  <c r="J623" i="14" a="1"/>
  <c r="J624" i="14" a="1"/>
  <c r="J625" i="14" a="1"/>
  <c r="J626" i="14" a="1"/>
  <c r="J627" i="14" a="1"/>
  <c r="J628" i="14" a="1"/>
  <c r="J629" i="14" a="1"/>
  <c r="J630" i="14" a="1"/>
  <c r="J631" i="14" a="1"/>
  <c r="J632" i="14" a="1"/>
  <c r="J633" i="14" a="1"/>
  <c r="J634" i="14" a="1"/>
  <c r="J635" i="14" a="1"/>
  <c r="J636" i="14" a="1"/>
  <c r="J637" i="14" a="1"/>
  <c r="J638" i="14" a="1"/>
  <c r="J639" i="14" a="1"/>
  <c r="J640" i="14" a="1"/>
  <c r="J641" i="14" a="1"/>
  <c r="J642" i="14" a="1"/>
  <c r="J643" i="14" a="1"/>
  <c r="J644" i="14" a="1"/>
  <c r="J645" i="14" a="1"/>
  <c r="J646" i="14" a="1"/>
  <c r="J647" i="14" a="1"/>
  <c r="J648" i="14" a="1"/>
  <c r="J649" i="14" a="1"/>
  <c r="J650" i="14" a="1"/>
  <c r="J651" i="14" a="1"/>
  <c r="J652" i="14" a="1"/>
  <c r="J653" i="14" a="1"/>
  <c r="J654" i="14" a="1"/>
  <c r="J655" i="14" a="1"/>
  <c r="J656" i="14" a="1"/>
  <c r="J657" i="14" a="1"/>
  <c r="J658" i="14" a="1"/>
  <c r="J659" i="14" a="1"/>
  <c r="J660" i="14" a="1"/>
  <c r="J661" i="14" a="1"/>
  <c r="J662" i="14" a="1"/>
  <c r="J663" i="14" a="1"/>
  <c r="J664" i="14" a="1"/>
  <c r="J665" i="14" a="1"/>
  <c r="J666" i="14" a="1"/>
  <c r="J667" i="14" a="1"/>
  <c r="J668" i="14" a="1"/>
  <c r="J669" i="14" a="1"/>
  <c r="J670" i="14" a="1"/>
  <c r="J671" i="14" a="1"/>
  <c r="J672" i="14" a="1"/>
  <c r="J673" i="14" a="1"/>
  <c r="J674" i="14" a="1"/>
  <c r="J675" i="14" a="1"/>
  <c r="J676" i="14" a="1"/>
  <c r="J677" i="14" a="1"/>
  <c r="J678" i="14" a="1"/>
  <c r="J679" i="14" a="1"/>
  <c r="J680" i="14" a="1"/>
  <c r="J681" i="14" a="1"/>
  <c r="J682" i="14" a="1"/>
  <c r="J683" i="14" a="1"/>
  <c r="J684" i="14" a="1"/>
  <c r="J685" i="14" a="1"/>
  <c r="J686" i="14" a="1"/>
  <c r="J687" i="14" a="1"/>
  <c r="J688" i="14" a="1"/>
  <c r="J689" i="14" a="1"/>
  <c r="J690" i="14" a="1"/>
  <c r="J691" i="14" a="1"/>
  <c r="J692" i="14" a="1"/>
  <c r="J693" i="14" a="1"/>
  <c r="J694" i="14" a="1"/>
  <c r="J695" i="14" a="1"/>
  <c r="J696" i="14" a="1"/>
  <c r="J697" i="14" a="1"/>
  <c r="J698" i="14" a="1"/>
  <c r="J699" i="14" a="1"/>
  <c r="J700" i="14" a="1"/>
  <c r="J701" i="14" a="1"/>
  <c r="J702" i="14" a="1"/>
  <c r="J703" i="14" a="1"/>
  <c r="J704" i="14" a="1"/>
  <c r="J705" i="14" a="1"/>
  <c r="J706" i="14" a="1"/>
  <c r="J707" i="14" a="1"/>
  <c r="J708" i="14" a="1"/>
  <c r="J709" i="14" a="1"/>
  <c r="J710" i="14" a="1"/>
  <c r="J711" i="14" a="1"/>
  <c r="J712" i="14" a="1"/>
  <c r="J713" i="14" a="1"/>
  <c r="J714" i="14" a="1"/>
  <c r="J715" i="14" a="1"/>
  <c r="J716" i="14" a="1"/>
  <c r="J717" i="14" a="1"/>
  <c r="J718" i="14" a="1"/>
  <c r="J719" i="14" a="1"/>
  <c r="J720" i="14" a="1"/>
  <c r="J721" i="14" a="1"/>
  <c r="J722" i="14" a="1"/>
  <c r="J723" i="14" a="1"/>
  <c r="B30" i="16"/>
  <c r="B29" i="16"/>
  <c r="B6" i="16"/>
  <c r="B7" i="16"/>
  <c r="B5" i="1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B16C0E-7A4C-424C-A28E-F87A24A67AA4}" keepAlive="1" name="Query - biotech_funding" description="Connection to the 'biotech_funding' query in the workbook." type="5" refreshedVersion="8" background="1" saveData="1">
    <dbPr connection="Provider=Microsoft.Mashup.OleDb.1;Data Source=$Workbook$;Location=biotech_funding;Extended Properties=&quot;&quot;" command="SELECT * FROM [biotech_funding]"/>
  </connection>
  <connection id="2" xr16:uid="{9E3E7278-1252-4D95-855E-645CBED62579}" keepAlive="1" name="Query - biotech_funding (3)" description="Connection to the 'biotech_funding (3)' query in the workbook." type="5" refreshedVersion="8" background="1" saveData="1">
    <dbPr connection="Provider=Microsoft.Mashup.OleDb.1;Data Source=$Workbook$;Location=&quot;biotech_funding (3)&quot;;Extended Properties=&quot;&quot;" command="SELECT * FROM [biotech_funding (3)]"/>
  </connection>
  <connection id="3" xr16:uid="{20F40AB2-FFEC-4601-98F3-575C8A8C3C1B}" keepAlive="1" name="Query - clinical_trials" description="Connection to the 'clinical_trials' query in the workbook." type="5" refreshedVersion="8" background="1" saveData="1">
    <dbPr connection="Provider=Microsoft.Mashup.OleDb.1;Data Source=$Workbook$;Location=clinical_trials;Extended Properties=&quot;&quot;" command="SELECT * FROM [clinical_trials]"/>
  </connection>
  <connection id="4" xr16:uid="{6E52ACF9-90B5-4D65-8FA4-8BBE4904FFEF}" keepAlive="1" name="Query - clinical_trials (2)" description="Connection to the 'clinical_trials (2)' query in the workbook." type="5" refreshedVersion="8" background="1" saveData="1">
    <dbPr connection="Provider=Microsoft.Mashup.OleDb.1;Data Source=$Workbook$;Location=&quot;clinical_trials (2)&quot;;Extended Properties=&quot;&quot;" command="SELECT * FROM [clinical_trials (2)]"/>
  </connection>
  <connection id="5" xr16:uid="{E2DC4C76-92A6-4495-BDBE-072F1C06E832}" keepAlive="1" name="Query - disease_burden" description="Connection to the 'disease_burden' query in the workbook." type="5" refreshedVersion="8" background="1" saveData="1">
    <dbPr connection="Provider=Microsoft.Mashup.OleDb.1;Data Source=$Workbook$;Location=disease_burden;Extended Properties=&quot;&quot;" command="SELECT * FROM [disease_burden]"/>
  </connection>
  <connection id="6" xr16:uid="{43EAEA65-17AE-4D17-BF40-43CB3DEE4F1F}" keepAlive="1" name="Query - disease_burden (2)" description="Connection to the 'disease_burden (2)' query in the workbook." type="5" refreshedVersion="8" background="1" saveData="1">
    <dbPr connection="Provider=Microsoft.Mashup.OleDb.1;Data Source=$Workbook$;Location=&quot;disease_burden (2)&quot;;Extended Properties=&quot;&quot;" command="SELECT * FROM [disease_burden (2)]"/>
  </connection>
  <connection id="7" xr16:uid="{55299F38-5080-40AE-A9AD-3711ECD318E1}" keepAlive="1" name="Query - drug_approvals" description="Connection to the 'drug_approvals' query in the workbook." type="5" refreshedVersion="8" background="1" saveData="1">
    <dbPr connection="Provider=Microsoft.Mashup.OleDb.1;Data Source=$Workbook$;Location=drug_approvals;Extended Properties=&quot;&quot;" command="SELECT * FROM [drug_approvals]"/>
  </connection>
  <connection id="8" xr16:uid="{30B30B04-9519-4C2B-8593-EF287D8ADFEA}" keepAlive="1" name="Query - drug_approvals13" description="Connection to the 'drug_approvals13' query in the workbook." type="5" refreshedVersion="8" background="1" saveData="1">
    <dbPr connection="Provider=Microsoft.Mashup.OleDb.1;Data Source=$Workbook$;Location=drug_approvals13;Extended Properties=&quot;&quot;" command="SELECT * FROM [drug_approvals13]"/>
  </connection>
  <connection id="9" xr16:uid="{5E648CBF-C4E3-4302-B9B6-3DA74A750955}" keepAlive="1" name="Query - pharma_companies_financials" description="Connection to the 'pharma_companies_financials' query in the workbook." type="5" refreshedVersion="8" background="1" saveData="1">
    <dbPr connection="Provider=Microsoft.Mashup.OleDb.1;Data Source=$Workbook$;Location=pharma_companies_financials;Extended Properties=&quot;&quot;" command="SELECT * FROM [pharma_companies_financials]"/>
  </connection>
  <connection id="10" xr16:uid="{FF804332-ABB3-487F-862A-8679E1385A0F}" keepAlive="1" name="Query - pharma_companies_financials (2)" description="Connection to the 'pharma_companies_financials (2)' query in the workbook." type="5" refreshedVersion="8" background="1" saveData="1">
    <dbPr connection="Provider=Microsoft.Mashup.OleDb.1;Data Source=$Workbook$;Location=&quot;pharma_companies_financials (2)&quot;;Extended Properties=&quot;&quot;" command="SELECT * FROM [pharma_companies_financials (2)]"/>
  </connection>
  <connection id="11" xr16:uid="{7F69CF66-8ED1-400F-A1E5-83B4DB6A05D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<sst xmlns="http://schemas.openxmlformats.org/spreadsheetml/2006/main" count="25763" uniqueCount="4789">
  <si>
    <t>deal_id</t>
  </si>
  <si>
    <t>date</t>
  </si>
  <si>
    <t>year</t>
  </si>
  <si>
    <t>deal_type</t>
  </si>
  <si>
    <t>acquirer_or_investors</t>
  </si>
  <si>
    <t>value_usd_bn</t>
  </si>
  <si>
    <t>description</t>
  </si>
  <si>
    <t>D0001</t>
  </si>
  <si>
    <t>M&amp;A</t>
  </si>
  <si>
    <t>Pfizer</t>
  </si>
  <si>
    <t>Wyeth</t>
  </si>
  <si>
    <t>D0041</t>
  </si>
  <si>
    <t>Series_B</t>
  </si>
  <si>
    <t>F-Prime Capital</t>
  </si>
  <si>
    <t>D0036</t>
  </si>
  <si>
    <t>IPO</t>
  </si>
  <si>
    <t>D0045</t>
  </si>
  <si>
    <t>Roche</t>
  </si>
  <si>
    <t>D0053</t>
  </si>
  <si>
    <t>Polaris Partners</t>
  </si>
  <si>
    <t>D0046</t>
  </si>
  <si>
    <t>Crossover</t>
  </si>
  <si>
    <t>D0032</t>
  </si>
  <si>
    <t>Sanofi</t>
  </si>
  <si>
    <t>D0049</t>
  </si>
  <si>
    <t>VC</t>
  </si>
  <si>
    <t>D0028</t>
  </si>
  <si>
    <t>D0042</t>
  </si>
  <si>
    <t>D0040</t>
  </si>
  <si>
    <t>Versant Ventures</t>
  </si>
  <si>
    <t>D0052</t>
  </si>
  <si>
    <t>Amgen</t>
  </si>
  <si>
    <t>D0062</t>
  </si>
  <si>
    <t>Series_C</t>
  </si>
  <si>
    <t>Sofinnova Investments</t>
  </si>
  <si>
    <t>D0029</t>
  </si>
  <si>
    <t>Reptav X</t>
  </si>
  <si>
    <t>D0030</t>
  </si>
  <si>
    <t>GSK</t>
  </si>
  <si>
    <t>D0058</t>
  </si>
  <si>
    <t>D0060</t>
  </si>
  <si>
    <t>D0037</t>
  </si>
  <si>
    <t>BMS</t>
  </si>
  <si>
    <t>Celkym Tx</t>
  </si>
  <si>
    <t>D0056</t>
  </si>
  <si>
    <t>Flagship Pioneering</t>
  </si>
  <si>
    <t>D0043</t>
  </si>
  <si>
    <t>Atlas Venture</t>
  </si>
  <si>
    <t>D0050</t>
  </si>
  <si>
    <t>Bain Capital Life Sciences</t>
  </si>
  <si>
    <t>D0038</t>
  </si>
  <si>
    <t>Immpro Tx</t>
  </si>
  <si>
    <t>D0047</t>
  </si>
  <si>
    <t>J&amp;J</t>
  </si>
  <si>
    <t>Neumod Tx</t>
  </si>
  <si>
    <t>D0031</t>
  </si>
  <si>
    <t>Jasjas Therapeutics</t>
  </si>
  <si>
    <t>D0054</t>
  </si>
  <si>
    <t>D0061</t>
  </si>
  <si>
    <t>Jasrep Therapeutics</t>
  </si>
  <si>
    <t>D0059</t>
  </si>
  <si>
    <t>Dentav X</t>
  </si>
  <si>
    <t>D0035</t>
  </si>
  <si>
    <t>D0039</t>
  </si>
  <si>
    <t>D0044</t>
  </si>
  <si>
    <t>D0055</t>
  </si>
  <si>
    <t>D0034</t>
  </si>
  <si>
    <t>AbbVie</t>
  </si>
  <si>
    <t>Xentav X</t>
  </si>
  <si>
    <t>D0051</t>
  </si>
  <si>
    <t>D0048</t>
  </si>
  <si>
    <t>D0057</t>
  </si>
  <si>
    <t>Third Rock Ventures</t>
  </si>
  <si>
    <t>Denuni Therapeutics</t>
  </si>
  <si>
    <t>D0033</t>
  </si>
  <si>
    <t>D0102</t>
  </si>
  <si>
    <t>D0065</t>
  </si>
  <si>
    <t>D0068</t>
  </si>
  <si>
    <t>Lumrep Therapeutics</t>
  </si>
  <si>
    <t>D0101</t>
  </si>
  <si>
    <t>D0073</t>
  </si>
  <si>
    <t>Synaer Tx</t>
  </si>
  <si>
    <t>D0096</t>
  </si>
  <si>
    <t>D0078</t>
  </si>
  <si>
    <t>D0085</t>
  </si>
  <si>
    <t>Quozeo Therapeutics</t>
  </si>
  <si>
    <t>D0063</t>
  </si>
  <si>
    <t>D0084</t>
  </si>
  <si>
    <t>Immrep Therapeutics</t>
  </si>
  <si>
    <t>D0107</t>
  </si>
  <si>
    <t>Celkym X</t>
  </si>
  <si>
    <t>D0092</t>
  </si>
  <si>
    <t>D0070</t>
  </si>
  <si>
    <t>D0103</t>
  </si>
  <si>
    <t>D0106</t>
  </si>
  <si>
    <t>Repvec Therapeutics</t>
  </si>
  <si>
    <t>D0104</t>
  </si>
  <si>
    <t>Neuzeo X</t>
  </si>
  <si>
    <t>D0083</t>
  </si>
  <si>
    <t>Tavlum X</t>
  </si>
  <si>
    <t>D0099</t>
  </si>
  <si>
    <t>D0105</t>
  </si>
  <si>
    <t>D0088</t>
  </si>
  <si>
    <t>D0077</t>
  </si>
  <si>
    <t>Modrep X</t>
  </si>
  <si>
    <t>D0079</t>
  </si>
  <si>
    <t>D0100</t>
  </si>
  <si>
    <t>D0097</t>
  </si>
  <si>
    <t>D0064</t>
  </si>
  <si>
    <t>Oncneu Therapeutics</t>
  </si>
  <si>
    <t>D0090</t>
  </si>
  <si>
    <t>D0071</t>
  </si>
  <si>
    <t>D0095</t>
  </si>
  <si>
    <t>D0093</t>
  </si>
  <si>
    <t>Zeosyn Therapeutics</t>
  </si>
  <si>
    <t>D0081</t>
  </si>
  <si>
    <t>Denzeo Tx</t>
  </si>
  <si>
    <t>D0072</t>
  </si>
  <si>
    <t>D0098</t>
  </si>
  <si>
    <t>D0066</t>
  </si>
  <si>
    <t>D0094</t>
  </si>
  <si>
    <t>Vecmod Therapeutics</t>
  </si>
  <si>
    <t>D0069</t>
  </si>
  <si>
    <t>D0076</t>
  </si>
  <si>
    <t>D0089</t>
  </si>
  <si>
    <t>Novartis</t>
  </si>
  <si>
    <t>D0091</t>
  </si>
  <si>
    <t>D0082</t>
  </si>
  <si>
    <t>Aeronc Tx</t>
  </si>
  <si>
    <t>D0075</t>
  </si>
  <si>
    <t>Gilead</t>
  </si>
  <si>
    <t>D0080</t>
  </si>
  <si>
    <t>D0086</t>
  </si>
  <si>
    <t>D0087</t>
  </si>
  <si>
    <t>D0074</t>
  </si>
  <si>
    <t>D0067</t>
  </si>
  <si>
    <t>D0121</t>
  </si>
  <si>
    <t>D0155</t>
  </si>
  <si>
    <t>D0108</t>
  </si>
  <si>
    <t>Immhap Tx</t>
  </si>
  <si>
    <t>D0133</t>
  </si>
  <si>
    <t>D0151</t>
  </si>
  <si>
    <t>D0130</t>
  </si>
  <si>
    <t>D0136</t>
  </si>
  <si>
    <t>D0150</t>
  </si>
  <si>
    <t>D0118</t>
  </si>
  <si>
    <t>AstraZeneca</t>
  </si>
  <si>
    <t>D0157</t>
  </si>
  <si>
    <t>D0141</t>
  </si>
  <si>
    <t>D0147</t>
  </si>
  <si>
    <t>Unilum X</t>
  </si>
  <si>
    <t>D0120</t>
  </si>
  <si>
    <t>D0144</t>
  </si>
  <si>
    <t>D0131</t>
  </si>
  <si>
    <t>D0135</t>
  </si>
  <si>
    <t>Uniyot Tx</t>
  </si>
  <si>
    <t>D0146</t>
  </si>
  <si>
    <t>D0129</t>
  </si>
  <si>
    <t>D0137</t>
  </si>
  <si>
    <t>D0148</t>
  </si>
  <si>
    <t>D0142</t>
  </si>
  <si>
    <t>D0152</t>
  </si>
  <si>
    <t>D0113</t>
  </si>
  <si>
    <t>D0154</t>
  </si>
  <si>
    <t>D0143</t>
  </si>
  <si>
    <t>D0145</t>
  </si>
  <si>
    <t>D0116</t>
  </si>
  <si>
    <t>Lumsyn Therapeutics</t>
  </si>
  <si>
    <t>D0111</t>
  </si>
  <si>
    <t>D0109</t>
  </si>
  <si>
    <t>D0110</t>
  </si>
  <si>
    <t>D0115</t>
  </si>
  <si>
    <t>Yotbio Therapeutics</t>
  </si>
  <si>
    <t>D0127</t>
  </si>
  <si>
    <t>D0134</t>
  </si>
  <si>
    <t>Celsyn X</t>
  </si>
  <si>
    <t>D0112</t>
  </si>
  <si>
    <t>D0125</t>
  </si>
  <si>
    <t>Epicel Tx</t>
  </si>
  <si>
    <t>D0153</t>
  </si>
  <si>
    <t>Lumjas Therapeutics</t>
  </si>
  <si>
    <t>D0126</t>
  </si>
  <si>
    <t>D0119</t>
  </si>
  <si>
    <t>Onconc Therapeutics</t>
  </si>
  <si>
    <t>D0156</t>
  </si>
  <si>
    <t>D0128</t>
  </si>
  <si>
    <t>D0124</t>
  </si>
  <si>
    <t>D0123</t>
  </si>
  <si>
    <t>D0140</t>
  </si>
  <si>
    <t>D0114</t>
  </si>
  <si>
    <t>Quobio Tx</t>
  </si>
  <si>
    <t>D0117</t>
  </si>
  <si>
    <t>Neurep Tx</t>
  </si>
  <si>
    <t>D0122</t>
  </si>
  <si>
    <t>Unisyn Therapeutics</t>
  </si>
  <si>
    <t>D0132</t>
  </si>
  <si>
    <t>D0149</t>
  </si>
  <si>
    <t>D0139</t>
  </si>
  <si>
    <t>D0138</t>
  </si>
  <si>
    <t>Neurep Therapeutics</t>
  </si>
  <si>
    <t>D0179</t>
  </si>
  <si>
    <t>D0204</t>
  </si>
  <si>
    <t>D0199</t>
  </si>
  <si>
    <t>D0210</t>
  </si>
  <si>
    <t>D0200</t>
  </si>
  <si>
    <t>D0198</t>
  </si>
  <si>
    <t>Hapzeo Therapeutics</t>
  </si>
  <si>
    <t>D0178</t>
  </si>
  <si>
    <t>Genimm Therapeutics</t>
  </si>
  <si>
    <t>D0172</t>
  </si>
  <si>
    <t>Hapgen Therapeutics</t>
  </si>
  <si>
    <t>D0168</t>
  </si>
  <si>
    <t>D0169</t>
  </si>
  <si>
    <t>Genyot Therapeutics</t>
  </si>
  <si>
    <t>D0191</t>
  </si>
  <si>
    <t>Merck</t>
  </si>
  <si>
    <t>D0182</t>
  </si>
  <si>
    <t>Zeotav X</t>
  </si>
  <si>
    <t>D0209</t>
  </si>
  <si>
    <t>Synxen Therapeutics</t>
  </si>
  <si>
    <t>D0170</t>
  </si>
  <si>
    <t>D0176</t>
  </si>
  <si>
    <t>D0189</t>
  </si>
  <si>
    <t>D0195</t>
  </si>
  <si>
    <t>D0208</t>
  </si>
  <si>
    <t>D0202</t>
  </si>
  <si>
    <t>D0180</t>
  </si>
  <si>
    <t>D0160</t>
  </si>
  <si>
    <t>Biomod Therapeutics</t>
  </si>
  <si>
    <t>D0197</t>
  </si>
  <si>
    <t>D0212</t>
  </si>
  <si>
    <t>Immlum Tx</t>
  </si>
  <si>
    <t>D0194</t>
  </si>
  <si>
    <t>Lumaer Tx</t>
  </si>
  <si>
    <t>D0161</t>
  </si>
  <si>
    <t>D0185</t>
  </si>
  <si>
    <t>Epipro Tx</t>
  </si>
  <si>
    <t>D0173</t>
  </si>
  <si>
    <t>D0211</t>
  </si>
  <si>
    <t>D0188</t>
  </si>
  <si>
    <t>D0192</t>
  </si>
  <si>
    <t>D0190</t>
  </si>
  <si>
    <t>D0163</t>
  </si>
  <si>
    <t>D0162</t>
  </si>
  <si>
    <t>Neuvec X</t>
  </si>
  <si>
    <t>D0159</t>
  </si>
  <si>
    <t>D0177</t>
  </si>
  <si>
    <t>D0167</t>
  </si>
  <si>
    <t>Yottav Therapeutics</t>
  </si>
  <si>
    <t>D0181</t>
  </si>
  <si>
    <t>D0165</t>
  </si>
  <si>
    <t>D0171</t>
  </si>
  <si>
    <t>Zeotav Tx</t>
  </si>
  <si>
    <t>D0183</t>
  </si>
  <si>
    <t>D0174</t>
  </si>
  <si>
    <t>Uniuni X</t>
  </si>
  <si>
    <t>D0186</t>
  </si>
  <si>
    <t>D0196</t>
  </si>
  <si>
    <t>D0206</t>
  </si>
  <si>
    <t>Synsyn Therapeutics</t>
  </si>
  <si>
    <t>D0203</t>
  </si>
  <si>
    <t>D0164</t>
  </si>
  <si>
    <t>D0158</t>
  </si>
  <si>
    <t>Quoxen Tx</t>
  </si>
  <si>
    <t>D0207</t>
  </si>
  <si>
    <t>Haplum Tx</t>
  </si>
  <si>
    <t>D0193</t>
  </si>
  <si>
    <t>Denbio Therapeutics</t>
  </si>
  <si>
    <t>D0175</t>
  </si>
  <si>
    <t>D0201</t>
  </si>
  <si>
    <t>D0187</t>
  </si>
  <si>
    <t>D0184</t>
  </si>
  <si>
    <t>D0166</t>
  </si>
  <si>
    <t>D0205</t>
  </si>
  <si>
    <t>Yotzeo Tx</t>
  </si>
  <si>
    <t>D0216</t>
  </si>
  <si>
    <t>D0252</t>
  </si>
  <si>
    <t>Biokym X</t>
  </si>
  <si>
    <t>D0218</t>
  </si>
  <si>
    <t>Yotcel X</t>
  </si>
  <si>
    <t>D0245</t>
  </si>
  <si>
    <t>D0258</t>
  </si>
  <si>
    <t>D0272</t>
  </si>
  <si>
    <t>D0230</t>
  </si>
  <si>
    <t>Tavyot X</t>
  </si>
  <si>
    <t>D0243</t>
  </si>
  <si>
    <t>D0270</t>
  </si>
  <si>
    <t>D0219</t>
  </si>
  <si>
    <t>D0257</t>
  </si>
  <si>
    <t>D0226</t>
  </si>
  <si>
    <t>D0214</t>
  </si>
  <si>
    <t>D0238</t>
  </si>
  <si>
    <t>D0261</t>
  </si>
  <si>
    <t>D0239</t>
  </si>
  <si>
    <t>D0222</t>
  </si>
  <si>
    <t>D0229</t>
  </si>
  <si>
    <t>Xenpro X</t>
  </si>
  <si>
    <t>D0215</t>
  </si>
  <si>
    <t>Provec X</t>
  </si>
  <si>
    <t>D0262</t>
  </si>
  <si>
    <t>D0266</t>
  </si>
  <si>
    <t>Aerlum Tx</t>
  </si>
  <si>
    <t>D0264</t>
  </si>
  <si>
    <t>D0002</t>
  </si>
  <si>
    <t>Bayer</t>
  </si>
  <si>
    <t>Merck Consumer Care</t>
  </si>
  <si>
    <t>D0247</t>
  </si>
  <si>
    <t>D0231</t>
  </si>
  <si>
    <t>D0253</t>
  </si>
  <si>
    <t>D0249</t>
  </si>
  <si>
    <t>D0271</t>
  </si>
  <si>
    <t>D0237</t>
  </si>
  <si>
    <t>D0259</t>
  </si>
  <si>
    <t>Genlum X</t>
  </si>
  <si>
    <t>D0217</t>
  </si>
  <si>
    <t>D0225</t>
  </si>
  <si>
    <t>D0248</t>
  </si>
  <si>
    <t>Jasuni X</t>
  </si>
  <si>
    <t>D0268</t>
  </si>
  <si>
    <t>Genkym Tx</t>
  </si>
  <si>
    <t>D0255</t>
  </si>
  <si>
    <t>D0269</t>
  </si>
  <si>
    <t>Epikym X</t>
  </si>
  <si>
    <t>D0221</t>
  </si>
  <si>
    <t>D0267</t>
  </si>
  <si>
    <t>D0241</t>
  </si>
  <si>
    <t>D0228</t>
  </si>
  <si>
    <t>D0256</t>
  </si>
  <si>
    <t>D0265</t>
  </si>
  <si>
    <t>Xenjas Tx</t>
  </si>
  <si>
    <t>D0260</t>
  </si>
  <si>
    <t>D0232</t>
  </si>
  <si>
    <t>D0227</t>
  </si>
  <si>
    <t>D0254</t>
  </si>
  <si>
    <t>Lumden Tx</t>
  </si>
  <si>
    <t>D0224</t>
  </si>
  <si>
    <t>D0233</t>
  </si>
  <si>
    <t>D0244</t>
  </si>
  <si>
    <t>Projas X</t>
  </si>
  <si>
    <t>D0251</t>
  </si>
  <si>
    <t>D0250</t>
  </si>
  <si>
    <t>D0240</t>
  </si>
  <si>
    <t>Veconc Tx</t>
  </si>
  <si>
    <t>D0242</t>
  </si>
  <si>
    <t>D0223</t>
  </si>
  <si>
    <t>Immepi Tx</t>
  </si>
  <si>
    <t>D0246</t>
  </si>
  <si>
    <t>Aeruni Therapeutics</t>
  </si>
  <si>
    <t>D0235</t>
  </si>
  <si>
    <t>D0003</t>
  </si>
  <si>
    <t>Actavis</t>
  </si>
  <si>
    <t>Allergan</t>
  </si>
  <si>
    <t>D0213</t>
  </si>
  <si>
    <t>D0220</t>
  </si>
  <si>
    <t>Zeoden Tx</t>
  </si>
  <si>
    <t>D0236</t>
  </si>
  <si>
    <t>Oncaer X</t>
  </si>
  <si>
    <t>D0234</t>
  </si>
  <si>
    <t>Lumyot Tx</t>
  </si>
  <si>
    <t>D0263</t>
  </si>
  <si>
    <t>D0317</t>
  </si>
  <si>
    <t>D0339</t>
  </si>
  <si>
    <t>Dencel Therapeutics</t>
  </si>
  <si>
    <t>D0294</t>
  </si>
  <si>
    <t>D0278</t>
  </si>
  <si>
    <t>D0289</t>
  </si>
  <si>
    <t>D0309</t>
  </si>
  <si>
    <t>D0335</t>
  </si>
  <si>
    <t>D0310</t>
  </si>
  <si>
    <t>D0322</t>
  </si>
  <si>
    <t>D0315</t>
  </si>
  <si>
    <t>Yotonc X</t>
  </si>
  <si>
    <t>D0319</t>
  </si>
  <si>
    <t>D0328</t>
  </si>
  <si>
    <t>D0274</t>
  </si>
  <si>
    <t>D0304</t>
  </si>
  <si>
    <t>Eli Lilly</t>
  </si>
  <si>
    <t>Yotsyn Therapeutics</t>
  </si>
  <si>
    <t>D0300</t>
  </si>
  <si>
    <t>D0292</t>
  </si>
  <si>
    <t>D0338</t>
  </si>
  <si>
    <t>D0004</t>
  </si>
  <si>
    <t>Teva</t>
  </si>
  <si>
    <t>Allergan Generics</t>
  </si>
  <si>
    <t>D0324</t>
  </si>
  <si>
    <t>D0302</t>
  </si>
  <si>
    <t>D0340</t>
  </si>
  <si>
    <t>Zeopro Tx</t>
  </si>
  <si>
    <t>D0277</t>
  </si>
  <si>
    <t>D0295</t>
  </si>
  <si>
    <t>D0327</t>
  </si>
  <si>
    <t>D0285</t>
  </si>
  <si>
    <t>D0316</t>
  </si>
  <si>
    <t>D0323</t>
  </si>
  <si>
    <t>Epigen X</t>
  </si>
  <si>
    <t>D0284</t>
  </si>
  <si>
    <t>Zeocel Therapeutics</t>
  </si>
  <si>
    <t>D0279</t>
  </si>
  <si>
    <t>D0275</t>
  </si>
  <si>
    <t>D0308</t>
  </si>
  <si>
    <t>Vecneu X</t>
  </si>
  <si>
    <t>D0293</t>
  </si>
  <si>
    <t>D0283</t>
  </si>
  <si>
    <t>D0299</t>
  </si>
  <si>
    <t>Xenxen Therapeutics</t>
  </si>
  <si>
    <t>D0276</t>
  </si>
  <si>
    <t>D0287</t>
  </si>
  <si>
    <t>D0330</t>
  </si>
  <si>
    <t>D0337</t>
  </si>
  <si>
    <t>D0280</t>
  </si>
  <si>
    <t>D0311</t>
  </si>
  <si>
    <t>D0296</t>
  </si>
  <si>
    <t>Unijas Tx</t>
  </si>
  <si>
    <t>D0291</t>
  </si>
  <si>
    <t>Synepi Therapeutics</t>
  </si>
  <si>
    <t>D0305</t>
  </si>
  <si>
    <t>D0333</t>
  </si>
  <si>
    <t>D0282</t>
  </si>
  <si>
    <t>Celjas Tx</t>
  </si>
  <si>
    <t>D0314</t>
  </si>
  <si>
    <t>D0313</t>
  </si>
  <si>
    <t>D0312</t>
  </si>
  <si>
    <t>D0331</t>
  </si>
  <si>
    <t>D0306</t>
  </si>
  <si>
    <t>D0320</t>
  </si>
  <si>
    <t>Biovec Tx</t>
  </si>
  <si>
    <t>D0301</t>
  </si>
  <si>
    <t>D0332</t>
  </si>
  <si>
    <t>Aergen Therapeutics</t>
  </si>
  <si>
    <t>D0290</t>
  </si>
  <si>
    <t>D0273</t>
  </si>
  <si>
    <t>D0303</t>
  </si>
  <si>
    <t>Denquo Tx</t>
  </si>
  <si>
    <t>D0298</t>
  </si>
  <si>
    <t>Univec Tx</t>
  </si>
  <si>
    <t>D0336</t>
  </si>
  <si>
    <t>Denepi X</t>
  </si>
  <si>
    <t>D0286</t>
  </si>
  <si>
    <t>D0342</t>
  </si>
  <si>
    <t>D0288</t>
  </si>
  <si>
    <t>D0318</t>
  </si>
  <si>
    <t>D0341</t>
  </si>
  <si>
    <t>Neuzeo Tx</t>
  </si>
  <si>
    <t>D0329</t>
  </si>
  <si>
    <t>D0281</t>
  </si>
  <si>
    <t>D0334</t>
  </si>
  <si>
    <t>Xenbio Therapeutics</t>
  </si>
  <si>
    <t>D0325</t>
  </si>
  <si>
    <t>Prohap X</t>
  </si>
  <si>
    <t>D0307</t>
  </si>
  <si>
    <t>D0321</t>
  </si>
  <si>
    <t>D0326</t>
  </si>
  <si>
    <t>D0297</t>
  </si>
  <si>
    <t>D0383</t>
  </si>
  <si>
    <t>D0356</t>
  </si>
  <si>
    <t>Syncel X</t>
  </si>
  <si>
    <t>D0353</t>
  </si>
  <si>
    <t>Onconc X</t>
  </si>
  <si>
    <t>D0372</t>
  </si>
  <si>
    <t>Yotsyn Tx</t>
  </si>
  <si>
    <t>D0005</t>
  </si>
  <si>
    <t>Shire</t>
  </si>
  <si>
    <t>Baxalta</t>
  </si>
  <si>
    <t>D0370</t>
  </si>
  <si>
    <t>Oncgen X</t>
  </si>
  <si>
    <t>D0368</t>
  </si>
  <si>
    <t>D0385</t>
  </si>
  <si>
    <t>D0343</t>
  </si>
  <si>
    <t>Modkym Therapeutics</t>
  </si>
  <si>
    <t>D0364</t>
  </si>
  <si>
    <t>D0363</t>
  </si>
  <si>
    <t>D0346</t>
  </si>
  <si>
    <t>D0403</t>
  </si>
  <si>
    <t>D0354</t>
  </si>
  <si>
    <t>D0380</t>
  </si>
  <si>
    <t>Quopro Tx</t>
  </si>
  <si>
    <t>D0369</t>
  </si>
  <si>
    <t>D0365</t>
  </si>
  <si>
    <t>Unizeo Therapeutics</t>
  </si>
  <si>
    <t>D0345</t>
  </si>
  <si>
    <t>D0381</t>
  </si>
  <si>
    <t>D0379</t>
  </si>
  <si>
    <t>D0384</t>
  </si>
  <si>
    <t>D0360</t>
  </si>
  <si>
    <t>Quoimm Tx</t>
  </si>
  <si>
    <t>D0402</t>
  </si>
  <si>
    <t>D0366</t>
  </si>
  <si>
    <t>D0391</t>
  </si>
  <si>
    <t>D0351</t>
  </si>
  <si>
    <t>D0400</t>
  </si>
  <si>
    <t>D0376</t>
  </si>
  <si>
    <t>D0375</t>
  </si>
  <si>
    <t>D0392</t>
  </si>
  <si>
    <t>Celxen Therapeutics</t>
  </si>
  <si>
    <t>D0371</t>
  </si>
  <si>
    <t>Synbio X</t>
  </si>
  <si>
    <t>D0388</t>
  </si>
  <si>
    <t>D0349</t>
  </si>
  <si>
    <t>Immcel Therapeutics</t>
  </si>
  <si>
    <t>D0401</t>
  </si>
  <si>
    <t>D0399</t>
  </si>
  <si>
    <t>D0406</t>
  </si>
  <si>
    <t>Repzeo X</t>
  </si>
  <si>
    <t>D0390</t>
  </si>
  <si>
    <t>D0367</t>
  </si>
  <si>
    <t>D0373</t>
  </si>
  <si>
    <t>Neumod Therapeutics</t>
  </si>
  <si>
    <t>D0382</t>
  </si>
  <si>
    <t>D0407</t>
  </si>
  <si>
    <t>Vecneu Therapeutics</t>
  </si>
  <si>
    <t>D0396</t>
  </si>
  <si>
    <t>D0348</t>
  </si>
  <si>
    <t>D0389</t>
  </si>
  <si>
    <t>D0386</t>
  </si>
  <si>
    <t>Kymaer Therapeutics</t>
  </si>
  <si>
    <t>D0377</t>
  </si>
  <si>
    <t>D0359</t>
  </si>
  <si>
    <t>D0361</t>
  </si>
  <si>
    <t>D0350</t>
  </si>
  <si>
    <t>Zeoyot Tx</t>
  </si>
  <si>
    <t>D0347</t>
  </si>
  <si>
    <t>D0405</t>
  </si>
  <si>
    <t>D0404</t>
  </si>
  <si>
    <t>D0344</t>
  </si>
  <si>
    <t>D0398</t>
  </si>
  <si>
    <t>Prolum Therapeutics</t>
  </si>
  <si>
    <t>D0357</t>
  </si>
  <si>
    <t>D0387</t>
  </si>
  <si>
    <t>D0378</t>
  </si>
  <si>
    <t>Tavgen X</t>
  </si>
  <si>
    <t>D0352</t>
  </si>
  <si>
    <t>D0393</t>
  </si>
  <si>
    <t>D0395</t>
  </si>
  <si>
    <t>D0358</t>
  </si>
  <si>
    <t>Bioxen X</t>
  </si>
  <si>
    <t>D0362</t>
  </si>
  <si>
    <t>D0394</t>
  </si>
  <si>
    <t>D0355</t>
  </si>
  <si>
    <t>D0374</t>
  </si>
  <si>
    <t>D0397</t>
  </si>
  <si>
    <t>Genepi X</t>
  </si>
  <si>
    <t>D0481</t>
  </si>
  <si>
    <t>Celrep Therapeutics</t>
  </si>
  <si>
    <t>D0442</t>
  </si>
  <si>
    <t>D0415</t>
  </si>
  <si>
    <t>D0454</t>
  </si>
  <si>
    <t>D0441</t>
  </si>
  <si>
    <t>D0409</t>
  </si>
  <si>
    <t>D0453</t>
  </si>
  <si>
    <t>Zeopro X</t>
  </si>
  <si>
    <t>D0451</t>
  </si>
  <si>
    <t>D0466</t>
  </si>
  <si>
    <t>Epibio X</t>
  </si>
  <si>
    <t>D0471</t>
  </si>
  <si>
    <t>D0461</t>
  </si>
  <si>
    <t>D0478</t>
  </si>
  <si>
    <t>D0408</t>
  </si>
  <si>
    <t>D0474</t>
  </si>
  <si>
    <t>D0477</t>
  </si>
  <si>
    <t>D0410</t>
  </si>
  <si>
    <t>D0420</t>
  </si>
  <si>
    <t>D0475</t>
  </si>
  <si>
    <t>D0428</t>
  </si>
  <si>
    <t>D0424</t>
  </si>
  <si>
    <t>Replum X</t>
  </si>
  <si>
    <t>D0479</t>
  </si>
  <si>
    <t>D0467</t>
  </si>
  <si>
    <t>Vecaer Therapeutics</t>
  </si>
  <si>
    <t>D0470</t>
  </si>
  <si>
    <t>D0417</t>
  </si>
  <si>
    <t>Epitav Tx</t>
  </si>
  <si>
    <t>D0445</t>
  </si>
  <si>
    <t>D0446</t>
  </si>
  <si>
    <t>D0414</t>
  </si>
  <si>
    <t>D0437</t>
  </si>
  <si>
    <t>D0473</t>
  </si>
  <si>
    <t>Biovec Therapeutics</t>
  </si>
  <si>
    <t>D0469</t>
  </si>
  <si>
    <t>D0482</t>
  </si>
  <si>
    <t>D0430</t>
  </si>
  <si>
    <t>Denvec Therapeutics</t>
  </si>
  <si>
    <t>D0452</t>
  </si>
  <si>
    <t>Kymsyn Tx</t>
  </si>
  <si>
    <t>D0440</t>
  </si>
  <si>
    <t>D0438</t>
  </si>
  <si>
    <t>Immhap Therapeutics</t>
  </si>
  <si>
    <t>D0434</t>
  </si>
  <si>
    <t>D0421</t>
  </si>
  <si>
    <t>D0433</t>
  </si>
  <si>
    <t>Jasxen Therapeutics</t>
  </si>
  <si>
    <t>D0464</t>
  </si>
  <si>
    <t>Celsyn Therapeutics</t>
  </si>
  <si>
    <t>D0443</t>
  </si>
  <si>
    <t>D0449</t>
  </si>
  <si>
    <t>D0426</t>
  </si>
  <si>
    <t>D0419</t>
  </si>
  <si>
    <t>D0460</t>
  </si>
  <si>
    <t>D0439</t>
  </si>
  <si>
    <t>Haplum X</t>
  </si>
  <si>
    <t>D0416</t>
  </si>
  <si>
    <t>Provec Tx</t>
  </si>
  <si>
    <t>D0447</t>
  </si>
  <si>
    <t>Xensyn Tx</t>
  </si>
  <si>
    <t>D0472</t>
  </si>
  <si>
    <t>D0411</t>
  </si>
  <si>
    <t>D0436</t>
  </si>
  <si>
    <t>D0412</t>
  </si>
  <si>
    <t>D0418</t>
  </si>
  <si>
    <t>D0476</t>
  </si>
  <si>
    <t>D0468</t>
  </si>
  <si>
    <t>D0422</t>
  </si>
  <si>
    <t>Neuaer X</t>
  </si>
  <si>
    <t>D0455</t>
  </si>
  <si>
    <t>D0429</t>
  </si>
  <si>
    <t>Celuni X</t>
  </si>
  <si>
    <t>D0423</t>
  </si>
  <si>
    <t>Uniimm Tx</t>
  </si>
  <si>
    <t>D0431</t>
  </si>
  <si>
    <t>D0450</t>
  </si>
  <si>
    <t>D0425</t>
  </si>
  <si>
    <t>D0448</t>
  </si>
  <si>
    <t>Jasepi Therapeutics</t>
  </si>
  <si>
    <t>D0427</t>
  </si>
  <si>
    <t>D0435</t>
  </si>
  <si>
    <t>Jasneu X</t>
  </si>
  <si>
    <t>D0465</t>
  </si>
  <si>
    <t>D0413</t>
  </si>
  <si>
    <t>Biogen X</t>
  </si>
  <si>
    <t>D0462</t>
  </si>
  <si>
    <t>D0459</t>
  </si>
  <si>
    <t>Veczeo Therapeutics</t>
  </si>
  <si>
    <t>D0456</t>
  </si>
  <si>
    <t>D0432</t>
  </si>
  <si>
    <t>D0458</t>
  </si>
  <si>
    <t>D0444</t>
  </si>
  <si>
    <t>D0480</t>
  </si>
  <si>
    <t>D0457</t>
  </si>
  <si>
    <t>D0463</t>
  </si>
  <si>
    <t>Hapjas Tx</t>
  </si>
  <si>
    <t>D0564</t>
  </si>
  <si>
    <t>Xenvec X</t>
  </si>
  <si>
    <t>D0517</t>
  </si>
  <si>
    <t>D0508</t>
  </si>
  <si>
    <t>D0551</t>
  </si>
  <si>
    <t>D0522</t>
  </si>
  <si>
    <t>D0006</t>
  </si>
  <si>
    <t>Celgene</t>
  </si>
  <si>
    <t>Juno Therapeutics</t>
  </si>
  <si>
    <t>D0483</t>
  </si>
  <si>
    <t>D0485</t>
  </si>
  <si>
    <t>D0504</t>
  </si>
  <si>
    <t>Immrep X</t>
  </si>
  <si>
    <t>D0015</t>
  </si>
  <si>
    <t>D0526</t>
  </si>
  <si>
    <t>D0553</t>
  </si>
  <si>
    <t>D0554</t>
  </si>
  <si>
    <t>Tavtav Tx</t>
  </si>
  <si>
    <t>D0565</t>
  </si>
  <si>
    <t>D0556</t>
  </si>
  <si>
    <t>D0016</t>
  </si>
  <si>
    <t>Solid Biosciences</t>
  </si>
  <si>
    <t>DMD gene therapy</t>
  </si>
  <si>
    <t>D0505</t>
  </si>
  <si>
    <t>D0484</t>
  </si>
  <si>
    <t>Genonc Therapeutics</t>
  </si>
  <si>
    <t>D0488</t>
  </si>
  <si>
    <t>Modgen Therapeutics</t>
  </si>
  <si>
    <t>D0490</t>
  </si>
  <si>
    <t>D0558</t>
  </si>
  <si>
    <t>Hapbio Tx</t>
  </si>
  <si>
    <t>D0520</t>
  </si>
  <si>
    <t>D0538</t>
  </si>
  <si>
    <t>D0540</t>
  </si>
  <si>
    <t>Bioonc Therapeutics</t>
  </si>
  <si>
    <t>D0503</t>
  </si>
  <si>
    <t>D0519</t>
  </si>
  <si>
    <t>Quoepi X</t>
  </si>
  <si>
    <t>D0494</t>
  </si>
  <si>
    <t>D0502</t>
  </si>
  <si>
    <t>D0496</t>
  </si>
  <si>
    <t>D0501</t>
  </si>
  <si>
    <t>D0562</t>
  </si>
  <si>
    <t>Unixen Therapeutics</t>
  </si>
  <si>
    <t>D0543</t>
  </si>
  <si>
    <t>Repden X</t>
  </si>
  <si>
    <t>D0537</t>
  </si>
  <si>
    <t>D0514</t>
  </si>
  <si>
    <t>Epibio Tx</t>
  </si>
  <si>
    <t>D0548</t>
  </si>
  <si>
    <t>D0500</t>
  </si>
  <si>
    <t>D0552</t>
  </si>
  <si>
    <t>D0535</t>
  </si>
  <si>
    <t>Zeoyot X</t>
  </si>
  <si>
    <t>D0510</t>
  </si>
  <si>
    <t>Epibio Therapeutics</t>
  </si>
  <si>
    <t>D0544</t>
  </si>
  <si>
    <t>D0547</t>
  </si>
  <si>
    <t>Gengen Therapeutics</t>
  </si>
  <si>
    <t>D0561</t>
  </si>
  <si>
    <t>D0495</t>
  </si>
  <si>
    <t>Tavepi X</t>
  </si>
  <si>
    <t>D0527</t>
  </si>
  <si>
    <t>D0539</t>
  </si>
  <si>
    <t>Unikym Tx</t>
  </si>
  <si>
    <t>D0507</t>
  </si>
  <si>
    <t>D0530</t>
  </si>
  <si>
    <t>Tavquo Tx</t>
  </si>
  <si>
    <t>D0546</t>
  </si>
  <si>
    <t>D0528</t>
  </si>
  <si>
    <t>D0532</t>
  </si>
  <si>
    <t>D0536</t>
  </si>
  <si>
    <t>D0489</t>
  </si>
  <si>
    <t>D0560</t>
  </si>
  <si>
    <t>D0493</t>
  </si>
  <si>
    <t>D0557</t>
  </si>
  <si>
    <t>Aerpro Therapeutics</t>
  </si>
  <si>
    <t>D0563</t>
  </si>
  <si>
    <t>D0566</t>
  </si>
  <si>
    <t>D0525</t>
  </si>
  <si>
    <t>D0486</t>
  </si>
  <si>
    <t>D0492</t>
  </si>
  <si>
    <t>D0559</t>
  </si>
  <si>
    <t>D0521</t>
  </si>
  <si>
    <t>D0531</t>
  </si>
  <si>
    <t>D0509</t>
  </si>
  <si>
    <t>D0542</t>
  </si>
  <si>
    <t>D0523</t>
  </si>
  <si>
    <t>Oncyot X</t>
  </si>
  <si>
    <t>D0515</t>
  </si>
  <si>
    <t>D0491</t>
  </si>
  <si>
    <t>D0513</t>
  </si>
  <si>
    <t>D0524</t>
  </si>
  <si>
    <t>D0487</t>
  </si>
  <si>
    <t>Tavgen Therapeutics</t>
  </si>
  <si>
    <t>D0498</t>
  </si>
  <si>
    <t>D0545</t>
  </si>
  <si>
    <t>D0555</t>
  </si>
  <si>
    <t>D0499</t>
  </si>
  <si>
    <t>D0506</t>
  </si>
  <si>
    <t>Kymonc X</t>
  </si>
  <si>
    <t>D0512</t>
  </si>
  <si>
    <t>D0497</t>
  </si>
  <si>
    <t>D0534</t>
  </si>
  <si>
    <t>Epipro X</t>
  </si>
  <si>
    <t>D0549</t>
  </si>
  <si>
    <t>D0511</t>
  </si>
  <si>
    <t>Yotmod X</t>
  </si>
  <si>
    <t>D0567</t>
  </si>
  <si>
    <t>D0516</t>
  </si>
  <si>
    <t>Genzeo X</t>
  </si>
  <si>
    <t>D0541</t>
  </si>
  <si>
    <t>Unibio Tx</t>
  </si>
  <si>
    <t>D0529</t>
  </si>
  <si>
    <t>Repsyn Therapeutics</t>
  </si>
  <si>
    <t>D0518</t>
  </si>
  <si>
    <t>D0533</t>
  </si>
  <si>
    <t>Yotden Therapeutics</t>
  </si>
  <si>
    <t>D0550</t>
  </si>
  <si>
    <t>D0594</t>
  </si>
  <si>
    <t>D0007</t>
  </si>
  <si>
    <t>D0600</t>
  </si>
  <si>
    <t>D0626</t>
  </si>
  <si>
    <t>D0604</t>
  </si>
  <si>
    <t>D0602</t>
  </si>
  <si>
    <t>Modden X</t>
  </si>
  <si>
    <t>D0593</t>
  </si>
  <si>
    <t>D0574</t>
  </si>
  <si>
    <t>Unirep Therapeutics</t>
  </si>
  <si>
    <t>D0616</t>
  </si>
  <si>
    <t>D0623</t>
  </si>
  <si>
    <t>Celuni Tx</t>
  </si>
  <si>
    <t>D0617</t>
  </si>
  <si>
    <t>D0621</t>
  </si>
  <si>
    <t>D0585</t>
  </si>
  <si>
    <t>D0614</t>
  </si>
  <si>
    <t>D0635</t>
  </si>
  <si>
    <t>Proyot Therapeutics</t>
  </si>
  <si>
    <t>D0613</t>
  </si>
  <si>
    <t>D0624</t>
  </si>
  <si>
    <t>D0611</t>
  </si>
  <si>
    <t>D0578</t>
  </si>
  <si>
    <t>D0584</t>
  </si>
  <si>
    <t>D0596</t>
  </si>
  <si>
    <t>D0625</t>
  </si>
  <si>
    <t>Provec Therapeutics</t>
  </si>
  <si>
    <t>D0569</t>
  </si>
  <si>
    <t>D0592</t>
  </si>
  <si>
    <t>Genuni Therapeutics</t>
  </si>
  <si>
    <t>D0575</t>
  </si>
  <si>
    <t>D0570</t>
  </si>
  <si>
    <t>D0586</t>
  </si>
  <si>
    <t>D0598</t>
  </si>
  <si>
    <t>D0008</t>
  </si>
  <si>
    <t>D0576</t>
  </si>
  <si>
    <t>D0607</t>
  </si>
  <si>
    <t>D0568</t>
  </si>
  <si>
    <t>D0590</t>
  </si>
  <si>
    <t>D0571</t>
  </si>
  <si>
    <t>D0606</t>
  </si>
  <si>
    <t>D0609</t>
  </si>
  <si>
    <t>D0577</t>
  </si>
  <si>
    <t>D0628</t>
  </si>
  <si>
    <t>Kymlum X</t>
  </si>
  <si>
    <t>D0622</t>
  </si>
  <si>
    <t>D0581</t>
  </si>
  <si>
    <t>D0637</t>
  </si>
  <si>
    <t>Yotonc Therapeutics</t>
  </si>
  <si>
    <t>D0587</t>
  </si>
  <si>
    <t>D0572</t>
  </si>
  <si>
    <t>D0636</t>
  </si>
  <si>
    <t>D0619</t>
  </si>
  <si>
    <t>D0589</t>
  </si>
  <si>
    <t>Vecgen Tx</t>
  </si>
  <si>
    <t>D0608</t>
  </si>
  <si>
    <t>Repcel Tx</t>
  </si>
  <si>
    <t>D0612</t>
  </si>
  <si>
    <t>D0580</t>
  </si>
  <si>
    <t>Denden X</t>
  </si>
  <si>
    <t>D0633</t>
  </si>
  <si>
    <t>Lumquo Therapeutics</t>
  </si>
  <si>
    <t>D0583</t>
  </si>
  <si>
    <t>D0591</t>
  </si>
  <si>
    <t>Genneu X</t>
  </si>
  <si>
    <t>D0627</t>
  </si>
  <si>
    <t>D0615</t>
  </si>
  <si>
    <t>D0573</t>
  </si>
  <si>
    <t>D0618</t>
  </si>
  <si>
    <t>Tavhap Tx</t>
  </si>
  <si>
    <t>D0579</t>
  </si>
  <si>
    <t>Xengen Tx</t>
  </si>
  <si>
    <t>D0595</t>
  </si>
  <si>
    <t>D0603</t>
  </si>
  <si>
    <t>D0599</t>
  </si>
  <si>
    <t>D0620</t>
  </si>
  <si>
    <t>D0610</t>
  </si>
  <si>
    <t>Proquo Therapeutics</t>
  </si>
  <si>
    <t>D0629</t>
  </si>
  <si>
    <t>D0597</t>
  </si>
  <si>
    <t>D0634</t>
  </si>
  <si>
    <t>D0632</t>
  </si>
  <si>
    <t>D0582</t>
  </si>
  <si>
    <t>Genepi Therapeutics</t>
  </si>
  <si>
    <t>D0588</t>
  </si>
  <si>
    <t>D0630</t>
  </si>
  <si>
    <t>D0631</t>
  </si>
  <si>
    <t>D0601</t>
  </si>
  <si>
    <t>D0605</t>
  </si>
  <si>
    <t>Denuni Tx</t>
  </si>
  <si>
    <t>D0679</t>
  </si>
  <si>
    <t>Uniuni Therapeutics</t>
  </si>
  <si>
    <t>D0698</t>
  </si>
  <si>
    <t>D0654</t>
  </si>
  <si>
    <t>D0703</t>
  </si>
  <si>
    <t>D0726</t>
  </si>
  <si>
    <t>D0692</t>
  </si>
  <si>
    <t>D0663</t>
  </si>
  <si>
    <t>D0691</t>
  </si>
  <si>
    <t>D0688</t>
  </si>
  <si>
    <t>D0722</t>
  </si>
  <si>
    <t>D0672</t>
  </si>
  <si>
    <t>D0718</t>
  </si>
  <si>
    <t>D0685</t>
  </si>
  <si>
    <t>D0690</t>
  </si>
  <si>
    <t>D0708</t>
  </si>
  <si>
    <t>D0642</t>
  </si>
  <si>
    <t>Denrep Therapeutics</t>
  </si>
  <si>
    <t>D0638</t>
  </si>
  <si>
    <t>D0667</t>
  </si>
  <si>
    <t>D0727</t>
  </si>
  <si>
    <t>Zeohap Tx</t>
  </si>
  <si>
    <t>D0676</t>
  </si>
  <si>
    <t>D0695</t>
  </si>
  <si>
    <t>D0716</t>
  </si>
  <si>
    <t>Bioepi Tx</t>
  </si>
  <si>
    <t>D0650</t>
  </si>
  <si>
    <t>D0668</t>
  </si>
  <si>
    <t>D0644</t>
  </si>
  <si>
    <t>D0719</t>
  </si>
  <si>
    <t>D0665</t>
  </si>
  <si>
    <t>D0640</t>
  </si>
  <si>
    <t>Neusyn Tx</t>
  </si>
  <si>
    <t>D0666</t>
  </si>
  <si>
    <t>Aerxen Therapeutics</t>
  </si>
  <si>
    <t>D0704</t>
  </si>
  <si>
    <t>D0700</t>
  </si>
  <si>
    <t>D0681</t>
  </si>
  <si>
    <t>D0724</t>
  </si>
  <si>
    <t>Modsyn Therapeutics</t>
  </si>
  <si>
    <t>D0021</t>
  </si>
  <si>
    <t>Insitro</t>
  </si>
  <si>
    <t>D0662</t>
  </si>
  <si>
    <t>D0684</t>
  </si>
  <si>
    <t>D0696</t>
  </si>
  <si>
    <t>D0659</t>
  </si>
  <si>
    <t>D0720</t>
  </si>
  <si>
    <t>D0715</t>
  </si>
  <si>
    <t>Vecyot Tx</t>
  </si>
  <si>
    <t>D0651</t>
  </si>
  <si>
    <t>D0674</t>
  </si>
  <si>
    <t>D0701</t>
  </si>
  <si>
    <t>Biouni Tx</t>
  </si>
  <si>
    <t>D0641</t>
  </si>
  <si>
    <t>Yotcel Therapeutics</t>
  </si>
  <si>
    <t>D0694</t>
  </si>
  <si>
    <t>D0699</t>
  </si>
  <si>
    <t>D0678</t>
  </si>
  <si>
    <t>D0711</t>
  </si>
  <si>
    <t>D0671</t>
  </si>
  <si>
    <t>D0682</t>
  </si>
  <si>
    <t>D0673</t>
  </si>
  <si>
    <t>Rephap Tx</t>
  </si>
  <si>
    <t>D0683</t>
  </si>
  <si>
    <t>D0702</t>
  </si>
  <si>
    <t>D0639</t>
  </si>
  <si>
    <t>D0646</t>
  </si>
  <si>
    <t>D0707</t>
  </si>
  <si>
    <t>Densyn Therapeutics</t>
  </si>
  <si>
    <t>D0680</t>
  </si>
  <si>
    <t>D0686</t>
  </si>
  <si>
    <t>D0645</t>
  </si>
  <si>
    <t>D0689</t>
  </si>
  <si>
    <t>D0655</t>
  </si>
  <si>
    <t>D0687</t>
  </si>
  <si>
    <t>D0647</t>
  </si>
  <si>
    <t>D0653</t>
  </si>
  <si>
    <t>D0643</t>
  </si>
  <si>
    <t>Modbio Tx</t>
  </si>
  <si>
    <t>D0717</t>
  </si>
  <si>
    <t>D0723</t>
  </si>
  <si>
    <t>D0660</t>
  </si>
  <si>
    <t>Tavneu X</t>
  </si>
  <si>
    <t>D0009</t>
  </si>
  <si>
    <t>Immunomedics</t>
  </si>
  <si>
    <t>D0705</t>
  </si>
  <si>
    <t>D0697</t>
  </si>
  <si>
    <t>D0661</t>
  </si>
  <si>
    <t>D0677</t>
  </si>
  <si>
    <t>D0712</t>
  </si>
  <si>
    <t>D0657</t>
  </si>
  <si>
    <t>D0656</t>
  </si>
  <si>
    <t>D0709</t>
  </si>
  <si>
    <t>D0648</t>
  </si>
  <si>
    <t>D0017</t>
  </si>
  <si>
    <t>Recursion Pharmaceuticals</t>
  </si>
  <si>
    <t>D0725</t>
  </si>
  <si>
    <t>D0670</t>
  </si>
  <si>
    <t>Zeoxen Therapeutics</t>
  </si>
  <si>
    <t>D0675</t>
  </si>
  <si>
    <t>D0721</t>
  </si>
  <si>
    <t>Denlum X</t>
  </si>
  <si>
    <t>D0714</t>
  </si>
  <si>
    <t>D0706</t>
  </si>
  <si>
    <t>Denhap Tx</t>
  </si>
  <si>
    <t>D0010</t>
  </si>
  <si>
    <t>Alexion</t>
  </si>
  <si>
    <t>D0664</t>
  </si>
  <si>
    <t>Genbio Therapeutics</t>
  </si>
  <si>
    <t>D0649</t>
  </si>
  <si>
    <t>Vecsyn Tx</t>
  </si>
  <si>
    <t>D0713</t>
  </si>
  <si>
    <t>D0693</t>
  </si>
  <si>
    <t>Aerkym X</t>
  </si>
  <si>
    <t>D0652</t>
  </si>
  <si>
    <t>D0658</t>
  </si>
  <si>
    <t>D0669</t>
  </si>
  <si>
    <t>D0710</t>
  </si>
  <si>
    <t>Oncaer Tx</t>
  </si>
  <si>
    <t>D0830</t>
  </si>
  <si>
    <t>D0801</t>
  </si>
  <si>
    <t>D0789</t>
  </si>
  <si>
    <t>Biocel Therapeutics</t>
  </si>
  <si>
    <t>D0733</t>
  </si>
  <si>
    <t>D0810</t>
  </si>
  <si>
    <t>D0770</t>
  </si>
  <si>
    <t>D0848</t>
  </si>
  <si>
    <t>D0785</t>
  </si>
  <si>
    <t>Kymzeo X</t>
  </si>
  <si>
    <t>D0853</t>
  </si>
  <si>
    <t>D0743</t>
  </si>
  <si>
    <t>D0817</t>
  </si>
  <si>
    <t>Neuaer Tx</t>
  </si>
  <si>
    <t>D0018</t>
  </si>
  <si>
    <t>Sana Biotechnology</t>
  </si>
  <si>
    <t>D0748</t>
  </si>
  <si>
    <t>D0820</t>
  </si>
  <si>
    <t>D0730</t>
  </si>
  <si>
    <t>D0825</t>
  </si>
  <si>
    <t>Lumepi Tx</t>
  </si>
  <si>
    <t>D0838</t>
  </si>
  <si>
    <t>Xenneu Therapeutics</t>
  </si>
  <si>
    <t>D0784</t>
  </si>
  <si>
    <t>D0775</t>
  </si>
  <si>
    <t>D0805</t>
  </si>
  <si>
    <t>D0821</t>
  </si>
  <si>
    <t>D0813</t>
  </si>
  <si>
    <t>Prorep X</t>
  </si>
  <si>
    <t>D0760</t>
  </si>
  <si>
    <t>D0740</t>
  </si>
  <si>
    <t>D0747</t>
  </si>
  <si>
    <t>Epionc Therapeutics</t>
  </si>
  <si>
    <t>D0742</t>
  </si>
  <si>
    <t>D0758</t>
  </si>
  <si>
    <t>D0761</t>
  </si>
  <si>
    <t>D0773</t>
  </si>
  <si>
    <t>D0815</t>
  </si>
  <si>
    <t>Epilum Therapeutics</t>
  </si>
  <si>
    <t>D0796</t>
  </si>
  <si>
    <t>D0851</t>
  </si>
  <si>
    <t>D0816</t>
  </si>
  <si>
    <t>Denjas Therapeutics</t>
  </si>
  <si>
    <t>D0737</t>
  </si>
  <si>
    <t>Lumcel X</t>
  </si>
  <si>
    <t>D0734</t>
  </si>
  <si>
    <t>D0822</t>
  </si>
  <si>
    <t>D0749</t>
  </si>
  <si>
    <t>D0728</t>
  </si>
  <si>
    <t>Neugen Therapeutics</t>
  </si>
  <si>
    <t>D0831</t>
  </si>
  <si>
    <t>D0729</t>
  </si>
  <si>
    <t>D0739</t>
  </si>
  <si>
    <t>D0792</t>
  </si>
  <si>
    <t>D0798</t>
  </si>
  <si>
    <t>D0787</t>
  </si>
  <si>
    <t>D0779</t>
  </si>
  <si>
    <t>Immcel X</t>
  </si>
  <si>
    <t>D0812</t>
  </si>
  <si>
    <t>D0811</t>
  </si>
  <si>
    <t>D0777</t>
  </si>
  <si>
    <t>D0800</t>
  </si>
  <si>
    <t>D0843</t>
  </si>
  <si>
    <t>D0823</t>
  </si>
  <si>
    <t>D0767</t>
  </si>
  <si>
    <t>D0847</t>
  </si>
  <si>
    <t>D0793</t>
  </si>
  <si>
    <t>D0756</t>
  </si>
  <si>
    <t>D0842</t>
  </si>
  <si>
    <t>D0803</t>
  </si>
  <si>
    <t>Tavpro X</t>
  </si>
  <si>
    <t>D0759</t>
  </si>
  <si>
    <t>D0795</t>
  </si>
  <si>
    <t>D0788</t>
  </si>
  <si>
    <t>D0844</t>
  </si>
  <si>
    <t>D0757</t>
  </si>
  <si>
    <t>D0769</t>
  </si>
  <si>
    <t>D0841</t>
  </si>
  <si>
    <t>D0751</t>
  </si>
  <si>
    <t>D0840</t>
  </si>
  <si>
    <t>D0809</t>
  </si>
  <si>
    <t>Dencel Tx</t>
  </si>
  <si>
    <t>D0772</t>
  </si>
  <si>
    <t>D0797</t>
  </si>
  <si>
    <t>D0799</t>
  </si>
  <si>
    <t>D0845</t>
  </si>
  <si>
    <t>D0019</t>
  </si>
  <si>
    <t>Verve Therapeutics</t>
  </si>
  <si>
    <t>D0781</t>
  </si>
  <si>
    <t>D0790</t>
  </si>
  <si>
    <t>D0807</t>
  </si>
  <si>
    <t>D0839</t>
  </si>
  <si>
    <t>D0828</t>
  </si>
  <si>
    <t>D0804</t>
  </si>
  <si>
    <t>Genkym X</t>
  </si>
  <si>
    <t>D0802</t>
  </si>
  <si>
    <t>Zeorep Therapeutics</t>
  </si>
  <si>
    <t>D0834</t>
  </si>
  <si>
    <t>D0771</t>
  </si>
  <si>
    <t>Synbio Therapeutics</t>
  </si>
  <si>
    <t>D0783</t>
  </si>
  <si>
    <t>D0750</t>
  </si>
  <si>
    <t>Immlum Therapeutics</t>
  </si>
  <si>
    <t>D0768</t>
  </si>
  <si>
    <t>Xenrep X</t>
  </si>
  <si>
    <t>D0778</t>
  </si>
  <si>
    <t>D0826</t>
  </si>
  <si>
    <t>D0856</t>
  </si>
  <si>
    <t>D0738</t>
  </si>
  <si>
    <t>D0835</t>
  </si>
  <si>
    <t>Kymbio X</t>
  </si>
  <si>
    <t>D0806</t>
  </si>
  <si>
    <t>D0754</t>
  </si>
  <si>
    <t>D0818</t>
  </si>
  <si>
    <t>D0829</t>
  </si>
  <si>
    <t>D0736</t>
  </si>
  <si>
    <t>D0794</t>
  </si>
  <si>
    <t>D0837</t>
  </si>
  <si>
    <t>D0755</t>
  </si>
  <si>
    <t>D0786</t>
  </si>
  <si>
    <t>D0836</t>
  </si>
  <si>
    <t>D0832</t>
  </si>
  <si>
    <t>D0850</t>
  </si>
  <si>
    <t>D0765</t>
  </si>
  <si>
    <t>D0791</t>
  </si>
  <si>
    <t>D0824</t>
  </si>
  <si>
    <t>D0827</t>
  </si>
  <si>
    <t>D0780</t>
  </si>
  <si>
    <t>D0746</t>
  </si>
  <si>
    <t>D0022</t>
  </si>
  <si>
    <t>Generate Biomedicines</t>
  </si>
  <si>
    <t>D0776</t>
  </si>
  <si>
    <t>D0855</t>
  </si>
  <si>
    <t>D0808</t>
  </si>
  <si>
    <t>D0854</t>
  </si>
  <si>
    <t>D0833</t>
  </si>
  <si>
    <t>D0741</t>
  </si>
  <si>
    <t>D0764</t>
  </si>
  <si>
    <t>D0852</t>
  </si>
  <si>
    <t>D0731</t>
  </si>
  <si>
    <t>D0846</t>
  </si>
  <si>
    <t>D0752</t>
  </si>
  <si>
    <t>D0766</t>
  </si>
  <si>
    <t>D0814</t>
  </si>
  <si>
    <t>D0762</t>
  </si>
  <si>
    <t>Xenaer X</t>
  </si>
  <si>
    <t>D0849</t>
  </si>
  <si>
    <t>D0774</t>
  </si>
  <si>
    <t>D0745</t>
  </si>
  <si>
    <t>D0753</t>
  </si>
  <si>
    <t>Synyot Therapeutics</t>
  </si>
  <si>
    <t>D0735</t>
  </si>
  <si>
    <t>D0732</t>
  </si>
  <si>
    <t>Biouni Therapeutics</t>
  </si>
  <si>
    <t>D0763</t>
  </si>
  <si>
    <t>D0744</t>
  </si>
  <si>
    <t>D0819</t>
  </si>
  <si>
    <t>Celhap Tx</t>
  </si>
  <si>
    <t>D0857</t>
  </si>
  <si>
    <t>D0782</t>
  </si>
  <si>
    <t>D0925</t>
  </si>
  <si>
    <t>D0871</t>
  </si>
  <si>
    <t>D0936</t>
  </si>
  <si>
    <t>D0895</t>
  </si>
  <si>
    <t>Haprep Therapeutics</t>
  </si>
  <si>
    <t>D0916</t>
  </si>
  <si>
    <t>D0941</t>
  </si>
  <si>
    <t>D0892</t>
  </si>
  <si>
    <t>Promod Therapeutics</t>
  </si>
  <si>
    <t>D0921</t>
  </si>
  <si>
    <t>D0878</t>
  </si>
  <si>
    <t>D0877</t>
  </si>
  <si>
    <t>D0927</t>
  </si>
  <si>
    <t>D0932</t>
  </si>
  <si>
    <t>D0884</t>
  </si>
  <si>
    <t>Yotquo Tx</t>
  </si>
  <si>
    <t>D0911</t>
  </si>
  <si>
    <t>D0865</t>
  </si>
  <si>
    <t>D0922</t>
  </si>
  <si>
    <t>Haptav X</t>
  </si>
  <si>
    <t>D0874</t>
  </si>
  <si>
    <t>Epizeo Therapeutics</t>
  </si>
  <si>
    <t>D0858</t>
  </si>
  <si>
    <t>Lumneu Therapeutics</t>
  </si>
  <si>
    <t>D0909</t>
  </si>
  <si>
    <t>Biokym Therapeutics</t>
  </si>
  <si>
    <t>D0904</t>
  </si>
  <si>
    <t>D0870</t>
  </si>
  <si>
    <t>Quotav Tx</t>
  </si>
  <si>
    <t>D0891</t>
  </si>
  <si>
    <t>Tavgen Tx</t>
  </si>
  <si>
    <t>D0945</t>
  </si>
  <si>
    <t>D0953</t>
  </si>
  <si>
    <t>D0900</t>
  </si>
  <si>
    <t>Epihap X</t>
  </si>
  <si>
    <t>D0956</t>
  </si>
  <si>
    <t>D0914</t>
  </si>
  <si>
    <t>D0913</t>
  </si>
  <si>
    <t>Synrep Tx</t>
  </si>
  <si>
    <t>D0915</t>
  </si>
  <si>
    <t>D0917</t>
  </si>
  <si>
    <t>D0881</t>
  </si>
  <si>
    <t>D0919</t>
  </si>
  <si>
    <t>D0946</t>
  </si>
  <si>
    <t>Neukym Tx</t>
  </si>
  <si>
    <t>D0907</t>
  </si>
  <si>
    <t>D0882</t>
  </si>
  <si>
    <t>D0931</t>
  </si>
  <si>
    <t>Genaer X</t>
  </si>
  <si>
    <t>D0879</t>
  </si>
  <si>
    <t>D0876</t>
  </si>
  <si>
    <t>D0929</t>
  </si>
  <si>
    <t>D0867</t>
  </si>
  <si>
    <t>Quovec X</t>
  </si>
  <si>
    <t>D0875</t>
  </si>
  <si>
    <t>D0893</t>
  </si>
  <si>
    <t>Xenpro Tx</t>
  </si>
  <si>
    <t>D0949</t>
  </si>
  <si>
    <t>Oncjas X</t>
  </si>
  <si>
    <t>D0885</t>
  </si>
  <si>
    <t>D0868</t>
  </si>
  <si>
    <t>D0924</t>
  </si>
  <si>
    <t>D0952</t>
  </si>
  <si>
    <t>D0954</t>
  </si>
  <si>
    <t>D0926</t>
  </si>
  <si>
    <t>D0894</t>
  </si>
  <si>
    <t>D0896</t>
  </si>
  <si>
    <t>D0955</t>
  </si>
  <si>
    <t>D0943</t>
  </si>
  <si>
    <t>D0866</t>
  </si>
  <si>
    <t>D0873</t>
  </si>
  <si>
    <t>Aerjas X</t>
  </si>
  <si>
    <t>D0938</t>
  </si>
  <si>
    <t>D0951</t>
  </si>
  <si>
    <t>Genhap Therapeutics</t>
  </si>
  <si>
    <t>D0860</t>
  </si>
  <si>
    <t>D0923</t>
  </si>
  <si>
    <t>D0908</t>
  </si>
  <si>
    <t>D0910</t>
  </si>
  <si>
    <t>D0898</t>
  </si>
  <si>
    <t>Celmod X</t>
  </si>
  <si>
    <t>D0897</t>
  </si>
  <si>
    <t>D0888</t>
  </si>
  <si>
    <t>D0890</t>
  </si>
  <si>
    <t>Tavneu Therapeutics</t>
  </si>
  <si>
    <t>D0861</t>
  </si>
  <si>
    <t>Lumbio Tx</t>
  </si>
  <si>
    <t>D0944</t>
  </si>
  <si>
    <t>Kymkym Therapeutics</t>
  </si>
  <si>
    <t>D0940</t>
  </si>
  <si>
    <t>Epivec Tx</t>
  </si>
  <si>
    <t>D0862</t>
  </si>
  <si>
    <t>D0023</t>
  </si>
  <si>
    <t>Altos Labs</t>
  </si>
  <si>
    <t>D0937</t>
  </si>
  <si>
    <t>D0942</t>
  </si>
  <si>
    <t>D0859</t>
  </si>
  <si>
    <t>Modcel Therapeutics</t>
  </si>
  <si>
    <t>D0934</t>
  </si>
  <si>
    <t>D0950</t>
  </si>
  <si>
    <t>D0872</t>
  </si>
  <si>
    <t>Biomod X</t>
  </si>
  <si>
    <t>D0864</t>
  </si>
  <si>
    <t>D0947</t>
  </si>
  <si>
    <t>Modzeo X</t>
  </si>
  <si>
    <t>D0869</t>
  </si>
  <si>
    <t>D0930</t>
  </si>
  <si>
    <t>Repaer Therapeutics</t>
  </si>
  <si>
    <t>D0935</t>
  </si>
  <si>
    <t>D0906</t>
  </si>
  <si>
    <t>D0880</t>
  </si>
  <si>
    <t>D0887</t>
  </si>
  <si>
    <t>D0933</t>
  </si>
  <si>
    <t>D0901</t>
  </si>
  <si>
    <t>Synzeo X</t>
  </si>
  <si>
    <t>D0905</t>
  </si>
  <si>
    <t>D0903</t>
  </si>
  <si>
    <t>Synquo Therapeutics</t>
  </si>
  <si>
    <t>D0889</t>
  </si>
  <si>
    <t>D0902</t>
  </si>
  <si>
    <t>D0948</t>
  </si>
  <si>
    <t>D0883</t>
  </si>
  <si>
    <t>Biogen Tx</t>
  </si>
  <si>
    <t>D0863</t>
  </si>
  <si>
    <t>D0920</t>
  </si>
  <si>
    <t>D0912</t>
  </si>
  <si>
    <t>D0957</t>
  </si>
  <si>
    <t>D0011</t>
  </si>
  <si>
    <t>Horizon Therapeutics</t>
  </si>
  <si>
    <t>D0918</t>
  </si>
  <si>
    <t>D0899</t>
  </si>
  <si>
    <t>D0939</t>
  </si>
  <si>
    <t>D0886</t>
  </si>
  <si>
    <t>Immimm X</t>
  </si>
  <si>
    <t>D0928</t>
  </si>
  <si>
    <t>D0971</t>
  </si>
  <si>
    <t>D0998</t>
  </si>
  <si>
    <t>D0963</t>
  </si>
  <si>
    <t>D1029</t>
  </si>
  <si>
    <t>D1016</t>
  </si>
  <si>
    <t>D1032</t>
  </si>
  <si>
    <t>D1021</t>
  </si>
  <si>
    <t>Epigen Therapeutics</t>
  </si>
  <si>
    <t>D1015</t>
  </si>
  <si>
    <t>D1007</t>
  </si>
  <si>
    <t>D0969</t>
  </si>
  <si>
    <t>Hapmod Therapeutics</t>
  </si>
  <si>
    <t>D0959</t>
  </si>
  <si>
    <t>D0962</t>
  </si>
  <si>
    <t>Lumpro Tx</t>
  </si>
  <si>
    <t>D0967</t>
  </si>
  <si>
    <t>D1010</t>
  </si>
  <si>
    <t>D0987</t>
  </si>
  <si>
    <t>Zeouni X</t>
  </si>
  <si>
    <t>D0968</t>
  </si>
  <si>
    <t>Kymgen X</t>
  </si>
  <si>
    <t>D0989</t>
  </si>
  <si>
    <t>Proimm X</t>
  </si>
  <si>
    <t>D0012</t>
  </si>
  <si>
    <t>Prometheus</t>
  </si>
  <si>
    <t>D0975</t>
  </si>
  <si>
    <t>D0988</t>
  </si>
  <si>
    <t>Bioden Tx</t>
  </si>
  <si>
    <t>D1024</t>
  </si>
  <si>
    <t>Happro X</t>
  </si>
  <si>
    <t>D0991</t>
  </si>
  <si>
    <t>Tavquo X</t>
  </si>
  <si>
    <t>D0996</t>
  </si>
  <si>
    <t>Hapaer X</t>
  </si>
  <si>
    <t>D1008</t>
  </si>
  <si>
    <t>Celden X</t>
  </si>
  <si>
    <t>D1009</t>
  </si>
  <si>
    <t>Genmod X</t>
  </si>
  <si>
    <t>D0983</t>
  </si>
  <si>
    <t>D0977</t>
  </si>
  <si>
    <t>D0995</t>
  </si>
  <si>
    <t>Genonc X</t>
  </si>
  <si>
    <t>D0974</t>
  </si>
  <si>
    <t>Yothap X</t>
  </si>
  <si>
    <t>D1003</t>
  </si>
  <si>
    <t>Denpro Tx</t>
  </si>
  <si>
    <t>D0985</t>
  </si>
  <si>
    <t>D1011</t>
  </si>
  <si>
    <t>D1031</t>
  </si>
  <si>
    <t>D0970</t>
  </si>
  <si>
    <t>D1030</t>
  </si>
  <si>
    <t>Quojas Tx</t>
  </si>
  <si>
    <t>D0966</t>
  </si>
  <si>
    <t>D1012</t>
  </si>
  <si>
    <t>Zeoquo Therapeutics</t>
  </si>
  <si>
    <t>D1023</t>
  </si>
  <si>
    <t>D0964</t>
  </si>
  <si>
    <t>D0993</t>
  </si>
  <si>
    <t>Onckym Tx</t>
  </si>
  <si>
    <t>D0961</t>
  </si>
  <si>
    <t>D1025</t>
  </si>
  <si>
    <t>D1020</t>
  </si>
  <si>
    <t>Jasden X</t>
  </si>
  <si>
    <t>D1006</t>
  </si>
  <si>
    <t>D1000</t>
  </si>
  <si>
    <t>D0976</t>
  </si>
  <si>
    <t>D0992</t>
  </si>
  <si>
    <t>D0973</t>
  </si>
  <si>
    <t>D1027</t>
  </si>
  <si>
    <t>D1004</t>
  </si>
  <si>
    <t>Quomod Therapeutics</t>
  </si>
  <si>
    <t>D0990</t>
  </si>
  <si>
    <t>D1001</t>
  </si>
  <si>
    <t>D0999</t>
  </si>
  <si>
    <t>Biouni X</t>
  </si>
  <si>
    <t>D0982</t>
  </si>
  <si>
    <t>D0960</t>
  </si>
  <si>
    <t>D0986</t>
  </si>
  <si>
    <t>D1005</t>
  </si>
  <si>
    <t>D1014</t>
  </si>
  <si>
    <t>Neuhap Tx</t>
  </si>
  <si>
    <t>D0994</t>
  </si>
  <si>
    <t>D1017</t>
  </si>
  <si>
    <t>D0984</t>
  </si>
  <si>
    <t>D1013</t>
  </si>
  <si>
    <t>D1002</t>
  </si>
  <si>
    <t>D1022</t>
  </si>
  <si>
    <t>D1028</t>
  </si>
  <si>
    <t>D1018</t>
  </si>
  <si>
    <t>D0978</t>
  </si>
  <si>
    <t>D0980</t>
  </si>
  <si>
    <t>D0979</t>
  </si>
  <si>
    <t>D0997</t>
  </si>
  <si>
    <t>D1019</t>
  </si>
  <si>
    <t>D0981</t>
  </si>
  <si>
    <t>Uniyot Therapeutics</t>
  </si>
  <si>
    <t>D0972</t>
  </si>
  <si>
    <t>D0965</t>
  </si>
  <si>
    <t>D1026</t>
  </si>
  <si>
    <t>Neuuni Tx</t>
  </si>
  <si>
    <t>D0958</t>
  </si>
  <si>
    <t>Aersyn Therapeutics</t>
  </si>
  <si>
    <t>D0013</t>
  </si>
  <si>
    <t>Karuna</t>
  </si>
  <si>
    <t>D1059</t>
  </si>
  <si>
    <t>D1083</t>
  </si>
  <si>
    <t>Bioden X</t>
  </si>
  <si>
    <t>D1053</t>
  </si>
  <si>
    <t>D1074</t>
  </si>
  <si>
    <t>D1045</t>
  </si>
  <si>
    <t>D1061</t>
  </si>
  <si>
    <t>D1049</t>
  </si>
  <si>
    <t>D0020</t>
  </si>
  <si>
    <t>D1070</t>
  </si>
  <si>
    <t>D1055</t>
  </si>
  <si>
    <t>Jasquo X</t>
  </si>
  <si>
    <t>D1037</t>
  </si>
  <si>
    <t>Xenvec Therapeutics</t>
  </si>
  <si>
    <t>D1062</t>
  </si>
  <si>
    <t>D1122</t>
  </si>
  <si>
    <t>Zeozeo Tx</t>
  </si>
  <si>
    <t>D1102</t>
  </si>
  <si>
    <t>D1067</t>
  </si>
  <si>
    <t>Genkym Therapeutics</t>
  </si>
  <si>
    <t>D1081</t>
  </si>
  <si>
    <t>D1108</t>
  </si>
  <si>
    <t>D1043</t>
  </si>
  <si>
    <t>D0024</t>
  </si>
  <si>
    <t>Xaira Therapeutics</t>
  </si>
  <si>
    <t>D1064</t>
  </si>
  <si>
    <t>D1051</t>
  </si>
  <si>
    <t>D1047</t>
  </si>
  <si>
    <t>D1036</t>
  </si>
  <si>
    <t>D1035</t>
  </si>
  <si>
    <t>Unitav Tx</t>
  </si>
  <si>
    <t>D1041</t>
  </si>
  <si>
    <t>D1080</t>
  </si>
  <si>
    <t>D1090</t>
  </si>
  <si>
    <t>D1121</t>
  </si>
  <si>
    <t>D1050</t>
  </si>
  <si>
    <t>D0014</t>
  </si>
  <si>
    <t>Vertex</t>
  </si>
  <si>
    <t>Alpine Immune</t>
  </si>
  <si>
    <t>D1039</t>
  </si>
  <si>
    <t>Lumhap Therapeutics</t>
  </si>
  <si>
    <t>D1117</t>
  </si>
  <si>
    <t>D1114</t>
  </si>
  <si>
    <t>Quokym X</t>
  </si>
  <si>
    <t>D1057</t>
  </si>
  <si>
    <t>D1073</t>
  </si>
  <si>
    <t>Jasquo Therapeutics</t>
  </si>
  <si>
    <t>D1112</t>
  </si>
  <si>
    <t>D1096</t>
  </si>
  <si>
    <t>Neuxen X</t>
  </si>
  <si>
    <t>D1115</t>
  </si>
  <si>
    <t>D1088</t>
  </si>
  <si>
    <t>Modaer X</t>
  </si>
  <si>
    <t>D1111</t>
  </si>
  <si>
    <t>Biobio X</t>
  </si>
  <si>
    <t>D1099</t>
  </si>
  <si>
    <t>D1086</t>
  </si>
  <si>
    <t>D1107</t>
  </si>
  <si>
    <t>D1094</t>
  </si>
  <si>
    <t>D1119</t>
  </si>
  <si>
    <t>D1101</t>
  </si>
  <si>
    <t>D1103</t>
  </si>
  <si>
    <t>Modlum X</t>
  </si>
  <si>
    <t>D0025</t>
  </si>
  <si>
    <t>Formation Bio</t>
  </si>
  <si>
    <t>D1046</t>
  </si>
  <si>
    <t>D1034</t>
  </si>
  <si>
    <t>D1100</t>
  </si>
  <si>
    <t>D1058</t>
  </si>
  <si>
    <t>Synaer X</t>
  </si>
  <si>
    <t>D1110</t>
  </si>
  <si>
    <t>D1105</t>
  </si>
  <si>
    <t>D1087</t>
  </si>
  <si>
    <t>D1120</t>
  </si>
  <si>
    <t>Repjas Tx</t>
  </si>
  <si>
    <t>D1116</t>
  </si>
  <si>
    <t>D1077</t>
  </si>
  <si>
    <t>D1109</t>
  </si>
  <si>
    <t>D1065</t>
  </si>
  <si>
    <t>Kymkym X</t>
  </si>
  <si>
    <t>D1068</t>
  </si>
  <si>
    <t>D1078</t>
  </si>
  <si>
    <t>D1118</t>
  </si>
  <si>
    <t>D1113</t>
  </si>
  <si>
    <t>Modcel X</t>
  </si>
  <si>
    <t>D1092</t>
  </si>
  <si>
    <t>D1075</t>
  </si>
  <si>
    <t>D1048</t>
  </si>
  <si>
    <t>Reppro X</t>
  </si>
  <si>
    <t>D0026</t>
  </si>
  <si>
    <t>Isomorphic Labs</t>
  </si>
  <si>
    <t>D1095</t>
  </si>
  <si>
    <t>D1069</t>
  </si>
  <si>
    <t>D1091</t>
  </si>
  <si>
    <t>D1066</t>
  </si>
  <si>
    <t>Onccel X</t>
  </si>
  <si>
    <t>D1104</t>
  </si>
  <si>
    <t>D1089</t>
  </si>
  <si>
    <t>D1033</t>
  </si>
  <si>
    <t>D1085</t>
  </si>
  <si>
    <t>D1084</t>
  </si>
  <si>
    <t>D1038</t>
  </si>
  <si>
    <t>D1054</t>
  </si>
  <si>
    <t>D1056</t>
  </si>
  <si>
    <t>Unipro Tx</t>
  </si>
  <si>
    <t>D1079</t>
  </si>
  <si>
    <t>D1097</t>
  </si>
  <si>
    <t>D1040</t>
  </si>
  <si>
    <t>D1093</t>
  </si>
  <si>
    <t>D1076</t>
  </si>
  <si>
    <t>Repyot X</t>
  </si>
  <si>
    <t>D1071</t>
  </si>
  <si>
    <t>D1106</t>
  </si>
  <si>
    <t>D1042</t>
  </si>
  <si>
    <t>D1052</t>
  </si>
  <si>
    <t>D1044</t>
  </si>
  <si>
    <t>D1060</t>
  </si>
  <si>
    <t>Lummod Tx</t>
  </si>
  <si>
    <t>D1098</t>
  </si>
  <si>
    <t>D1082</t>
  </si>
  <si>
    <t>D1072</t>
  </si>
  <si>
    <t>D1063</t>
  </si>
  <si>
    <t>D1191</t>
  </si>
  <si>
    <t>D1157</t>
  </si>
  <si>
    <t>D1148</t>
  </si>
  <si>
    <t>D1168</t>
  </si>
  <si>
    <t>D1161</t>
  </si>
  <si>
    <t>Quoaer Tx</t>
  </si>
  <si>
    <t>D1188</t>
  </si>
  <si>
    <t>D1182</t>
  </si>
  <si>
    <t>D1136</t>
  </si>
  <si>
    <t>D1192</t>
  </si>
  <si>
    <t>Bioneu Tx</t>
  </si>
  <si>
    <t>D1195</t>
  </si>
  <si>
    <t>D1163</t>
  </si>
  <si>
    <t>D1174</t>
  </si>
  <si>
    <t>D1197</t>
  </si>
  <si>
    <t>D0027</t>
  </si>
  <si>
    <t>Eikon Therapeutics</t>
  </si>
  <si>
    <t>D1155</t>
  </si>
  <si>
    <t>D1130</t>
  </si>
  <si>
    <t>D1180</t>
  </si>
  <si>
    <t>Lumonc Therapeutics</t>
  </si>
  <si>
    <t>D1202</t>
  </si>
  <si>
    <t>D1150</t>
  </si>
  <si>
    <t>D1151</t>
  </si>
  <si>
    <t>Xenlum Tx</t>
  </si>
  <si>
    <t>D1185</t>
  </si>
  <si>
    <t>D1147</t>
  </si>
  <si>
    <t>D1153</t>
  </si>
  <si>
    <t>D1131</t>
  </si>
  <si>
    <t>D1125</t>
  </si>
  <si>
    <t>D1181</t>
  </si>
  <si>
    <t>D1145</t>
  </si>
  <si>
    <t>D1132</t>
  </si>
  <si>
    <t>Aerimm Tx</t>
  </si>
  <si>
    <t>D1124</t>
  </si>
  <si>
    <t>D1160</t>
  </si>
  <si>
    <t>D1170</t>
  </si>
  <si>
    <t>D1128</t>
  </si>
  <si>
    <t>D1134</t>
  </si>
  <si>
    <t>D1183</t>
  </si>
  <si>
    <t>Aercel Tx</t>
  </si>
  <si>
    <t>D1200</t>
  </si>
  <si>
    <t>Epixen Tx</t>
  </si>
  <si>
    <t>D1199</t>
  </si>
  <si>
    <t>Oncvec X</t>
  </si>
  <si>
    <t>D1198</t>
  </si>
  <si>
    <t>Yotxen Tx</t>
  </si>
  <si>
    <t>D1194</t>
  </si>
  <si>
    <t>D1171</t>
  </si>
  <si>
    <t>Repquo X</t>
  </si>
  <si>
    <t>D1201</t>
  </si>
  <si>
    <t>D1175</t>
  </si>
  <si>
    <t>D1156</t>
  </si>
  <si>
    <t>D1144</t>
  </si>
  <si>
    <t>D1154</t>
  </si>
  <si>
    <t>Tavneu Tx</t>
  </si>
  <si>
    <t>D1137</t>
  </si>
  <si>
    <t>D1179</t>
  </si>
  <si>
    <t>Xenaer Therapeutics</t>
  </si>
  <si>
    <t>D1142</t>
  </si>
  <si>
    <t>D1140</t>
  </si>
  <si>
    <t>D1164</t>
  </si>
  <si>
    <t>D1143</t>
  </si>
  <si>
    <t>D1193</t>
  </si>
  <si>
    <t>Celimm Tx</t>
  </si>
  <si>
    <t>D1187</t>
  </si>
  <si>
    <t>Quotav Therapeutics</t>
  </si>
  <si>
    <t>D1158</t>
  </si>
  <si>
    <t>Kymuni Therapeutics</t>
  </si>
  <si>
    <t>D1126</t>
  </si>
  <si>
    <t>D1169</t>
  </si>
  <si>
    <t>D1162</t>
  </si>
  <si>
    <t>D1189</t>
  </si>
  <si>
    <t>D1135</t>
  </si>
  <si>
    <t>D1184</t>
  </si>
  <si>
    <t>D1166</t>
  </si>
  <si>
    <t>D1146</t>
  </si>
  <si>
    <t>D1149</t>
  </si>
  <si>
    <t>D1133</t>
  </si>
  <si>
    <t>Gencel Therapeutics</t>
  </si>
  <si>
    <t>D1129</t>
  </si>
  <si>
    <t>D1123</t>
  </si>
  <si>
    <t>D1186</t>
  </si>
  <si>
    <t>D1127</t>
  </si>
  <si>
    <t>D1177</t>
  </si>
  <si>
    <t>D1176</t>
  </si>
  <si>
    <t>Kymcel Tx</t>
  </si>
  <si>
    <t>D1173</t>
  </si>
  <si>
    <t>D1138</t>
  </si>
  <si>
    <t>D1190</t>
  </si>
  <si>
    <t>D1178</t>
  </si>
  <si>
    <t>D1141</t>
  </si>
  <si>
    <t>D1165</t>
  </si>
  <si>
    <t>D1152</t>
  </si>
  <si>
    <t>D1159</t>
  </si>
  <si>
    <t>D1172</t>
  </si>
  <si>
    <t>D1196</t>
  </si>
  <si>
    <t>D1139</t>
  </si>
  <si>
    <t>D1167</t>
  </si>
  <si>
    <t>Aeryot Tx</t>
  </si>
  <si>
    <t>D1206</t>
  </si>
  <si>
    <t>D1207</t>
  </si>
  <si>
    <t>Aerlum Therapeutics</t>
  </si>
  <si>
    <t>D1203</t>
  </si>
  <si>
    <t>D1208</t>
  </si>
  <si>
    <t>D1204</t>
  </si>
  <si>
    <t>Yotpro Tx</t>
  </si>
  <si>
    <t>D1205</t>
  </si>
  <si>
    <t>trial_id</t>
  </si>
  <si>
    <t>completion_date</t>
  </si>
  <si>
    <t>sponsor</t>
  </si>
  <si>
    <t>phase</t>
  </si>
  <si>
    <t>enrollment_n</t>
  </si>
  <si>
    <t>estimated_stock_impact_pct</t>
  </si>
  <si>
    <t>NCT00000024</t>
  </si>
  <si>
    <t>BioNTech</t>
  </si>
  <si>
    <t>Phase 2</t>
  </si>
  <si>
    <t>NCT00000015</t>
  </si>
  <si>
    <t>NCT00000013</t>
  </si>
  <si>
    <t>NCT00000022</t>
  </si>
  <si>
    <t>Takeda</t>
  </si>
  <si>
    <t>NCT00000019</t>
  </si>
  <si>
    <t>Novo Nordisk</t>
  </si>
  <si>
    <t>Phase 3</t>
  </si>
  <si>
    <t>NCT00000021</t>
  </si>
  <si>
    <t>NCT00000011</t>
  </si>
  <si>
    <t>NCT00000014</t>
  </si>
  <si>
    <t>NCT00000003</t>
  </si>
  <si>
    <t>NCT00000028</t>
  </si>
  <si>
    <t>NCT00000006</t>
  </si>
  <si>
    <t>NCT00000017</t>
  </si>
  <si>
    <t>NCT00000034</t>
  </si>
  <si>
    <t>NCT00000009</t>
  </si>
  <si>
    <t>NCT00000016</t>
  </si>
  <si>
    <t>NCT00000012</t>
  </si>
  <si>
    <t>NCT00000005</t>
  </si>
  <si>
    <t>NCT00000029</t>
  </si>
  <si>
    <t>NCT00000032</t>
  </si>
  <si>
    <t>NCT00000020</t>
  </si>
  <si>
    <t>NCT00000023</t>
  </si>
  <si>
    <t>NCT00000002</t>
  </si>
  <si>
    <t>NCT00000027</t>
  </si>
  <si>
    <t>NCT00000030</t>
  </si>
  <si>
    <t>NCT00000018</t>
  </si>
  <si>
    <t>NCT00000025</t>
  </si>
  <si>
    <t>NCT00000026</t>
  </si>
  <si>
    <t>NCT00000004</t>
  </si>
  <si>
    <t>NCT00000007</t>
  </si>
  <si>
    <t>NCT00000001</t>
  </si>
  <si>
    <t>NCT00000033</t>
  </si>
  <si>
    <t>NCT00000031</t>
  </si>
  <si>
    <t>NCT00000010</t>
  </si>
  <si>
    <t>Moderna</t>
  </si>
  <si>
    <t>NCT00000008</t>
  </si>
  <si>
    <t>NCT00000058</t>
  </si>
  <si>
    <t>NCT00000038</t>
  </si>
  <si>
    <t>NCT00000039</t>
  </si>
  <si>
    <t>NCT00000055</t>
  </si>
  <si>
    <t>NCT00000045</t>
  </si>
  <si>
    <t>NCT00000046</t>
  </si>
  <si>
    <t>NCT00000050</t>
  </si>
  <si>
    <t>NCT00000060</t>
  </si>
  <si>
    <t>NCT00000037</t>
  </si>
  <si>
    <t>NCT00000054</t>
  </si>
  <si>
    <t>NCT00000061</t>
  </si>
  <si>
    <t>NCT00000065</t>
  </si>
  <si>
    <t>NCT00000062</t>
  </si>
  <si>
    <t>NCT00000072</t>
  </si>
  <si>
    <t>NCT00000047</t>
  </si>
  <si>
    <t>NCT00000042</t>
  </si>
  <si>
    <t>NCT00000056</t>
  </si>
  <si>
    <t>NCT00000074</t>
  </si>
  <si>
    <t>NCT00000041</t>
  </si>
  <si>
    <t>NCT00000064</t>
  </si>
  <si>
    <t>NCT00000069</t>
  </si>
  <si>
    <t>NCT00000066</t>
  </si>
  <si>
    <t>NCT00000053</t>
  </si>
  <si>
    <t>NCT00000035</t>
  </si>
  <si>
    <t>NCT00000059</t>
  </si>
  <si>
    <t>NCT00000051</t>
  </si>
  <si>
    <t>NCT00000071</t>
  </si>
  <si>
    <t>NCT00000076</t>
  </si>
  <si>
    <t>NCT00000044</t>
  </si>
  <si>
    <t>NCT00000052</t>
  </si>
  <si>
    <t>NCT00000067</t>
  </si>
  <si>
    <t>NCT00000040</t>
  </si>
  <si>
    <t>NCT00000063</t>
  </si>
  <si>
    <t>NCT00000048</t>
  </si>
  <si>
    <t>Regeneron</t>
  </si>
  <si>
    <t>NCT00000036</t>
  </si>
  <si>
    <t>NCT00000068</t>
  </si>
  <si>
    <t>NCT00000043</t>
  </si>
  <si>
    <t>NCT00000070</t>
  </si>
  <si>
    <t>NCT00000057</t>
  </si>
  <si>
    <t>NCT00000073</t>
  </si>
  <si>
    <t>NCT00000075</t>
  </si>
  <si>
    <t>NCT00000049</t>
  </si>
  <si>
    <t>NCT00000114</t>
  </si>
  <si>
    <t>NCT00000094</t>
  </si>
  <si>
    <t>NCT00000081</t>
  </si>
  <si>
    <t>NCT00000088</t>
  </si>
  <si>
    <t>NCT00000084</t>
  </si>
  <si>
    <t>NCT00000077</t>
  </si>
  <si>
    <t>NCT00000102</t>
  </si>
  <si>
    <t>NCT00000082</t>
  </si>
  <si>
    <t>NCT00000098</t>
  </si>
  <si>
    <t>NCT00000115</t>
  </si>
  <si>
    <t>NCT00000079</t>
  </si>
  <si>
    <t>NCT00000110</t>
  </si>
  <si>
    <t>NCT00000111</t>
  </si>
  <si>
    <t>NCT00000104</t>
  </si>
  <si>
    <t>NCT00000089</t>
  </si>
  <si>
    <t>NCT00000117</t>
  </si>
  <si>
    <t>NCT00000100</t>
  </si>
  <si>
    <t>NCT00000095</t>
  </si>
  <si>
    <t>Boehringer Ingelheim</t>
  </si>
  <si>
    <t>NCT00000090</t>
  </si>
  <si>
    <t>NCT00000080</t>
  </si>
  <si>
    <t>NCT00000106</t>
  </si>
  <si>
    <t>NCT00000101</t>
  </si>
  <si>
    <t>NCT00000099</t>
  </si>
  <si>
    <t>NCT00000107</t>
  </si>
  <si>
    <t>NCT00000105</t>
  </si>
  <si>
    <t>NCT00000112</t>
  </si>
  <si>
    <t>NCT00000078</t>
  </si>
  <si>
    <t>NCT00000086</t>
  </si>
  <si>
    <t>NCT00000083</t>
  </si>
  <si>
    <t>NCT00000109</t>
  </si>
  <si>
    <t>NCT00000093</t>
  </si>
  <si>
    <t>NCT00000092</t>
  </si>
  <si>
    <t>NCT00000116</t>
  </si>
  <si>
    <t>NCT00000113</t>
  </si>
  <si>
    <t>NCT00000085</t>
  </si>
  <si>
    <t>NCT00000097</t>
  </si>
  <si>
    <t>NCT00000096</t>
  </si>
  <si>
    <t>NCT00000108</t>
  </si>
  <si>
    <t>NCT00000103</t>
  </si>
  <si>
    <t>NCT00000087</t>
  </si>
  <si>
    <t>NCT00000091</t>
  </si>
  <si>
    <t>NCT00000132</t>
  </si>
  <si>
    <t>NCT00000124</t>
  </si>
  <si>
    <t>NCT00000130</t>
  </si>
  <si>
    <t>NCT00000126</t>
  </si>
  <si>
    <t>NCT00000135</t>
  </si>
  <si>
    <t>NCT00000123</t>
  </si>
  <si>
    <t>NCT00000150</t>
  </si>
  <si>
    <t>NCT00000143</t>
  </si>
  <si>
    <t>NCT00000145</t>
  </si>
  <si>
    <t>NCT00000152</t>
  </si>
  <si>
    <t>NCT00000127</t>
  </si>
  <si>
    <t>NCT00000131</t>
  </si>
  <si>
    <t>NCT00000118</t>
  </si>
  <si>
    <t>NCT00000144</t>
  </si>
  <si>
    <t>NCT00000125</t>
  </si>
  <si>
    <t>NCT00000122</t>
  </si>
  <si>
    <t>NCT00000128</t>
  </si>
  <si>
    <t>NCT00000156</t>
  </si>
  <si>
    <t>NCT00000119</t>
  </si>
  <si>
    <t>NCT00000121</t>
  </si>
  <si>
    <t>NCT00000149</t>
  </si>
  <si>
    <t>NCT00000129</t>
  </si>
  <si>
    <t>NCT00000137</t>
  </si>
  <si>
    <t>NCT00000134</t>
  </si>
  <si>
    <t>NCT00000157</t>
  </si>
  <si>
    <t>NCT00000140</t>
  </si>
  <si>
    <t>NCT00000133</t>
  </si>
  <si>
    <t>NCT00000147</t>
  </si>
  <si>
    <t>NCT00000136</t>
  </si>
  <si>
    <t>NCT00000141</t>
  </si>
  <si>
    <t>NCT00000138</t>
  </si>
  <si>
    <t>NCT00000139</t>
  </si>
  <si>
    <t>NCT00000120</t>
  </si>
  <si>
    <t>NCT00000142</t>
  </si>
  <si>
    <t>NCT00000151</t>
  </si>
  <si>
    <t>NCT00000148</t>
  </si>
  <si>
    <t>NCT00000158</t>
  </si>
  <si>
    <t>NCT00000146</t>
  </si>
  <si>
    <t>NCT00000153</t>
  </si>
  <si>
    <t>NCT00000159</t>
  </si>
  <si>
    <t>NCT00000155</t>
  </si>
  <si>
    <t>NCT00000154</t>
  </si>
  <si>
    <t>NCT00000174</t>
  </si>
  <si>
    <t>NCT00000176</t>
  </si>
  <si>
    <t>NCT00000189</t>
  </si>
  <si>
    <t>NCT00000185</t>
  </si>
  <si>
    <t>NCT00000167</t>
  </si>
  <si>
    <t>NCT00000190</t>
  </si>
  <si>
    <t>NCT00000184</t>
  </si>
  <si>
    <t>NCT00000171</t>
  </si>
  <si>
    <t>NCT00000162</t>
  </si>
  <si>
    <t>NCT00000186</t>
  </si>
  <si>
    <t>NCT00000160</t>
  </si>
  <si>
    <t>NCT00000187</t>
  </si>
  <si>
    <t>NCT00000166</t>
  </si>
  <si>
    <t>NCT00000175</t>
  </si>
  <si>
    <t>NCT00000181</t>
  </si>
  <si>
    <t>NCT00000180</t>
  </si>
  <si>
    <t>NCT00000170</t>
  </si>
  <si>
    <t>NCT00000177</t>
  </si>
  <si>
    <t>NCT00000182</t>
  </si>
  <si>
    <t>NCT00000183</t>
  </si>
  <si>
    <t>NCT00000191</t>
  </si>
  <si>
    <t>NCT00000179</t>
  </si>
  <si>
    <t>NCT00000165</t>
  </si>
  <si>
    <t>NCT00000161</t>
  </si>
  <si>
    <t>NCT00000173</t>
  </si>
  <si>
    <t>NCT00000172</t>
  </si>
  <si>
    <t>NCT00000188</t>
  </si>
  <si>
    <t>NCT00000178</t>
  </si>
  <si>
    <t>NCT00000169</t>
  </si>
  <si>
    <t>NCT00000168</t>
  </si>
  <si>
    <t>NCT00000163</t>
  </si>
  <si>
    <t>NCT00000164</t>
  </si>
  <si>
    <t>NCT00000201</t>
  </si>
  <si>
    <t>NCT00000219</t>
  </si>
  <si>
    <t>NCT00000224</t>
  </si>
  <si>
    <t>NCT00000226</t>
  </si>
  <si>
    <t>NCT00000213</t>
  </si>
  <si>
    <t>NCT00000217</t>
  </si>
  <si>
    <t>NCT00000208</t>
  </si>
  <si>
    <t>NCT00000209</t>
  </si>
  <si>
    <t>NCT00000199</t>
  </si>
  <si>
    <t>NCT00000202</t>
  </si>
  <si>
    <t>NCT00000222</t>
  </si>
  <si>
    <t>NCT00000203</t>
  </si>
  <si>
    <t>NCT00000214</t>
  </si>
  <si>
    <t>NCT00000216</t>
  </si>
  <si>
    <t>NCT00000205</t>
  </si>
  <si>
    <t>NCT00000221</t>
  </si>
  <si>
    <t>NCT00000198</t>
  </si>
  <si>
    <t>NCT00000212</t>
  </si>
  <si>
    <t>NCT00000215</t>
  </si>
  <si>
    <t>NCT00000227</t>
  </si>
  <si>
    <t>NCT00000200</t>
  </si>
  <si>
    <t>NCT00000218</t>
  </si>
  <si>
    <t>NCT00000211</t>
  </si>
  <si>
    <t>NCT00000197</t>
  </si>
  <si>
    <t>NCT00000193</t>
  </si>
  <si>
    <t>NCT00000206</t>
  </si>
  <si>
    <t>NCT00000196</t>
  </si>
  <si>
    <t>NCT00000192</t>
  </si>
  <si>
    <t>NCT00000220</t>
  </si>
  <si>
    <t>NCT00000204</t>
  </si>
  <si>
    <t>NCT00000225</t>
  </si>
  <si>
    <t>NCT00000195</t>
  </si>
  <si>
    <t>NCT00000207</t>
  </si>
  <si>
    <t>NCT00000210</t>
  </si>
  <si>
    <t>NCT00000223</t>
  </si>
  <si>
    <t>NCT00000194</t>
  </si>
  <si>
    <t>NCT00000252</t>
  </si>
  <si>
    <t>NCT00000229</t>
  </si>
  <si>
    <t>NCT00000250</t>
  </si>
  <si>
    <t>NCT00000228</t>
  </si>
  <si>
    <t>NCT00000237</t>
  </si>
  <si>
    <t>NCT00000253</t>
  </si>
  <si>
    <t>NCT00000232</t>
  </si>
  <si>
    <t>NCT00000235</t>
  </si>
  <si>
    <t>NCT00000230</t>
  </si>
  <si>
    <t>NCT00000242</t>
  </si>
  <si>
    <t>NCT00000255</t>
  </si>
  <si>
    <t>NCT00000238</t>
  </si>
  <si>
    <t>NCT00000240</t>
  </si>
  <si>
    <t>NCT00000244</t>
  </si>
  <si>
    <t>NCT00000257</t>
  </si>
  <si>
    <t>NCT00000236</t>
  </si>
  <si>
    <t>NCT00000247</t>
  </si>
  <si>
    <t>NCT00000256</t>
  </si>
  <si>
    <t>NCT00000241</t>
  </si>
  <si>
    <t>NCT00000258</t>
  </si>
  <si>
    <t>NCT00000233</t>
  </si>
  <si>
    <t>NCT00000234</t>
  </si>
  <si>
    <t>NCT00000243</t>
  </si>
  <si>
    <t>NCT00000246</t>
  </si>
  <si>
    <t>NCT00000231</t>
  </si>
  <si>
    <t>NCT00000248</t>
  </si>
  <si>
    <t>NCT00000254</t>
  </si>
  <si>
    <t>NCT00000251</t>
  </si>
  <si>
    <t>NCT00000245</t>
  </si>
  <si>
    <t>NCT00000249</t>
  </si>
  <si>
    <t>NCT00000239</t>
  </si>
  <si>
    <t>NCT00000298</t>
  </si>
  <si>
    <t>NCT00000264</t>
  </si>
  <si>
    <t>NCT00000277</t>
  </si>
  <si>
    <t>NCT00000286</t>
  </si>
  <si>
    <t>NCT00000259</t>
  </si>
  <si>
    <t>NCT00000266</t>
  </si>
  <si>
    <t>NCT00000285</t>
  </si>
  <si>
    <t>NCT00000265</t>
  </si>
  <si>
    <t>NCT00000299</t>
  </si>
  <si>
    <t>NCT00000294</t>
  </si>
  <si>
    <t>NCT00000262</t>
  </si>
  <si>
    <t>NCT00000287</t>
  </si>
  <si>
    <t>NCT00000292</t>
  </si>
  <si>
    <t>NCT00000269</t>
  </si>
  <si>
    <t>NCT00000296</t>
  </si>
  <si>
    <t>NCT00000280</t>
  </si>
  <si>
    <t>NCT00000267</t>
  </si>
  <si>
    <t>NCT00000293</t>
  </si>
  <si>
    <t>NCT00000297</t>
  </si>
  <si>
    <t>NCT00000260</t>
  </si>
  <si>
    <t>NCT00000281</t>
  </si>
  <si>
    <t>NCT00000270</t>
  </si>
  <si>
    <t>NCT00000278</t>
  </si>
  <si>
    <t>NCT00000273</t>
  </si>
  <si>
    <t>NCT00000288</t>
  </si>
  <si>
    <t>NCT00000279</t>
  </si>
  <si>
    <t>NCT00000289</t>
  </si>
  <si>
    <t>NCT00000290</t>
  </si>
  <si>
    <t>NCT00000268</t>
  </si>
  <si>
    <t>NCT00000284</t>
  </si>
  <si>
    <t>NCT00000271</t>
  </si>
  <si>
    <t>NCT00000274</t>
  </si>
  <si>
    <t>NCT00000282</t>
  </si>
  <si>
    <t>NCT00000276</t>
  </si>
  <si>
    <t>NCT00000261</t>
  </si>
  <si>
    <t>NCT00000291</t>
  </si>
  <si>
    <t>NCT00000275</t>
  </si>
  <si>
    <t>NCT00000295</t>
  </si>
  <si>
    <t>NCT00000263</t>
  </si>
  <si>
    <t>NCT00000272</t>
  </si>
  <si>
    <t>NCT00000283</t>
  </si>
  <si>
    <t>NCT00000322</t>
  </si>
  <si>
    <t>NCT00000327</t>
  </si>
  <si>
    <t>NCT00000307</t>
  </si>
  <si>
    <t>NCT00000316</t>
  </si>
  <si>
    <t>NCT00000304</t>
  </si>
  <si>
    <t>NCT00000335</t>
  </si>
  <si>
    <t>NCT00000324</t>
  </si>
  <si>
    <t>NCT00000321</t>
  </si>
  <si>
    <t>NCT00000312</t>
  </si>
  <si>
    <t>NCT00000315</t>
  </si>
  <si>
    <t>NCT00000303</t>
  </si>
  <si>
    <t>NCT00000326</t>
  </si>
  <si>
    <t>NCT00000302</t>
  </si>
  <si>
    <t>NCT00000318</t>
  </si>
  <si>
    <t>NCT00000328</t>
  </si>
  <si>
    <t>NCT00000311</t>
  </si>
  <si>
    <t>NCT00000301</t>
  </si>
  <si>
    <t>NCT00000331</t>
  </si>
  <si>
    <t>NCT00000314</t>
  </si>
  <si>
    <t>NCT00000334</t>
  </si>
  <si>
    <t>NCT00000313</t>
  </si>
  <si>
    <t>NCT00000332</t>
  </si>
  <si>
    <t>NCT00000333</t>
  </si>
  <si>
    <t>NCT00000320</t>
  </si>
  <si>
    <t>NCT00000305</t>
  </si>
  <si>
    <t>NCT00000310</t>
  </si>
  <si>
    <t>NCT00000323</t>
  </si>
  <si>
    <t>NCT00000330</t>
  </si>
  <si>
    <t>NCT00000306</t>
  </si>
  <si>
    <t>NCT00000319</t>
  </si>
  <si>
    <t>NCT00000317</t>
  </si>
  <si>
    <t>NCT00000308</t>
  </si>
  <si>
    <t>NCT00000325</t>
  </si>
  <si>
    <t>NCT00000309</t>
  </si>
  <si>
    <t>NCT00000329</t>
  </si>
  <si>
    <t>NCT00000300</t>
  </si>
  <si>
    <t>NCT00000362</t>
  </si>
  <si>
    <t>NCT00000364</t>
  </si>
  <si>
    <t>NCT00000356</t>
  </si>
  <si>
    <t>NCT00000338</t>
  </si>
  <si>
    <t>NCT00000358</t>
  </si>
  <si>
    <t>NCT00000343</t>
  </si>
  <si>
    <t>NCT00000361</t>
  </si>
  <si>
    <t>NCT00000348</t>
  </si>
  <si>
    <t>NCT00000342</t>
  </si>
  <si>
    <t>NCT00000359</t>
  </si>
  <si>
    <t>NCT00000360</t>
  </si>
  <si>
    <t>NCT00000357</t>
  </si>
  <si>
    <t>NCT00000339</t>
  </si>
  <si>
    <t>NCT00000345</t>
  </si>
  <si>
    <t>NCT00000368</t>
  </si>
  <si>
    <t>NCT00000350</t>
  </si>
  <si>
    <t>NCT00000355</t>
  </si>
  <si>
    <t>NCT00000344</t>
  </si>
  <si>
    <t>NCT00000347</t>
  </si>
  <si>
    <t>NCT00000337</t>
  </si>
  <si>
    <t>NCT00000340</t>
  </si>
  <si>
    <t>NCT00000341</t>
  </si>
  <si>
    <t>NCT00000354</t>
  </si>
  <si>
    <t>NCT00000366</t>
  </si>
  <si>
    <t>NCT00000353</t>
  </si>
  <si>
    <t>NCT00000367</t>
  </si>
  <si>
    <t>NCT00000336</t>
  </si>
  <si>
    <t>NCT00000351</t>
  </si>
  <si>
    <t>NCT00000349</t>
  </si>
  <si>
    <t>NCT00000346</t>
  </si>
  <si>
    <t>NCT00000363</t>
  </si>
  <si>
    <t>NCT00000365</t>
  </si>
  <si>
    <t>NCT00000352</t>
  </si>
  <si>
    <t>NCT00000370</t>
  </si>
  <si>
    <t>NCT00000385</t>
  </si>
  <si>
    <t>NCT00000375</t>
  </si>
  <si>
    <t>NCT00000382</t>
  </si>
  <si>
    <t>NCT00000390</t>
  </si>
  <si>
    <t>NCT00000378</t>
  </si>
  <si>
    <t>NCT00000372</t>
  </si>
  <si>
    <t>NCT00000383</t>
  </si>
  <si>
    <t>NCT00000374</t>
  </si>
  <si>
    <t>NCT00000380</t>
  </si>
  <si>
    <t>NCT00000379</t>
  </si>
  <si>
    <t>NCT00000387</t>
  </si>
  <si>
    <t>NCT00000377</t>
  </si>
  <si>
    <t>NCT00000391</t>
  </si>
  <si>
    <t>NCT00000386</t>
  </si>
  <si>
    <t>NCT00000369</t>
  </si>
  <si>
    <t>NCT00000371</t>
  </si>
  <si>
    <t>NCT00000389</t>
  </si>
  <si>
    <t>NCT00000381</t>
  </si>
  <si>
    <t>NCT00000373</t>
  </si>
  <si>
    <t>NCT00000388</t>
  </si>
  <si>
    <t>NCT00000384</t>
  </si>
  <si>
    <t>NCT00000392</t>
  </si>
  <si>
    <t>NCT00000376</t>
  </si>
  <si>
    <t>NCT00000393</t>
  </si>
  <si>
    <t>NCT00000424</t>
  </si>
  <si>
    <t>NCT00000419</t>
  </si>
  <si>
    <t>NCT00000396</t>
  </si>
  <si>
    <t>NCT00000402</t>
  </si>
  <si>
    <t>NCT00000423</t>
  </si>
  <si>
    <t>NCT00000411</t>
  </si>
  <si>
    <t>NCT00000427</t>
  </si>
  <si>
    <t>NCT00000430</t>
  </si>
  <si>
    <t>NCT00000425</t>
  </si>
  <si>
    <t>NCT00000400</t>
  </si>
  <si>
    <t>NCT00000413</t>
  </si>
  <si>
    <t>NCT00000405</t>
  </si>
  <si>
    <t>NCT00000406</t>
  </si>
  <si>
    <t>NCT00000415</t>
  </si>
  <si>
    <t>NCT00000414</t>
  </si>
  <si>
    <t>NCT00000418</t>
  </si>
  <si>
    <t>NCT00000404</t>
  </si>
  <si>
    <t>NCT00000409</t>
  </si>
  <si>
    <t>NCT00000421</t>
  </si>
  <si>
    <t>NCT00000426</t>
  </si>
  <si>
    <t>NCT00000432</t>
  </si>
  <si>
    <t>NCT00000420</t>
  </si>
  <si>
    <t>NCT00000412</t>
  </si>
  <si>
    <t>NCT00000408</t>
  </si>
  <si>
    <t>NCT00000395</t>
  </si>
  <si>
    <t>NCT00000417</t>
  </si>
  <si>
    <t>NCT00000428</t>
  </si>
  <si>
    <t>NCT00000407</t>
  </si>
  <si>
    <t>NCT00000399</t>
  </si>
  <si>
    <t>NCT00000403</t>
  </si>
  <si>
    <t>NCT00000416</t>
  </si>
  <si>
    <t>NCT00000410</t>
  </si>
  <si>
    <t>NCT00000398</t>
  </si>
  <si>
    <t>NCT00000401</t>
  </si>
  <si>
    <t>NCT00000422</t>
  </si>
  <si>
    <t>NCT00000397</t>
  </si>
  <si>
    <t>NCT00000431</t>
  </si>
  <si>
    <t>NCT00000394</t>
  </si>
  <si>
    <t>NCT00000429</t>
  </si>
  <si>
    <t>NCT00000447</t>
  </si>
  <si>
    <t>NCT00000438</t>
  </si>
  <si>
    <t>NCT00000468</t>
  </si>
  <si>
    <t>NCT00000461</t>
  </si>
  <si>
    <t>NCT00000465</t>
  </si>
  <si>
    <t>NCT00000449</t>
  </si>
  <si>
    <t>NCT00000464</t>
  </si>
  <si>
    <t>NCT00000442</t>
  </si>
  <si>
    <t>NCT00000450</t>
  </si>
  <si>
    <t>NCT00000445</t>
  </si>
  <si>
    <t>NCT00000434</t>
  </si>
  <si>
    <t>NCT00000448</t>
  </si>
  <si>
    <t>NCT00000471</t>
  </si>
  <si>
    <t>NCT00000435</t>
  </si>
  <si>
    <t>NCT00000439</t>
  </si>
  <si>
    <t>NCT00000453</t>
  </si>
  <si>
    <t>NCT00000437</t>
  </si>
  <si>
    <t>NCT00000460</t>
  </si>
  <si>
    <t>NCT00000441</t>
  </si>
  <si>
    <t>NCT00000452</t>
  </si>
  <si>
    <t>NCT00000470</t>
  </si>
  <si>
    <t>NCT00000458</t>
  </si>
  <si>
    <t>NCT00000472</t>
  </si>
  <si>
    <t>NCT00000469</t>
  </si>
  <si>
    <t>NCT00000433</t>
  </si>
  <si>
    <t>NCT00000466</t>
  </si>
  <si>
    <t>NCT00000443</t>
  </si>
  <si>
    <t>NCT00000467</t>
  </si>
  <si>
    <t>NCT00000436</t>
  </si>
  <si>
    <t>NCT00000446</t>
  </si>
  <si>
    <t>NCT00000462</t>
  </si>
  <si>
    <t>NCT00000455</t>
  </si>
  <si>
    <t>NCT00000459</t>
  </si>
  <si>
    <t>NCT00000451</t>
  </si>
  <si>
    <t>NCT00000454</t>
  </si>
  <si>
    <t>NCT00000457</t>
  </si>
  <si>
    <t>NCT00000440</t>
  </si>
  <si>
    <t>NCT00000456</t>
  </si>
  <si>
    <t>NCT00000444</t>
  </si>
  <si>
    <t>NCT00000463</t>
  </si>
  <si>
    <t>NCT00000496</t>
  </si>
  <si>
    <t>NCT00000503</t>
  </si>
  <si>
    <t>NCT00000499</t>
  </si>
  <si>
    <t>NCT00000495</t>
  </si>
  <si>
    <t>NCT00000500</t>
  </si>
  <si>
    <t>NCT00000484</t>
  </si>
  <si>
    <t>NCT00000498</t>
  </si>
  <si>
    <t>NCT00000511</t>
  </si>
  <si>
    <t>NCT00000507</t>
  </si>
  <si>
    <t>NCT00000476</t>
  </si>
  <si>
    <t>NCT00000478</t>
  </si>
  <si>
    <t>NCT00000474</t>
  </si>
  <si>
    <t>NCT00000489</t>
  </si>
  <si>
    <t>NCT00000504</t>
  </si>
  <si>
    <t>NCT00000506</t>
  </si>
  <si>
    <t>NCT00000505</t>
  </si>
  <si>
    <t>NCT00000477</t>
  </si>
  <si>
    <t>NCT00000493</t>
  </si>
  <si>
    <t>NCT00000482</t>
  </si>
  <si>
    <t>NCT00000501</t>
  </si>
  <si>
    <t>NCT00000502</t>
  </si>
  <si>
    <t>NCT00000486</t>
  </si>
  <si>
    <t>NCT00000480</t>
  </si>
  <si>
    <t>NCT00000485</t>
  </si>
  <si>
    <t>NCT00000492</t>
  </si>
  <si>
    <t>NCT00000508</t>
  </si>
  <si>
    <t>NCT00000479</t>
  </si>
  <si>
    <t>NCT00000473</t>
  </si>
  <si>
    <t>NCT00000509</t>
  </si>
  <si>
    <t>NCT00000475</t>
  </si>
  <si>
    <t>NCT00000494</t>
  </si>
  <si>
    <t>NCT00000481</t>
  </si>
  <si>
    <t>NCT00000513</t>
  </si>
  <si>
    <t>NCT00000491</t>
  </si>
  <si>
    <t>NCT00000512</t>
  </si>
  <si>
    <t>NCT00000483</t>
  </si>
  <si>
    <t>NCT00000488</t>
  </si>
  <si>
    <t>NCT00000497</t>
  </si>
  <si>
    <t>NCT00000487</t>
  </si>
  <si>
    <t>NCT00000510</t>
  </si>
  <si>
    <t>NCT00000490</t>
  </si>
  <si>
    <t>NCT00000521</t>
  </si>
  <si>
    <t>NCT00000522</t>
  </si>
  <si>
    <t>NCT00000539</t>
  </si>
  <si>
    <t>NCT00000541</t>
  </si>
  <si>
    <t>NCT00000517</t>
  </si>
  <si>
    <t>NCT00000543</t>
  </si>
  <si>
    <t>NCT00000555</t>
  </si>
  <si>
    <t>NCT00000534</t>
  </si>
  <si>
    <t>NCT00000536</t>
  </si>
  <si>
    <t>NCT00000533</t>
  </si>
  <si>
    <t>NCT00000519</t>
  </si>
  <si>
    <t>NCT00000551</t>
  </si>
  <si>
    <t>NCT00000527</t>
  </si>
  <si>
    <t>NCT00000516</t>
  </si>
  <si>
    <t>NCT00000514</t>
  </si>
  <si>
    <t>NCT00000530</t>
  </si>
  <si>
    <t>NCT00000524</t>
  </si>
  <si>
    <t>NCT00000542</t>
  </si>
  <si>
    <t>NCT00000546</t>
  </si>
  <si>
    <t>NCT00000520</t>
  </si>
  <si>
    <t>NCT00000532</t>
  </si>
  <si>
    <t>NCT00000528</t>
  </si>
  <si>
    <t>NCT00000545</t>
  </si>
  <si>
    <t>NCT00000547</t>
  </si>
  <si>
    <t>NCT00000540</t>
  </si>
  <si>
    <t>NCT00000549</t>
  </si>
  <si>
    <t>NCT00000548</t>
  </si>
  <si>
    <t>NCT00000550</t>
  </si>
  <si>
    <t>NCT00000553</t>
  </si>
  <si>
    <t>NCT00000544</t>
  </si>
  <si>
    <t>NCT00000554</t>
  </si>
  <si>
    <t>NCT00000529</t>
  </si>
  <si>
    <t>NCT00000552</t>
  </si>
  <si>
    <t>NCT00000525</t>
  </si>
  <si>
    <t>NCT00000515</t>
  </si>
  <si>
    <t>NCT00000535</t>
  </si>
  <si>
    <t>NCT00000518</t>
  </si>
  <si>
    <t>NCT00000537</t>
  </si>
  <si>
    <t>NCT00000531</t>
  </si>
  <si>
    <t>NCT00000523</t>
  </si>
  <si>
    <t>NCT00000526</t>
  </si>
  <si>
    <t>NCT00000538</t>
  </si>
  <si>
    <t>NCT00000574</t>
  </si>
  <si>
    <t>NCT00000567</t>
  </si>
  <si>
    <t>NCT00000583</t>
  </si>
  <si>
    <t>NCT00000578</t>
  </si>
  <si>
    <t>NCT00000589</t>
  </si>
  <si>
    <t>NCT00000560</t>
  </si>
  <si>
    <t>NCT00000572</t>
  </si>
  <si>
    <t>NCT00000558</t>
  </si>
  <si>
    <t>NCT00000575</t>
  </si>
  <si>
    <t>NCT00000592</t>
  </si>
  <si>
    <t>NCT00000576</t>
  </si>
  <si>
    <t>NCT00000593</t>
  </si>
  <si>
    <t>NCT00000579</t>
  </si>
  <si>
    <t>NCT00000595</t>
  </si>
  <si>
    <t>NCT00000556</t>
  </si>
  <si>
    <t>NCT00000591</t>
  </si>
  <si>
    <t>NCT00000577</t>
  </si>
  <si>
    <t>NCT00000584</t>
  </si>
  <si>
    <t>NCT00000588</t>
  </si>
  <si>
    <t>NCT00000587</t>
  </si>
  <si>
    <t>NCT00000585</t>
  </si>
  <si>
    <t>NCT00000570</t>
  </si>
  <si>
    <t>NCT00000582</t>
  </si>
  <si>
    <t>NCT00000571</t>
  </si>
  <si>
    <t>NCT00000561</t>
  </si>
  <si>
    <t>NCT00000569</t>
  </si>
  <si>
    <t>NCT00000559</t>
  </si>
  <si>
    <t>NCT00000564</t>
  </si>
  <si>
    <t>NCT00000594</t>
  </si>
  <si>
    <t>NCT00000568</t>
  </si>
  <si>
    <t>NCT00000586</t>
  </si>
  <si>
    <t>NCT00000557</t>
  </si>
  <si>
    <t>NCT00000566</t>
  </si>
  <si>
    <t>NCT00000580</t>
  </si>
  <si>
    <t>NCT00000563</t>
  </si>
  <si>
    <t>NCT00000573</t>
  </si>
  <si>
    <t>NCT00000562</t>
  </si>
  <si>
    <t>NCT00000581</t>
  </si>
  <si>
    <t>NCT00000590</t>
  </si>
  <si>
    <t>NCT00000565</t>
  </si>
  <si>
    <t>NCT00000597</t>
  </si>
  <si>
    <t>NCT00000599</t>
  </si>
  <si>
    <t>NCT00000598</t>
  </si>
  <si>
    <t>NCT00000596</t>
  </si>
  <si>
    <t>region</t>
  </si>
  <si>
    <t>disease</t>
  </si>
  <si>
    <t>dalys_millions</t>
  </si>
  <si>
    <t>global_dalys_millions</t>
  </si>
  <si>
    <t>North America</t>
  </si>
  <si>
    <t>Cardiovascular disease</t>
  </si>
  <si>
    <t>Western Europe</t>
  </si>
  <si>
    <t>Eastern Europe</t>
  </si>
  <si>
    <t>China</t>
  </si>
  <si>
    <t>India</t>
  </si>
  <si>
    <t>Southeast Asia</t>
  </si>
  <si>
    <t>Middle East</t>
  </si>
  <si>
    <t>Africa</t>
  </si>
  <si>
    <t>Latin America</t>
  </si>
  <si>
    <t>Oceania</t>
  </si>
  <si>
    <t>Cancer</t>
  </si>
  <si>
    <t>Diabetes</t>
  </si>
  <si>
    <t>Chronic respiratory</t>
  </si>
  <si>
    <t>Neurological disorders</t>
  </si>
  <si>
    <t>Mental disorders</t>
  </si>
  <si>
    <t>HIV/AIDS</t>
  </si>
  <si>
    <t>Tuberculosis</t>
  </si>
  <si>
    <t>Malaria</t>
  </si>
  <si>
    <t>COVID-19</t>
  </si>
  <si>
    <t>Lower respiratory infections</t>
  </si>
  <si>
    <t>Diarrheal diseases</t>
  </si>
  <si>
    <t>Neonatal disorders</t>
  </si>
  <si>
    <t>Maternal disorders</t>
  </si>
  <si>
    <t>Road injuries</t>
  </si>
  <si>
    <t>Self-harm</t>
  </si>
  <si>
    <t>Alzheimer's &amp; dementias</t>
  </si>
  <si>
    <t>Kidney disease</t>
  </si>
  <si>
    <t>Liver disease</t>
  </si>
  <si>
    <t>Stroke</t>
  </si>
  <si>
    <t>approval_id</t>
  </si>
  <si>
    <t>approval_date</t>
  </si>
  <si>
    <t>drug_name</t>
  </si>
  <si>
    <t>sponsor_company</t>
  </si>
  <si>
    <t>peak_sales_usd_bn_est</t>
  </si>
  <si>
    <t>APP0062</t>
  </si>
  <si>
    <t>Zolile-pril</t>
  </si>
  <si>
    <t>Ionis</t>
  </si>
  <si>
    <t>FDA approval — neurology small_mol</t>
  </si>
  <si>
    <t>APP0056</t>
  </si>
  <si>
    <t>Ilemyr-zumab</t>
  </si>
  <si>
    <t>Acadia</t>
  </si>
  <si>
    <t>APP0047</t>
  </si>
  <si>
    <t>Lircor-tide</t>
  </si>
  <si>
    <t>BioMarin</t>
  </si>
  <si>
    <t>FDA approval — gastrointestinal small_mol</t>
  </si>
  <si>
    <t>APP0063</t>
  </si>
  <si>
    <t>Urbxan-tinib</t>
  </si>
  <si>
    <t>FDA approval — oncology biologic</t>
  </si>
  <si>
    <t>APP0049</t>
  </si>
  <si>
    <t>Ravxan-tide</t>
  </si>
  <si>
    <t>Mirum</t>
  </si>
  <si>
    <t>APP0059</t>
  </si>
  <si>
    <t>Yarqul-nib</t>
  </si>
  <si>
    <t>Reata</t>
  </si>
  <si>
    <t>FDA approval — oncology small_mol</t>
  </si>
  <si>
    <t>APP0001</t>
  </si>
  <si>
    <t>Provenge</t>
  </si>
  <si>
    <t>Dendreon</t>
  </si>
  <si>
    <t>First therapeutic cancer vaccine</t>
  </si>
  <si>
    <t>APP0057</t>
  </si>
  <si>
    <t>Durxyl-stat</t>
  </si>
  <si>
    <t>Madrigal</t>
  </si>
  <si>
    <t>APP0055</t>
  </si>
  <si>
    <t>Tevesp-rab</t>
  </si>
  <si>
    <t>Alnylam</t>
  </si>
  <si>
    <t>FDA approval — respiratory biologic</t>
  </si>
  <si>
    <t>APP0053</t>
  </si>
  <si>
    <t>Quldur-lozide</t>
  </si>
  <si>
    <t>Travere</t>
  </si>
  <si>
    <t>APP0058</t>
  </si>
  <si>
    <t>Benmyr-lozide</t>
  </si>
  <si>
    <t>FDA approval — rare_disease small_mol</t>
  </si>
  <si>
    <t>APP0061</t>
  </si>
  <si>
    <t>Solxyl-lozide</t>
  </si>
  <si>
    <t>FDA approval — cardiovascular biologic</t>
  </si>
  <si>
    <t>APP0065</t>
  </si>
  <si>
    <t>Abresp-mab</t>
  </si>
  <si>
    <t>APP0046</t>
  </si>
  <si>
    <t>Zoltev-cept</t>
  </si>
  <si>
    <t>Horizon</t>
  </si>
  <si>
    <t>FDA approval — neurology cell_therapy</t>
  </si>
  <si>
    <t>APP0048</t>
  </si>
  <si>
    <t>Javmyr-pril</t>
  </si>
  <si>
    <t>Sarepta</t>
  </si>
  <si>
    <t>FDA approval — psychiatry small_mol</t>
  </si>
  <si>
    <t>APP0045</t>
  </si>
  <si>
    <t>Durzol-tinib</t>
  </si>
  <si>
    <t>Lilly</t>
  </si>
  <si>
    <t>FDA approval — neurology gene_therapy</t>
  </si>
  <si>
    <t>APP0051</t>
  </si>
  <si>
    <t>Espola-tide</t>
  </si>
  <si>
    <t>APP0050</t>
  </si>
  <si>
    <t>Ravwer-tide</t>
  </si>
  <si>
    <t>FDA approval — rare_disease vaccine</t>
  </si>
  <si>
    <t>APP0003</t>
  </si>
  <si>
    <t>Botox Chronic Migraine</t>
  </si>
  <si>
    <t>Migraine indication</t>
  </si>
  <si>
    <t>APP0002</t>
  </si>
  <si>
    <t>Pradaxa</t>
  </si>
  <si>
    <t>First new oral anticoagulant in 50 years</t>
  </si>
  <si>
    <t>APP0052</t>
  </si>
  <si>
    <t>Javnev-stat</t>
  </si>
  <si>
    <t>FDA approval — immunology small_mol</t>
  </si>
  <si>
    <t>APP0054</t>
  </si>
  <si>
    <t>Qulvor-cel</t>
  </si>
  <si>
    <t>APP0060</t>
  </si>
  <si>
    <t>Ravsol-tinib</t>
  </si>
  <si>
    <t>Jazz Pharma</t>
  </si>
  <si>
    <t>APP0064</t>
  </si>
  <si>
    <t>Nevgar-vir</t>
  </si>
  <si>
    <t>Incyte</t>
  </si>
  <si>
    <t>APP0075</t>
  </si>
  <si>
    <t>Xanvor-sertib</t>
  </si>
  <si>
    <t>FDA approval — psychiatry biologic</t>
  </si>
  <si>
    <t>APP0070</t>
  </si>
  <si>
    <t>Myrdur-fenib</t>
  </si>
  <si>
    <t>FDA approval — ophthalmology small_mol</t>
  </si>
  <si>
    <t>APP0072</t>
  </si>
  <si>
    <t>Xylyar-cept</t>
  </si>
  <si>
    <t>FDA approval — immunology biologic</t>
  </si>
  <si>
    <t>APP0067</t>
  </si>
  <si>
    <t>Benola-rab</t>
  </si>
  <si>
    <t>APP0079</t>
  </si>
  <si>
    <t>Quldur-tinib</t>
  </si>
  <si>
    <t>APP0092</t>
  </si>
  <si>
    <t>Zolxan-pril</t>
  </si>
  <si>
    <t>APP0095</t>
  </si>
  <si>
    <t>Olamyr-vir</t>
  </si>
  <si>
    <t>APP0066</t>
  </si>
  <si>
    <t>Vorxyl-vir</t>
  </si>
  <si>
    <t>APP0089</t>
  </si>
  <si>
    <t>Urbxan-fenib</t>
  </si>
  <si>
    <t>APP0004</t>
  </si>
  <si>
    <t>Yervoy</t>
  </si>
  <si>
    <t>First checkpoint inhibitor (CTLA-4)</t>
  </si>
  <si>
    <t>APP0091</t>
  </si>
  <si>
    <t>Prepre-stat</t>
  </si>
  <si>
    <t>FDA approval — dermatology vaccine</t>
  </si>
  <si>
    <t>APP0085</t>
  </si>
  <si>
    <t>Kimile-vir</t>
  </si>
  <si>
    <t>APP0082</t>
  </si>
  <si>
    <t>Coresp-vir</t>
  </si>
  <si>
    <t>FDA approval — cardiovascular small_mol</t>
  </si>
  <si>
    <t>APP0078</t>
  </si>
  <si>
    <t>Qulvor-fenib</t>
  </si>
  <si>
    <t>APP0073</t>
  </si>
  <si>
    <t>Vorcor-stat</t>
  </si>
  <si>
    <t>APP0084</t>
  </si>
  <si>
    <t>Myrkim-pril</t>
  </si>
  <si>
    <t>FDA approval — respiratory small_mol</t>
  </si>
  <si>
    <t>APP0081</t>
  </si>
  <si>
    <t>Zolola-sertib</t>
  </si>
  <si>
    <t>APP0005</t>
  </si>
  <si>
    <t>Xarelto</t>
  </si>
  <si>
    <t>Bayer/J&amp;J</t>
  </si>
  <si>
    <t>Oral anticoagulant</t>
  </si>
  <si>
    <t>APP0086</t>
  </si>
  <si>
    <t>Tevola-tinib</t>
  </si>
  <si>
    <t>APP0069</t>
  </si>
  <si>
    <t>Durabr-tinib</t>
  </si>
  <si>
    <t>FDA approval — metabolic small_mol</t>
  </si>
  <si>
    <t>APP0068</t>
  </si>
  <si>
    <t>Myrlir-cel</t>
  </si>
  <si>
    <t>APP0094</t>
  </si>
  <si>
    <t>Solqul-tide</t>
  </si>
  <si>
    <t>APP0074</t>
  </si>
  <si>
    <t>Ravkim-mab</t>
  </si>
  <si>
    <t>APP0077</t>
  </si>
  <si>
    <t>Cordur-tide</t>
  </si>
  <si>
    <t>APP0076</t>
  </si>
  <si>
    <t>Durxyl-cel</t>
  </si>
  <si>
    <t>APP0083</t>
  </si>
  <si>
    <t>Lirvor-cept</t>
  </si>
  <si>
    <t>FDA approval — rare_disease biologic</t>
  </si>
  <si>
    <t>APP0093</t>
  </si>
  <si>
    <t>Vorsol-tide</t>
  </si>
  <si>
    <t>APP0090</t>
  </si>
  <si>
    <t>Urbesp-zumab</t>
  </si>
  <si>
    <t>APP0088</t>
  </si>
  <si>
    <t>Prejav-rab</t>
  </si>
  <si>
    <t>APP0080</t>
  </si>
  <si>
    <t>Abrabr-tide</t>
  </si>
  <si>
    <t>APP0087</t>
  </si>
  <si>
    <t>Yarben-fenib</t>
  </si>
  <si>
    <t>APP0071</t>
  </si>
  <si>
    <t>Ravgar-rab</t>
  </si>
  <si>
    <t>APP0113</t>
  </si>
  <si>
    <t>Vortev-rab</t>
  </si>
  <si>
    <t>APP0007</t>
  </si>
  <si>
    <t>Kalydeco</t>
  </si>
  <si>
    <t>First CFTR modulator for cystic fibrosis</t>
  </si>
  <si>
    <t>APP0110</t>
  </si>
  <si>
    <t>Yarvor-nib</t>
  </si>
  <si>
    <t>APP0107</t>
  </si>
  <si>
    <t>Espwer-cept</t>
  </si>
  <si>
    <t>APP0134</t>
  </si>
  <si>
    <t>Garben-rab</t>
  </si>
  <si>
    <t>APP0097</t>
  </si>
  <si>
    <t>Lirkim-mab</t>
  </si>
  <si>
    <t>FDA approval — infectious vaccine</t>
  </si>
  <si>
    <t>APP0121</t>
  </si>
  <si>
    <t>Tevdur-tide</t>
  </si>
  <si>
    <t>APP0133</t>
  </si>
  <si>
    <t>Wertev-tide</t>
  </si>
  <si>
    <t>APP0132</t>
  </si>
  <si>
    <t>Kimcor-stat</t>
  </si>
  <si>
    <t>FDA approval — neurology biologic</t>
  </si>
  <si>
    <t>APP0098</t>
  </si>
  <si>
    <t>Solola-fenib</t>
  </si>
  <si>
    <t>FDA approval — ophthalmology gene_therapy</t>
  </si>
  <si>
    <t>APP0120</t>
  </si>
  <si>
    <t>Vorjav-stat</t>
  </si>
  <si>
    <t>FDA approval — metabolic biologic</t>
  </si>
  <si>
    <t>APP0118</t>
  </si>
  <si>
    <t>Javvor-vir</t>
  </si>
  <si>
    <t>APP0101</t>
  </si>
  <si>
    <t>Bencor-tide</t>
  </si>
  <si>
    <t>APP0104</t>
  </si>
  <si>
    <t>Urbdur-fenib</t>
  </si>
  <si>
    <t>APP0099</t>
  </si>
  <si>
    <t>Abryar-vir</t>
  </si>
  <si>
    <t>APP0122</t>
  </si>
  <si>
    <t>Espabr-fenib</t>
  </si>
  <si>
    <t>APP0119</t>
  </si>
  <si>
    <t>Sollir-sertib</t>
  </si>
  <si>
    <t>APP0123</t>
  </si>
  <si>
    <t>Alkermes</t>
  </si>
  <si>
    <t>APP0103</t>
  </si>
  <si>
    <t>Nevwer-stat</t>
  </si>
  <si>
    <t>FDA approval — psychiatry gene_therapy</t>
  </si>
  <si>
    <t>APP0130</t>
  </si>
  <si>
    <t>Garqul-rab</t>
  </si>
  <si>
    <t>APP0125</t>
  </si>
  <si>
    <t>Espabr-tinib</t>
  </si>
  <si>
    <t>APP0096</t>
  </si>
  <si>
    <t>Lirlir-lozide</t>
  </si>
  <si>
    <t>APP0116</t>
  </si>
  <si>
    <t>Qulesp-fenib</t>
  </si>
  <si>
    <t>APP0131</t>
  </si>
  <si>
    <t>Prexan-mab</t>
  </si>
  <si>
    <t>APP0124</t>
  </si>
  <si>
    <t>Myrnev-pril</t>
  </si>
  <si>
    <t>APP0102</t>
  </si>
  <si>
    <t>Corile-zumab</t>
  </si>
  <si>
    <t>FDA approval — dermatology biologic</t>
  </si>
  <si>
    <t>APP0111</t>
  </si>
  <si>
    <t>Zolnev-sertib</t>
  </si>
  <si>
    <t>APP0108</t>
  </si>
  <si>
    <t>Espqul-lozide</t>
  </si>
  <si>
    <t>APP0106</t>
  </si>
  <si>
    <t>Corcor-vir</t>
  </si>
  <si>
    <t>FDA approval — dermatology small_mol</t>
  </si>
  <si>
    <t>APP0127</t>
  </si>
  <si>
    <t>Durtev-mab</t>
  </si>
  <si>
    <t>APP0128</t>
  </si>
  <si>
    <t>Duresp-tinib</t>
  </si>
  <si>
    <t>APP0117</t>
  </si>
  <si>
    <t>Durjav-sertib</t>
  </si>
  <si>
    <t>FDA approval — oncology gene_therapy</t>
  </si>
  <si>
    <t>APP0100</t>
  </si>
  <si>
    <t>Myrdur-lozide</t>
  </si>
  <si>
    <t>APP0126</t>
  </si>
  <si>
    <t>FDA approval — psychiatry vaccine</t>
  </si>
  <si>
    <t>APP0109</t>
  </si>
  <si>
    <t>Javdur-tide</t>
  </si>
  <si>
    <t>APP0114</t>
  </si>
  <si>
    <t>Javurb-tide</t>
  </si>
  <si>
    <t>APP0105</t>
  </si>
  <si>
    <t>Zolkim-sertib</t>
  </si>
  <si>
    <t>APP0129</t>
  </si>
  <si>
    <t>Vorzol-tide</t>
  </si>
  <si>
    <t>APP0112</t>
  </si>
  <si>
    <t>Qulpre-lozide</t>
  </si>
  <si>
    <t>APP0115</t>
  </si>
  <si>
    <t>Nevnev-pril</t>
  </si>
  <si>
    <t>APP0006</t>
  </si>
  <si>
    <t>Eliquis</t>
  </si>
  <si>
    <t>BMS/Pfizer</t>
  </si>
  <si>
    <t>Best-selling drug 2024, blockbuster anticoagulant</t>
  </si>
  <si>
    <t>APP0160</t>
  </si>
  <si>
    <t>Yaryar-sertib</t>
  </si>
  <si>
    <t>APP0153</t>
  </si>
  <si>
    <t>Urblir-fenib</t>
  </si>
  <si>
    <t>APP0157</t>
  </si>
  <si>
    <t>Qulcor-cept</t>
  </si>
  <si>
    <t>APP0140</t>
  </si>
  <si>
    <t>Tevdur-rab</t>
  </si>
  <si>
    <t>FDA approval — neurology vaccine</t>
  </si>
  <si>
    <t>APP0136</t>
  </si>
  <si>
    <t>Garxyl-lozide</t>
  </si>
  <si>
    <t>APP0154</t>
  </si>
  <si>
    <t>Javabr-vir</t>
  </si>
  <si>
    <t>APP0146</t>
  </si>
  <si>
    <t>Solqul-sertib</t>
  </si>
  <si>
    <t>APP0148</t>
  </si>
  <si>
    <t>Xanola-sertib</t>
  </si>
  <si>
    <t>FDA approval — oncology vaccine</t>
  </si>
  <si>
    <t>APP0150</t>
  </si>
  <si>
    <t>Ravxyl-fenib</t>
  </si>
  <si>
    <t>APP0149</t>
  </si>
  <si>
    <t>Yarben-cept</t>
  </si>
  <si>
    <t>APP0143</t>
  </si>
  <si>
    <t>Zoljav-cept</t>
  </si>
  <si>
    <t>APP0147</t>
  </si>
  <si>
    <t>Kimwer-mab</t>
  </si>
  <si>
    <t>APP0159</t>
  </si>
  <si>
    <t>Espmyr-zumab</t>
  </si>
  <si>
    <t>APP0155</t>
  </si>
  <si>
    <t>Weryar-tide</t>
  </si>
  <si>
    <t>APP0138</t>
  </si>
  <si>
    <t>Werola-mab</t>
  </si>
  <si>
    <t>FDA approval — oncology cell_therapy</t>
  </si>
  <si>
    <t>APP0137</t>
  </si>
  <si>
    <t>Xylurb-cept</t>
  </si>
  <si>
    <t>APP0141</t>
  </si>
  <si>
    <t>APP0145</t>
  </si>
  <si>
    <t>Urbesp-cept</t>
  </si>
  <si>
    <t>APP0144</t>
  </si>
  <si>
    <t>Wernev-rab</t>
  </si>
  <si>
    <t>APP0161</t>
  </si>
  <si>
    <t>Nevjav-sertib</t>
  </si>
  <si>
    <t>APP0156</t>
  </si>
  <si>
    <t>Esprav-fenib</t>
  </si>
  <si>
    <t>APP0152</t>
  </si>
  <si>
    <t>Corabr-lozide</t>
  </si>
  <si>
    <t>APP0142</t>
  </si>
  <si>
    <t>Ravurb-vir</t>
  </si>
  <si>
    <t>APP0012</t>
  </si>
  <si>
    <t>Imbruvica</t>
  </si>
  <si>
    <t>AbbVie/J&amp;J</t>
  </si>
  <si>
    <t>BTK inhibitor for CLL</t>
  </si>
  <si>
    <t>APP0151</t>
  </si>
  <si>
    <t>Zolrav-fenib</t>
  </si>
  <si>
    <t>APP0139</t>
  </si>
  <si>
    <t>Corcor-lozide</t>
  </si>
  <si>
    <t>APP0135</t>
  </si>
  <si>
    <t>Myrdur-rab</t>
  </si>
  <si>
    <t>APP0158</t>
  </si>
  <si>
    <t>Abrabr-pril</t>
  </si>
  <si>
    <t>FDA approval — infectious biologic</t>
  </si>
  <si>
    <t>APP0008</t>
  </si>
  <si>
    <t>Sovaldi</t>
  </si>
  <si>
    <t>Hepatitis C cure, $84K controversy</t>
  </si>
  <si>
    <t>APP0177</t>
  </si>
  <si>
    <t>Abrpre-pril</t>
  </si>
  <si>
    <t>APP0195</t>
  </si>
  <si>
    <t>Zolxan-sertib</t>
  </si>
  <si>
    <t>FDA approval — cardiovascular cell_therapy</t>
  </si>
  <si>
    <t>APP0169</t>
  </si>
  <si>
    <t>Tevlir-tide</t>
  </si>
  <si>
    <t>APP0186</t>
  </si>
  <si>
    <t>Yardur-nib</t>
  </si>
  <si>
    <t>APP0178</t>
  </si>
  <si>
    <t>Espola-mab</t>
  </si>
  <si>
    <t>APP0201</t>
  </si>
  <si>
    <t>Durvor-sertib</t>
  </si>
  <si>
    <t>FDA approval — metabolic gene_therapy</t>
  </si>
  <si>
    <t>APP0199</t>
  </si>
  <si>
    <t>Javpre-sertib</t>
  </si>
  <si>
    <t>APP0171</t>
  </si>
  <si>
    <t>Garxyl-mab</t>
  </si>
  <si>
    <t>APP0197</t>
  </si>
  <si>
    <t>Espmyr-vir</t>
  </si>
  <si>
    <t>APP0180</t>
  </si>
  <si>
    <t>Qulqul-zumab</t>
  </si>
  <si>
    <t>APP0165</t>
  </si>
  <si>
    <t>Zoltev-tide</t>
  </si>
  <si>
    <t>APP0168</t>
  </si>
  <si>
    <t>Garqul-zumab</t>
  </si>
  <si>
    <t>FDA approval — ophthalmology cell_therapy</t>
  </si>
  <si>
    <t>APP0189</t>
  </si>
  <si>
    <t>Garjav-stat</t>
  </si>
  <si>
    <t>FDA approval — infectious small_mol</t>
  </si>
  <si>
    <t>APP0179</t>
  </si>
  <si>
    <t>Zolesp-lozide</t>
  </si>
  <si>
    <t>APP0176</t>
  </si>
  <si>
    <t>Urbesp-tide</t>
  </si>
  <si>
    <t>APP0173</t>
  </si>
  <si>
    <t>Durjav-zumab</t>
  </si>
  <si>
    <t>FDA approval — rare_disease cell_therapy</t>
  </si>
  <si>
    <t>APP0166</t>
  </si>
  <si>
    <t>APP0187</t>
  </si>
  <si>
    <t>Solola-tide</t>
  </si>
  <si>
    <t>APP0188</t>
  </si>
  <si>
    <t>Garsol-cept</t>
  </si>
  <si>
    <t>APP0200</t>
  </si>
  <si>
    <t>Voresp-cept</t>
  </si>
  <si>
    <t>APP0170</t>
  </si>
  <si>
    <t>Espzol-zumab</t>
  </si>
  <si>
    <t>APP0181</t>
  </si>
  <si>
    <t>Wertev-sertib</t>
  </si>
  <si>
    <t>APP0175</t>
  </si>
  <si>
    <t>Abrnev-tide</t>
  </si>
  <si>
    <t>APP0182</t>
  </si>
  <si>
    <t>Durtev-pril</t>
  </si>
  <si>
    <t>APP0194</t>
  </si>
  <si>
    <t>Corurb-sertib</t>
  </si>
  <si>
    <t>APP0162</t>
  </si>
  <si>
    <t>Esppre-mab</t>
  </si>
  <si>
    <t>APP0198</t>
  </si>
  <si>
    <t>Solrav-stat</t>
  </si>
  <si>
    <t>APP0163</t>
  </si>
  <si>
    <t>Preben-lozide</t>
  </si>
  <si>
    <t>APP0184</t>
  </si>
  <si>
    <t>Zolmyr-nib</t>
  </si>
  <si>
    <t>APP0183</t>
  </si>
  <si>
    <t>Kimurb-cel</t>
  </si>
  <si>
    <t>APP0010</t>
  </si>
  <si>
    <t>Keytruda</t>
  </si>
  <si>
    <t>PD-1 inhibitor, world's top-selling drug 2024</t>
  </si>
  <si>
    <t>APP0174</t>
  </si>
  <si>
    <t>Prewer-sertib</t>
  </si>
  <si>
    <t>APP0185</t>
  </si>
  <si>
    <t>Tevnev-stat</t>
  </si>
  <si>
    <t>APP0167</t>
  </si>
  <si>
    <t>Voryar-pril</t>
  </si>
  <si>
    <t>APP0196</t>
  </si>
  <si>
    <t>Kimxan-lozide</t>
  </si>
  <si>
    <t>Cytokinetics</t>
  </si>
  <si>
    <t>APP0202</t>
  </si>
  <si>
    <t>Garyar-nib</t>
  </si>
  <si>
    <t>APP0009</t>
  </si>
  <si>
    <t>Harvoni</t>
  </si>
  <si>
    <t>HCV combination, peak $19B sales</t>
  </si>
  <si>
    <t>APP0190</t>
  </si>
  <si>
    <t>Xyltev-stat</t>
  </si>
  <si>
    <t>APP0192</t>
  </si>
  <si>
    <t>Zolkim-pril</t>
  </si>
  <si>
    <t>APP0191</t>
  </si>
  <si>
    <t>Xylgar-rab</t>
  </si>
  <si>
    <t>APP0164</t>
  </si>
  <si>
    <t>Lircor-cel</t>
  </si>
  <si>
    <t>APP0193</t>
  </si>
  <si>
    <t>Xylben-tinib</t>
  </si>
  <si>
    <t>APP0172</t>
  </si>
  <si>
    <t>Qulrav-pril</t>
  </si>
  <si>
    <t>APP0011</t>
  </si>
  <si>
    <t>Opdivo</t>
  </si>
  <si>
    <t>PD-1 inhibitor, blockbuster</t>
  </si>
  <si>
    <t>APP0214</t>
  </si>
  <si>
    <t>Bengar-fenib</t>
  </si>
  <si>
    <t>APP0232</t>
  </si>
  <si>
    <t>Espcor-zumab</t>
  </si>
  <si>
    <t>APP0222</t>
  </si>
  <si>
    <t>Xanjav-mab</t>
  </si>
  <si>
    <t>FDA approval — immunology gene_therapy</t>
  </si>
  <si>
    <t>APP0237</t>
  </si>
  <si>
    <t>Abrben-fenib</t>
  </si>
  <si>
    <t>APP0247</t>
  </si>
  <si>
    <t>Solmyr-tide</t>
  </si>
  <si>
    <t>APP0013</t>
  </si>
  <si>
    <t>Cosentyx</t>
  </si>
  <si>
    <t>IL-17 inhibitor for psoriasis</t>
  </si>
  <si>
    <t>APP0231</t>
  </si>
  <si>
    <t>Xanyar-nib</t>
  </si>
  <si>
    <t>APP0238</t>
  </si>
  <si>
    <t>Kimgar-pril</t>
  </si>
  <si>
    <t>APP0213</t>
  </si>
  <si>
    <t>Abrdur-tinib</t>
  </si>
  <si>
    <t>APP0221</t>
  </si>
  <si>
    <t>Javzol-rab</t>
  </si>
  <si>
    <t>APP0245</t>
  </si>
  <si>
    <t>Olawer-fenib</t>
  </si>
  <si>
    <t>APP0234</t>
  </si>
  <si>
    <t>Durnev-tide</t>
  </si>
  <si>
    <t>APP0215</t>
  </si>
  <si>
    <t>Myrsol-nib</t>
  </si>
  <si>
    <t>APP0230</t>
  </si>
  <si>
    <t>Kimurb-stat</t>
  </si>
  <si>
    <t>APP0229</t>
  </si>
  <si>
    <t>Javpre-pril</t>
  </si>
  <si>
    <t>APP0241</t>
  </si>
  <si>
    <t>Abrjav-rab</t>
  </si>
  <si>
    <t>APP0243</t>
  </si>
  <si>
    <t>Xanesp-cel</t>
  </si>
  <si>
    <t>APP0205</t>
  </si>
  <si>
    <t>Urbtev-tinib</t>
  </si>
  <si>
    <t>APP0209</t>
  </si>
  <si>
    <t>Garxan-pril</t>
  </si>
  <si>
    <t>APP0239</t>
  </si>
  <si>
    <t>Coresp-cept</t>
  </si>
  <si>
    <t>APP0226</t>
  </si>
  <si>
    <t>Espnev-fenib</t>
  </si>
  <si>
    <t>APP0233</t>
  </si>
  <si>
    <t>Corben-tide</t>
  </si>
  <si>
    <t>APP0206</t>
  </si>
  <si>
    <t>Ilenev-nib</t>
  </si>
  <si>
    <t>APP0240</t>
  </si>
  <si>
    <t>Corben-mab</t>
  </si>
  <si>
    <t>APP0244</t>
  </si>
  <si>
    <t>Solnev-pril</t>
  </si>
  <si>
    <t>APP0212</t>
  </si>
  <si>
    <t>Vorile-cel</t>
  </si>
  <si>
    <t>APP0015</t>
  </si>
  <si>
    <t>Praluent</t>
  </si>
  <si>
    <t>Sanofi/Regeneron</t>
  </si>
  <si>
    <t>PCSK9 inhibitor</t>
  </si>
  <si>
    <t>APP0218</t>
  </si>
  <si>
    <t>Xylben-stat</t>
  </si>
  <si>
    <t>APP0228</t>
  </si>
  <si>
    <t>Xylzol-lozide</t>
  </si>
  <si>
    <t>APP0211</t>
  </si>
  <si>
    <t>Zolnev-lozide</t>
  </si>
  <si>
    <t>APP0219</t>
  </si>
  <si>
    <t>Werwer-tide</t>
  </si>
  <si>
    <t>APP0225</t>
  </si>
  <si>
    <t>Esptev-cept</t>
  </si>
  <si>
    <t>APP0217</t>
  </si>
  <si>
    <t>Myrile-vir</t>
  </si>
  <si>
    <t>APP0014</t>
  </si>
  <si>
    <t>Repatha</t>
  </si>
  <si>
    <t>APP0223</t>
  </si>
  <si>
    <t>Benxyl-nib</t>
  </si>
  <si>
    <t>FDA approval — infectious gene_therapy</t>
  </si>
  <si>
    <t>APP0227</t>
  </si>
  <si>
    <t>Solesp-tide</t>
  </si>
  <si>
    <t>APP0224</t>
  </si>
  <si>
    <t>Qulmyr-rab</t>
  </si>
  <si>
    <t>APP0216</t>
  </si>
  <si>
    <t>Yarxan-nib</t>
  </si>
  <si>
    <t>APP0246</t>
  </si>
  <si>
    <t>Xanben-nib</t>
  </si>
  <si>
    <t>APP0203</t>
  </si>
  <si>
    <t>Durlir-stat</t>
  </si>
  <si>
    <t>APP0210</t>
  </si>
  <si>
    <t>Nevurb-stat</t>
  </si>
  <si>
    <t>APP0208</t>
  </si>
  <si>
    <t>Lirrav-pril</t>
  </si>
  <si>
    <t>APP0236</t>
  </si>
  <si>
    <t>Lirxan-sertib</t>
  </si>
  <si>
    <t>APP0242</t>
  </si>
  <si>
    <t>Garnev-nib</t>
  </si>
  <si>
    <t>APP0235</t>
  </si>
  <si>
    <t>Vorile-mab</t>
  </si>
  <si>
    <t>APP0220</t>
  </si>
  <si>
    <t>Kimrav-stat</t>
  </si>
  <si>
    <t>APP0204</t>
  </si>
  <si>
    <t>Esppre-lozide</t>
  </si>
  <si>
    <t>APP0207</t>
  </si>
  <si>
    <t>Xyltev-rab</t>
  </si>
  <si>
    <t>APP0263</t>
  </si>
  <si>
    <t>Kimmyr-vir</t>
  </si>
  <si>
    <t>APP0261</t>
  </si>
  <si>
    <t>Qulola-mab</t>
  </si>
  <si>
    <t>APP0262</t>
  </si>
  <si>
    <t>Xylile-sertib</t>
  </si>
  <si>
    <t>APP0267</t>
  </si>
  <si>
    <t>Vorcor-cept</t>
  </si>
  <si>
    <t>APP0266</t>
  </si>
  <si>
    <t>Abrmyr-cept</t>
  </si>
  <si>
    <t>APP0256</t>
  </si>
  <si>
    <t>Olatev-tinib</t>
  </si>
  <si>
    <t>FDA approval — respiratory vaccine</t>
  </si>
  <si>
    <t>APP0255</t>
  </si>
  <si>
    <t>Vordur-pril</t>
  </si>
  <si>
    <t>APP0252</t>
  </si>
  <si>
    <t>Vorzol-zumab</t>
  </si>
  <si>
    <t>APP0259</t>
  </si>
  <si>
    <t>Espzol-cel</t>
  </si>
  <si>
    <t>APP0253</t>
  </si>
  <si>
    <t>Nevjav-mab</t>
  </si>
  <si>
    <t>APP0268</t>
  </si>
  <si>
    <t>Xyljav-nib</t>
  </si>
  <si>
    <t>APP0260</t>
  </si>
  <si>
    <t>Xanzol-fenib</t>
  </si>
  <si>
    <t>APP0249</t>
  </si>
  <si>
    <t>Prenev-pril</t>
  </si>
  <si>
    <t>APP0265</t>
  </si>
  <si>
    <t>Xylqul-tide</t>
  </si>
  <si>
    <t>APP0264</t>
  </si>
  <si>
    <t>Ravjav-tide</t>
  </si>
  <si>
    <t>APP0258</t>
  </si>
  <si>
    <t>Myrwer-nib</t>
  </si>
  <si>
    <t>APP0269</t>
  </si>
  <si>
    <t>Durben-pril</t>
  </si>
  <si>
    <t>APP0257</t>
  </si>
  <si>
    <t>Vorwer-mab</t>
  </si>
  <si>
    <t>APP0254</t>
  </si>
  <si>
    <t>Nevyar-nib</t>
  </si>
  <si>
    <t>APP0250</t>
  </si>
  <si>
    <t>Ravurb-cept</t>
  </si>
  <si>
    <t>APP0251</t>
  </si>
  <si>
    <t>Olaola-tide</t>
  </si>
  <si>
    <t>APP0248</t>
  </si>
  <si>
    <t>Lirkim-lozide</t>
  </si>
  <si>
    <t>FDA approval — gastrointestinal biologic</t>
  </si>
  <si>
    <t>APP0020</t>
  </si>
  <si>
    <t>Spinraza</t>
  </si>
  <si>
    <t>Biogen</t>
  </si>
  <si>
    <t>First SMA treatment</t>
  </si>
  <si>
    <t>APP0286</t>
  </si>
  <si>
    <t>Xanjav-vir</t>
  </si>
  <si>
    <t>APP0291</t>
  </si>
  <si>
    <t>Weresp-rab</t>
  </si>
  <si>
    <t>APP0293</t>
  </si>
  <si>
    <t>Urbnev-tide</t>
  </si>
  <si>
    <t>APP0311</t>
  </si>
  <si>
    <t>Benile-tide</t>
  </si>
  <si>
    <t>APP0275</t>
  </si>
  <si>
    <t>Garpre-sertib</t>
  </si>
  <si>
    <t>APP0285</t>
  </si>
  <si>
    <t>Werrav-sertib</t>
  </si>
  <si>
    <t>APP0284</t>
  </si>
  <si>
    <t>Wernev-fenib</t>
  </si>
  <si>
    <t>APP0298</t>
  </si>
  <si>
    <t>Vormyr-rab</t>
  </si>
  <si>
    <t>FDA approval — immunology cell_therapy</t>
  </si>
  <si>
    <t>APP0296</t>
  </si>
  <si>
    <t>Ravben-cel</t>
  </si>
  <si>
    <t>APP0299</t>
  </si>
  <si>
    <t>Javtev-rab</t>
  </si>
  <si>
    <t>APP0017</t>
  </si>
  <si>
    <t>Dupixent</t>
  </si>
  <si>
    <t>IL-4/IL-13 atopic dermatitis</t>
  </si>
  <si>
    <t>APP0016</t>
  </si>
  <si>
    <t>Ocrevus</t>
  </si>
  <si>
    <t>MS treatment</t>
  </si>
  <si>
    <t>APP0288</t>
  </si>
  <si>
    <t>Nevgar-stat</t>
  </si>
  <si>
    <t>APP0282</t>
  </si>
  <si>
    <t>Tevrav-tinib</t>
  </si>
  <si>
    <t>APP0280</t>
  </si>
  <si>
    <t>Nevkim-fenib</t>
  </si>
  <si>
    <t>APP0277</t>
  </si>
  <si>
    <t>Wervor-fenib</t>
  </si>
  <si>
    <t>APP0271</t>
  </si>
  <si>
    <t>Ravsol-rab</t>
  </si>
  <si>
    <t>FDA approval — gastrointestinal gene_therapy</t>
  </si>
  <si>
    <t>APP0305</t>
  </si>
  <si>
    <t>Abrkim-pril</t>
  </si>
  <si>
    <t>APP0278</t>
  </si>
  <si>
    <t>Zolesp-tinib</t>
  </si>
  <si>
    <t>APP0279</t>
  </si>
  <si>
    <t>Preurb-cel</t>
  </si>
  <si>
    <t>APP0300</t>
  </si>
  <si>
    <t>Benqul-tide</t>
  </si>
  <si>
    <t>APP0272</t>
  </si>
  <si>
    <t>Ravile-fenib</t>
  </si>
  <si>
    <t>APP0302</t>
  </si>
  <si>
    <t>Lirtev-tide</t>
  </si>
  <si>
    <t>APP0312</t>
  </si>
  <si>
    <t>Bendur-vir</t>
  </si>
  <si>
    <t>APP0308</t>
  </si>
  <si>
    <t>Liresp-tide</t>
  </si>
  <si>
    <t>APP0309</t>
  </si>
  <si>
    <t>Olaesp-mab</t>
  </si>
  <si>
    <t>APP0297</t>
  </si>
  <si>
    <t>APP0306</t>
  </si>
  <si>
    <t>Espabr-rab</t>
  </si>
  <si>
    <t>APP0287</t>
  </si>
  <si>
    <t>Corzol-cel</t>
  </si>
  <si>
    <t>APP0294</t>
  </si>
  <si>
    <t>APP0301</t>
  </si>
  <si>
    <t>Werlir-mab</t>
  </si>
  <si>
    <t>APP0274</t>
  </si>
  <si>
    <t>Espxan-zumab</t>
  </si>
  <si>
    <t>APP0283</t>
  </si>
  <si>
    <t>Tevtev-tide</t>
  </si>
  <si>
    <t>APP0281</t>
  </si>
  <si>
    <t>Myrnev-sertib</t>
  </si>
  <si>
    <t>APP0295</t>
  </si>
  <si>
    <t>Zolile-rab</t>
  </si>
  <si>
    <t>APP0018</t>
  </si>
  <si>
    <t>Kymriah</t>
  </si>
  <si>
    <t>First CAR-T approved by FDA</t>
  </si>
  <si>
    <t>APP0307</t>
  </si>
  <si>
    <t>Javgar-lozide</t>
  </si>
  <si>
    <t>APP0289</t>
  </si>
  <si>
    <t>Cornev-fenib</t>
  </si>
  <si>
    <t>APP0315</t>
  </si>
  <si>
    <t>Prewer-vir</t>
  </si>
  <si>
    <t>APP0303</t>
  </si>
  <si>
    <t>Tevgar-cel</t>
  </si>
  <si>
    <t>APP0310</t>
  </si>
  <si>
    <t>Benben-tide</t>
  </si>
  <si>
    <t>APP0019</t>
  </si>
  <si>
    <t>Yescarta</t>
  </si>
  <si>
    <t>Kite/Gilead</t>
  </si>
  <si>
    <t>CAR-T for lymphoma</t>
  </si>
  <si>
    <t>APP0304</t>
  </si>
  <si>
    <t>Myrtev-tide</t>
  </si>
  <si>
    <t>APP0276</t>
  </si>
  <si>
    <t>Myrgar-tinib</t>
  </si>
  <si>
    <t>APP0290</t>
  </si>
  <si>
    <t>Garurb-vir</t>
  </si>
  <si>
    <t>APP0292</t>
  </si>
  <si>
    <t>Nevyar-cel</t>
  </si>
  <si>
    <t>APP0021</t>
  </si>
  <si>
    <t>Hemlibra</t>
  </si>
  <si>
    <t>Hemophilia A bispecific</t>
  </si>
  <si>
    <t>APP0314</t>
  </si>
  <si>
    <t>Cornev-stat</t>
  </si>
  <si>
    <t>APP0270</t>
  </si>
  <si>
    <t>APP0313</t>
  </si>
  <si>
    <t>Benlir-cel</t>
  </si>
  <si>
    <t>APP0028</t>
  </si>
  <si>
    <t>Ozempic</t>
  </si>
  <si>
    <t>Semaglutide for T2D</t>
  </si>
  <si>
    <t>APP0273</t>
  </si>
  <si>
    <t>Nevkim-tinib</t>
  </si>
  <si>
    <t>APP0349</t>
  </si>
  <si>
    <t>Solile-vir</t>
  </si>
  <si>
    <t>APP0352</t>
  </si>
  <si>
    <t>Abrile-lozide</t>
  </si>
  <si>
    <t>APP0358</t>
  </si>
  <si>
    <t>APP0369</t>
  </si>
  <si>
    <t>Lircor-pril</t>
  </si>
  <si>
    <t>APP0374</t>
  </si>
  <si>
    <t>Solola-cept</t>
  </si>
  <si>
    <t>APP0342</t>
  </si>
  <si>
    <t>Garyar-lozide</t>
  </si>
  <si>
    <t>APP0324</t>
  </si>
  <si>
    <t>Coryar-sertib</t>
  </si>
  <si>
    <t>APP0372</t>
  </si>
  <si>
    <t>APP0320</t>
  </si>
  <si>
    <t>Ilecor-tide</t>
  </si>
  <si>
    <t>APP0331</t>
  </si>
  <si>
    <t>Tevben-zumab</t>
  </si>
  <si>
    <t>APP0343</t>
  </si>
  <si>
    <t>Ravsol-cept</t>
  </si>
  <si>
    <t>APP0340</t>
  </si>
  <si>
    <t>Urbyar-cel</t>
  </si>
  <si>
    <t>APP0332</t>
  </si>
  <si>
    <t>APP0368</t>
  </si>
  <si>
    <t>Ravxyl-tide</t>
  </si>
  <si>
    <t>APP0356</t>
  </si>
  <si>
    <t>Olapre-vir</t>
  </si>
  <si>
    <t>APP0327</t>
  </si>
  <si>
    <t>Olaabr-sertib</t>
  </si>
  <si>
    <t>APP0335</t>
  </si>
  <si>
    <t>APP0366</t>
  </si>
  <si>
    <t>Durjav-lozide</t>
  </si>
  <si>
    <t>APP0367</t>
  </si>
  <si>
    <t>Solola-tinib</t>
  </si>
  <si>
    <t>APP0334</t>
  </si>
  <si>
    <t>Urbkim-rab</t>
  </si>
  <si>
    <t>APP0330</t>
  </si>
  <si>
    <t>Garurb-lozide</t>
  </si>
  <si>
    <t>APP0318</t>
  </si>
  <si>
    <t>Prexan-zumab</t>
  </si>
  <si>
    <t>APP0317</t>
  </si>
  <si>
    <t>Ravdur-zumab</t>
  </si>
  <si>
    <t>APP0329</t>
  </si>
  <si>
    <t>Bentev-rab</t>
  </si>
  <si>
    <t>APP0365</t>
  </si>
  <si>
    <t>Abrcor-tide</t>
  </si>
  <si>
    <t>APP0350</t>
  </si>
  <si>
    <t>Durabr-nib</t>
  </si>
  <si>
    <t>APP0333</t>
  </si>
  <si>
    <t>Solxan-mab</t>
  </si>
  <si>
    <t>APP0325</t>
  </si>
  <si>
    <t>Wervor-tide</t>
  </si>
  <si>
    <t>APP0344</t>
  </si>
  <si>
    <t>Solxyl-pril</t>
  </si>
  <si>
    <t>APP0361</t>
  </si>
  <si>
    <t>Benkim-nib</t>
  </si>
  <si>
    <t>APP0370</t>
  </si>
  <si>
    <t>Nevkim-rab</t>
  </si>
  <si>
    <t>APP0341</t>
  </si>
  <si>
    <t>Xankim-lozide</t>
  </si>
  <si>
    <t>APP0345</t>
  </si>
  <si>
    <t>Garxan-tide</t>
  </si>
  <si>
    <t>APP0362</t>
  </si>
  <si>
    <t>Javrav-fenib</t>
  </si>
  <si>
    <t>APP0337</t>
  </si>
  <si>
    <t>Xanabr-pril</t>
  </si>
  <si>
    <t>APP0316</t>
  </si>
  <si>
    <t>Garwer-mab</t>
  </si>
  <si>
    <t>APP0339</t>
  </si>
  <si>
    <t>Qulurb-tide</t>
  </si>
  <si>
    <t>APP0321</t>
  </si>
  <si>
    <t>Urbmyr-fenib</t>
  </si>
  <si>
    <t>FDA approval — gastrointestinal vaccine</t>
  </si>
  <si>
    <t>APP0348</t>
  </si>
  <si>
    <t>Ilemyr-lozide</t>
  </si>
  <si>
    <t>APP0357</t>
  </si>
  <si>
    <t>Ravwer-pril</t>
  </si>
  <si>
    <t>FDA approval — metabolic cell_therapy</t>
  </si>
  <si>
    <t>APP0353</t>
  </si>
  <si>
    <t>Abrtev-stat</t>
  </si>
  <si>
    <t>APP0364</t>
  </si>
  <si>
    <t>Garrav-mab</t>
  </si>
  <si>
    <t>APP0323</t>
  </si>
  <si>
    <t>Olavor-tide</t>
  </si>
  <si>
    <t>APP0354</t>
  </si>
  <si>
    <t>Nevxyl-mab</t>
  </si>
  <si>
    <t>APP0326</t>
  </si>
  <si>
    <t>APP0319</t>
  </si>
  <si>
    <t>Benrav-mab</t>
  </si>
  <si>
    <t>APP0347</t>
  </si>
  <si>
    <t>Abrnev-rab</t>
  </si>
  <si>
    <t>APP0346</t>
  </si>
  <si>
    <t>Olaqul-tide</t>
  </si>
  <si>
    <t>APP0322</t>
  </si>
  <si>
    <t>Garcor-rab</t>
  </si>
  <si>
    <t>APP0336</t>
  </si>
  <si>
    <t>Qulwer-cel</t>
  </si>
  <si>
    <t>APP0328</t>
  </si>
  <si>
    <t>Vormyr-cel</t>
  </si>
  <si>
    <t>APP0373</t>
  </si>
  <si>
    <t>Abrwer-nib</t>
  </si>
  <si>
    <t>APP0351</t>
  </si>
  <si>
    <t>Zolabr-tide</t>
  </si>
  <si>
    <t>APP0360</t>
  </si>
  <si>
    <t>Corzol-tide</t>
  </si>
  <si>
    <t>APP0338</t>
  </si>
  <si>
    <t>Xylabr-tinib</t>
  </si>
  <si>
    <t>APP0355</t>
  </si>
  <si>
    <t>Ilequl-mab</t>
  </si>
  <si>
    <t>FDA approval — metabolic vaccine</t>
  </si>
  <si>
    <t>APP0371</t>
  </si>
  <si>
    <t>Ilewer-lozide</t>
  </si>
  <si>
    <t>APP0363</t>
  </si>
  <si>
    <t>Olaile-tinib</t>
  </si>
  <si>
    <t>APP0359</t>
  </si>
  <si>
    <t>Xylabr-tide</t>
  </si>
  <si>
    <t>APP0394</t>
  </si>
  <si>
    <t>APP0379</t>
  </si>
  <si>
    <t>Nevdur-tide</t>
  </si>
  <si>
    <t>APP0413</t>
  </si>
  <si>
    <t>Zolesp-pril</t>
  </si>
  <si>
    <t>APP0389</t>
  </si>
  <si>
    <t>Werlir-tinib</t>
  </si>
  <si>
    <t>APP0395</t>
  </si>
  <si>
    <t>Zolnev-pril</t>
  </si>
  <si>
    <t>APP0420</t>
  </si>
  <si>
    <t>Javgar-cel</t>
  </si>
  <si>
    <t>APP0383</t>
  </si>
  <si>
    <t>Solyar-lozide</t>
  </si>
  <si>
    <t>APP0392</t>
  </si>
  <si>
    <t>Javxyl-tide</t>
  </si>
  <si>
    <t>APP0415</t>
  </si>
  <si>
    <t>Javxyl-fenib</t>
  </si>
  <si>
    <t>APP0417</t>
  </si>
  <si>
    <t>Preesp-tide</t>
  </si>
  <si>
    <t>APP0398</t>
  </si>
  <si>
    <t>Preyar-tinib</t>
  </si>
  <si>
    <t>APP0410</t>
  </si>
  <si>
    <t>Javcor-tinib</t>
  </si>
  <si>
    <t>APP0375</t>
  </si>
  <si>
    <t>Espnev-tide</t>
  </si>
  <si>
    <t>APP0407</t>
  </si>
  <si>
    <t>Nevxyl-rab</t>
  </si>
  <si>
    <t>APP0419</t>
  </si>
  <si>
    <t>Olasol-mab</t>
  </si>
  <si>
    <t>APP0397</t>
  </si>
  <si>
    <t>Predur-rab</t>
  </si>
  <si>
    <t>APP0381</t>
  </si>
  <si>
    <t>Xylxyl-vir</t>
  </si>
  <si>
    <t>APP0405</t>
  </si>
  <si>
    <t>Iletev-zumab</t>
  </si>
  <si>
    <t>APP0382</t>
  </si>
  <si>
    <t>Myrxyl-tide</t>
  </si>
  <si>
    <t>APP0404</t>
  </si>
  <si>
    <t>Myrqul-tide</t>
  </si>
  <si>
    <t>APP0023</t>
  </si>
  <si>
    <t>Zolgensma</t>
  </si>
  <si>
    <t>$2.1M gene therapy for SMA</t>
  </si>
  <si>
    <t>APP0412</t>
  </si>
  <si>
    <t>Urbmyr-tinib</t>
  </si>
  <si>
    <t>APP0411</t>
  </si>
  <si>
    <t>Urbpre-tide</t>
  </si>
  <si>
    <t>APP0391</t>
  </si>
  <si>
    <t>Durxan-stat</t>
  </si>
  <si>
    <t>APP0386</t>
  </si>
  <si>
    <t>Nevwer-sertib</t>
  </si>
  <si>
    <t>APP0388</t>
  </si>
  <si>
    <t>Wergar-cept</t>
  </si>
  <si>
    <t>APP0401</t>
  </si>
  <si>
    <t>Solgar-lozide</t>
  </si>
  <si>
    <t>APP0421</t>
  </si>
  <si>
    <t>Espwer-nib</t>
  </si>
  <si>
    <t>APP0402</t>
  </si>
  <si>
    <t>Olaola-sertib</t>
  </si>
  <si>
    <t>APP0422</t>
  </si>
  <si>
    <t>Espmyr-fenib</t>
  </si>
  <si>
    <t>FDA approval — cardiovascular vaccine</t>
  </si>
  <si>
    <t>APP0384</t>
  </si>
  <si>
    <t>Zolgar-rab</t>
  </si>
  <si>
    <t>APP0399</t>
  </si>
  <si>
    <t>Tevlir-tinib</t>
  </si>
  <si>
    <t>APP0406</t>
  </si>
  <si>
    <t>Nevdur-nib</t>
  </si>
  <si>
    <t>APP0403</t>
  </si>
  <si>
    <t>Liryar-vir</t>
  </si>
  <si>
    <t>APP0376</t>
  </si>
  <si>
    <t>APP0387</t>
  </si>
  <si>
    <t>Abrqul-cel</t>
  </si>
  <si>
    <t>APP0414</t>
  </si>
  <si>
    <t>Yarnev-vir</t>
  </si>
  <si>
    <t>APP0390</t>
  </si>
  <si>
    <t>Abrzol-tide</t>
  </si>
  <si>
    <t>APP0396</t>
  </si>
  <si>
    <t>Vordur-fenib</t>
  </si>
  <si>
    <t>APP0393</t>
  </si>
  <si>
    <t>APP0022</t>
  </si>
  <si>
    <t>Trikafta</t>
  </si>
  <si>
    <t>Breakthrough CF triple combo</t>
  </si>
  <si>
    <t>APP0378</t>
  </si>
  <si>
    <t>Xylxan-mab</t>
  </si>
  <si>
    <t>APP0409</t>
  </si>
  <si>
    <t>Nevesp-tide</t>
  </si>
  <si>
    <t>APP0380</t>
  </si>
  <si>
    <t>Ilepre-tide</t>
  </si>
  <si>
    <t>APP0400</t>
  </si>
  <si>
    <t>Soltev-sertib</t>
  </si>
  <si>
    <t>APP0377</t>
  </si>
  <si>
    <t>Benmyr-tide</t>
  </si>
  <si>
    <t>APP0416</t>
  </si>
  <si>
    <t>Javnev-cept</t>
  </si>
  <si>
    <t>APP0418</t>
  </si>
  <si>
    <t>Premyr-zumab</t>
  </si>
  <si>
    <t>APP0385</t>
  </si>
  <si>
    <t>Ravola-tinib</t>
  </si>
  <si>
    <t>APP0408</t>
  </si>
  <si>
    <t>Solabr-fenib</t>
  </si>
  <si>
    <t>APP0429</t>
  </si>
  <si>
    <t>APP0460</t>
  </si>
  <si>
    <t>Corrav-sertib</t>
  </si>
  <si>
    <t>APP0470</t>
  </si>
  <si>
    <t>Javrav-tide</t>
  </si>
  <si>
    <t>APP0445</t>
  </si>
  <si>
    <t>APP0465</t>
  </si>
  <si>
    <t>Garjav-nib</t>
  </si>
  <si>
    <t>APP0426</t>
  </si>
  <si>
    <t>Qulsol-mab</t>
  </si>
  <si>
    <t>APP0469</t>
  </si>
  <si>
    <t>Lirwer-tide</t>
  </si>
  <si>
    <t>APP0458</t>
  </si>
  <si>
    <t>Kimlir-sertib</t>
  </si>
  <si>
    <t>APP0452</t>
  </si>
  <si>
    <t>Benpre-lozide</t>
  </si>
  <si>
    <t>APP0457</t>
  </si>
  <si>
    <t>Xansol-tinib</t>
  </si>
  <si>
    <t>APP0427</t>
  </si>
  <si>
    <t>Lirpre-mab</t>
  </si>
  <si>
    <t>APP0438</t>
  </si>
  <si>
    <t>Solmyr-rab</t>
  </si>
  <si>
    <t>FDA approval — infectious cell_therapy</t>
  </si>
  <si>
    <t>APP0423</t>
  </si>
  <si>
    <t>Corben-zumab</t>
  </si>
  <si>
    <t>APP0463</t>
  </si>
  <si>
    <t>Ilejav-lozide</t>
  </si>
  <si>
    <t>APP0471</t>
  </si>
  <si>
    <t>Dururb-vir</t>
  </si>
  <si>
    <t>APP0473</t>
  </si>
  <si>
    <t>Tevzol-vir</t>
  </si>
  <si>
    <t>APP0440</t>
  </si>
  <si>
    <t>Zolyar-stat</t>
  </si>
  <si>
    <t>APP0468</t>
  </si>
  <si>
    <t>Kimlir-cel</t>
  </si>
  <si>
    <t>APP0472</t>
  </si>
  <si>
    <t>Yarlir-zumab</t>
  </si>
  <si>
    <t>APP0474</t>
  </si>
  <si>
    <t>Ravqul-sertib</t>
  </si>
  <si>
    <t>APP0462</t>
  </si>
  <si>
    <t>Durvor-vir</t>
  </si>
  <si>
    <t>APP0439</t>
  </si>
  <si>
    <t>Zolnev-tinib</t>
  </si>
  <si>
    <t>APP0428</t>
  </si>
  <si>
    <t>Preola-mab</t>
  </si>
  <si>
    <t>APP0455</t>
  </si>
  <si>
    <t>Olayar-cept</t>
  </si>
  <si>
    <t>APP0437</t>
  </si>
  <si>
    <t>Urbesp-stat</t>
  </si>
  <si>
    <t>APP0466</t>
  </si>
  <si>
    <t>Yarzol-sertib</t>
  </si>
  <si>
    <t>APP0447</t>
  </si>
  <si>
    <t>Lirzol-mab</t>
  </si>
  <si>
    <t>APP0450</t>
  </si>
  <si>
    <t>Solxyl-sertib</t>
  </si>
  <si>
    <t>APP0454</t>
  </si>
  <si>
    <t>Zolvor-fenib</t>
  </si>
  <si>
    <t>APP0443</t>
  </si>
  <si>
    <t>Qulgar-rab</t>
  </si>
  <si>
    <t>APP0442</t>
  </si>
  <si>
    <t>APP0446</t>
  </si>
  <si>
    <t>Yarqul-sertib</t>
  </si>
  <si>
    <t>APP0434</t>
  </si>
  <si>
    <t>Benesp-cel</t>
  </si>
  <si>
    <t>APP0453</t>
  </si>
  <si>
    <t>Lirola-fenib</t>
  </si>
  <si>
    <t>APP0436</t>
  </si>
  <si>
    <t>Yarcor-lozide</t>
  </si>
  <si>
    <t>APP0431</t>
  </si>
  <si>
    <t>Lirurb-rab</t>
  </si>
  <si>
    <t>APP0433</t>
  </si>
  <si>
    <t>Tevurb-pril</t>
  </si>
  <si>
    <t>APP0441</t>
  </si>
  <si>
    <t>Corben-cept</t>
  </si>
  <si>
    <t>APP0449</t>
  </si>
  <si>
    <t>Garwer-stat</t>
  </si>
  <si>
    <t>APP0475</t>
  </si>
  <si>
    <t>Olarav-tide</t>
  </si>
  <si>
    <t>APP0464</t>
  </si>
  <si>
    <t>Zolrav-nib</t>
  </si>
  <si>
    <t>APP0467</t>
  </si>
  <si>
    <t>Corzol-cept</t>
  </si>
  <si>
    <t>APP0456</t>
  </si>
  <si>
    <t>Cortev-tide</t>
  </si>
  <si>
    <t>APP0451</t>
  </si>
  <si>
    <t>Javxyl-cel</t>
  </si>
  <si>
    <t>APP0461</t>
  </si>
  <si>
    <t>Garile-cept</t>
  </si>
  <si>
    <t>APP0024</t>
  </si>
  <si>
    <t>Remdesivir (Veklury)</t>
  </si>
  <si>
    <t>COVID-19 antiviral</t>
  </si>
  <si>
    <t>APP0448</t>
  </si>
  <si>
    <t>Ravkim-tide</t>
  </si>
  <si>
    <t>APP0424</t>
  </si>
  <si>
    <t>Urbkim-tide</t>
  </si>
  <si>
    <t>APP0435</t>
  </si>
  <si>
    <t>Nevcor-rab</t>
  </si>
  <si>
    <t>APP0432</t>
  </si>
  <si>
    <t>Yarmyr-zumab</t>
  </si>
  <si>
    <t>APP0025</t>
  </si>
  <si>
    <t>Pfizer-BioNTech COVID Vaccine</t>
  </si>
  <si>
    <t>Pfizer/BioNTech</t>
  </si>
  <si>
    <t>First COVID vaccine, $37B peak</t>
  </si>
  <si>
    <t>APP0459</t>
  </si>
  <si>
    <t>Wergar-fenib</t>
  </si>
  <si>
    <t>APP0444</t>
  </si>
  <si>
    <t>Lirzol-pril</t>
  </si>
  <si>
    <t>APP0425</t>
  </si>
  <si>
    <t>Durtev-sertib</t>
  </si>
  <si>
    <t>APP0026</t>
  </si>
  <si>
    <t>Moderna COVID Vaccine</t>
  </si>
  <si>
    <t>mRNA COVID vaccine</t>
  </si>
  <si>
    <t>APP0430</t>
  </si>
  <si>
    <t>Tevvor-lozide</t>
  </si>
  <si>
    <t>APP0492</t>
  </si>
  <si>
    <t>Myrabr-mab</t>
  </si>
  <si>
    <t>APP0501</t>
  </si>
  <si>
    <t>Ravdur-lozide</t>
  </si>
  <si>
    <t>APP0515</t>
  </si>
  <si>
    <t>Xylmyr-lozide</t>
  </si>
  <si>
    <t>APP0486</t>
  </si>
  <si>
    <t>Vorqul-sertib</t>
  </si>
  <si>
    <t>APP0507</t>
  </si>
  <si>
    <t>Yarpre-lozide</t>
  </si>
  <si>
    <t>APP0479</t>
  </si>
  <si>
    <t>Duresp-nib</t>
  </si>
  <si>
    <t>FDA approval — rare_disease gene_therapy</t>
  </si>
  <si>
    <t>APP0511</t>
  </si>
  <si>
    <t>Xanpre-lozide</t>
  </si>
  <si>
    <t>APP0480</t>
  </si>
  <si>
    <t>Durlir-cept</t>
  </si>
  <si>
    <t>APP0513</t>
  </si>
  <si>
    <t>APP0478</t>
  </si>
  <si>
    <t>Werile-lozide</t>
  </si>
  <si>
    <t>APP0506</t>
  </si>
  <si>
    <t>Cormyr-sertib</t>
  </si>
  <si>
    <t>APP0514</t>
  </si>
  <si>
    <t>Javxyl-cept</t>
  </si>
  <si>
    <t>APP0494</t>
  </si>
  <si>
    <t>Lirqul-pril</t>
  </si>
  <si>
    <t>APP0483</t>
  </si>
  <si>
    <t>Benpre-tinib</t>
  </si>
  <si>
    <t>APP0502</t>
  </si>
  <si>
    <t>Corpre-fenib</t>
  </si>
  <si>
    <t>APP0490</t>
  </si>
  <si>
    <t>Urbxyl-sertib</t>
  </si>
  <si>
    <t>APP0498</t>
  </si>
  <si>
    <t>Nevben-fenib</t>
  </si>
  <si>
    <t>APP0504</t>
  </si>
  <si>
    <t>Werqul-cept</t>
  </si>
  <si>
    <t>APP0487</t>
  </si>
  <si>
    <t>Ilesol-lozide</t>
  </si>
  <si>
    <t>APP0493</t>
  </si>
  <si>
    <t>Olaola-tinib</t>
  </si>
  <si>
    <t>APP0520</t>
  </si>
  <si>
    <t>Vorzol-nib</t>
  </si>
  <si>
    <t>APP0030</t>
  </si>
  <si>
    <t>Wegovy</t>
  </si>
  <si>
    <t>Semaglutide for obesity, GLP-1 revolution</t>
  </si>
  <si>
    <t>APP0484</t>
  </si>
  <si>
    <t>Qulnev-fenib</t>
  </si>
  <si>
    <t>APP0032</t>
  </si>
  <si>
    <t>Aduhelm</t>
  </si>
  <si>
    <t>First Alzheimer's drug in 18 years, controversial</t>
  </si>
  <si>
    <t>APP0485</t>
  </si>
  <si>
    <t>Xanzol-tide</t>
  </si>
  <si>
    <t>APP0497</t>
  </si>
  <si>
    <t>Abresp-nib</t>
  </si>
  <si>
    <t>APP0488</t>
  </si>
  <si>
    <t>Corvor-sertib</t>
  </si>
  <si>
    <t>APP0489</t>
  </si>
  <si>
    <t>Lircor-sertib</t>
  </si>
  <si>
    <t>APP0509</t>
  </si>
  <si>
    <t>Vorben-cel</t>
  </si>
  <si>
    <t>APP0496</t>
  </si>
  <si>
    <t>Corjav-sertib</t>
  </si>
  <si>
    <t>APP0481</t>
  </si>
  <si>
    <t>Ravabr-vir</t>
  </si>
  <si>
    <t>APP0522</t>
  </si>
  <si>
    <t>APP0505</t>
  </si>
  <si>
    <t>Solmyr-tinib</t>
  </si>
  <si>
    <t>APP0518</t>
  </si>
  <si>
    <t>Abryar-mab</t>
  </si>
  <si>
    <t>APP0499</t>
  </si>
  <si>
    <t>Benxyl-rab</t>
  </si>
  <si>
    <t>APP0503</t>
  </si>
  <si>
    <t>Zolmyr-tide</t>
  </si>
  <si>
    <t>APP0521</t>
  </si>
  <si>
    <t>Yarsol-sertib</t>
  </si>
  <si>
    <t>APP0508</t>
  </si>
  <si>
    <t>Nevnev-tinib</t>
  </si>
  <si>
    <t>APP0491</t>
  </si>
  <si>
    <t>Xylurb-pril</t>
  </si>
  <si>
    <t>APP0517</t>
  </si>
  <si>
    <t>Weryar-nib</t>
  </si>
  <si>
    <t>APP0525</t>
  </si>
  <si>
    <t>Xannev-vir</t>
  </si>
  <si>
    <t>APP0477</t>
  </si>
  <si>
    <t>Kimmyr-lozide</t>
  </si>
  <si>
    <t>APP0519</t>
  </si>
  <si>
    <t>Preola-tide</t>
  </si>
  <si>
    <t>APP0523</t>
  </si>
  <si>
    <t>Benben-vir</t>
  </si>
  <si>
    <t>APP0516</t>
  </si>
  <si>
    <t>APP0476</t>
  </si>
  <si>
    <t>Tevrav-fenib</t>
  </si>
  <si>
    <t>APP0510</t>
  </si>
  <si>
    <t>Solzol-stat</t>
  </si>
  <si>
    <t>APP0512</t>
  </si>
  <si>
    <t>Prelir-pril</t>
  </si>
  <si>
    <t>APP0500</t>
  </si>
  <si>
    <t>Espesp-stat</t>
  </si>
  <si>
    <t>APP0495</t>
  </si>
  <si>
    <t>Urbjav-cept</t>
  </si>
  <si>
    <t>APP0482</t>
  </si>
  <si>
    <t>Ilexan-fenib</t>
  </si>
  <si>
    <t>APP0524</t>
  </si>
  <si>
    <t>Xanyar-sertib</t>
  </si>
  <si>
    <t>APP0027</t>
  </si>
  <si>
    <t>Paxlovid</t>
  </si>
  <si>
    <t>COVID oral antiviral</t>
  </si>
  <si>
    <t>APP0538</t>
  </si>
  <si>
    <t>Olarav-tinib</t>
  </si>
  <si>
    <t>APP0558</t>
  </si>
  <si>
    <t>Corola-pril</t>
  </si>
  <si>
    <t>APP0547</t>
  </si>
  <si>
    <t>Kimdur-mab</t>
  </si>
  <si>
    <t>APP0531</t>
  </si>
  <si>
    <t>Corile-mab</t>
  </si>
  <si>
    <t>APP0536</t>
  </si>
  <si>
    <t>Javrav-vir</t>
  </si>
  <si>
    <t>APP0540</t>
  </si>
  <si>
    <t>Olaesp-lozide</t>
  </si>
  <si>
    <t>APP0560</t>
  </si>
  <si>
    <t>Garqul-tide</t>
  </si>
  <si>
    <t>APP0533</t>
  </si>
  <si>
    <t>Ilerav-fenib</t>
  </si>
  <si>
    <t>APP0029</t>
  </si>
  <si>
    <t>Mounjaro</t>
  </si>
  <si>
    <t>Tirzepatide for T2D</t>
  </si>
  <si>
    <t>APP0548</t>
  </si>
  <si>
    <t>Zolcor-tide</t>
  </si>
  <si>
    <t>APP0542</t>
  </si>
  <si>
    <t>Corurb-pril</t>
  </si>
  <si>
    <t>APP0549</t>
  </si>
  <si>
    <t>Ravcor-rab</t>
  </si>
  <si>
    <t>APP0539</t>
  </si>
  <si>
    <t>APP0528</t>
  </si>
  <si>
    <t>Xankim-fenib</t>
  </si>
  <si>
    <t>APP0534</t>
  </si>
  <si>
    <t>Olacor-tinib</t>
  </si>
  <si>
    <t>APP0562</t>
  </si>
  <si>
    <t>Garsol-fenib</t>
  </si>
  <si>
    <t>APP0561</t>
  </si>
  <si>
    <t>Solzol-cel</t>
  </si>
  <si>
    <t>APP0552</t>
  </si>
  <si>
    <t>Werile-tinib</t>
  </si>
  <si>
    <t>APP0545</t>
  </si>
  <si>
    <t>Olazol-tide</t>
  </si>
  <si>
    <t>APP0527</t>
  </si>
  <si>
    <t>Urburb-rab</t>
  </si>
  <si>
    <t>APP0535</t>
  </si>
  <si>
    <t>Javrav-zumab</t>
  </si>
  <si>
    <t>APP0544</t>
  </si>
  <si>
    <t>Urbtev-nib</t>
  </si>
  <si>
    <t>APP0559</t>
  </si>
  <si>
    <t>Xanqul-cept</t>
  </si>
  <si>
    <t>APP0541</t>
  </si>
  <si>
    <t>Nevben-rab</t>
  </si>
  <si>
    <t>APP0557</t>
  </si>
  <si>
    <t>Zollir-tide</t>
  </si>
  <si>
    <t>APP0554</t>
  </si>
  <si>
    <t>Ravwer-cel</t>
  </si>
  <si>
    <t>APP0529</t>
  </si>
  <si>
    <t>Coryar-rab</t>
  </si>
  <si>
    <t>APP0526</t>
  </si>
  <si>
    <t>Nevabr-stat</t>
  </si>
  <si>
    <t>APP0537</t>
  </si>
  <si>
    <t>Espyar-tide</t>
  </si>
  <si>
    <t>APP0543</t>
  </si>
  <si>
    <t>Nevzol-nib</t>
  </si>
  <si>
    <t>APP0546</t>
  </si>
  <si>
    <t>Ravnev-sertib</t>
  </si>
  <si>
    <t>APP0556</t>
  </si>
  <si>
    <t>Zolkim-tide</t>
  </si>
  <si>
    <t>APP0555</t>
  </si>
  <si>
    <t>Zolesp-vir</t>
  </si>
  <si>
    <t>APP0550</t>
  </si>
  <si>
    <t>Zolxyl-tide</t>
  </si>
  <si>
    <t>APP0551</t>
  </si>
  <si>
    <t>Xylyar-zumab</t>
  </si>
  <si>
    <t>APP0553</t>
  </si>
  <si>
    <t>Urbtev-lozide</t>
  </si>
  <si>
    <t>APP0532</t>
  </si>
  <si>
    <t>Prevor-tinib</t>
  </si>
  <si>
    <t>APP0530</t>
  </si>
  <si>
    <t>Ilenev-cept</t>
  </si>
  <si>
    <t>APP0587</t>
  </si>
  <si>
    <t>Olamyr-tide</t>
  </si>
  <si>
    <t>APP0592</t>
  </si>
  <si>
    <t>Bennev-pril</t>
  </si>
  <si>
    <t>APP0033</t>
  </si>
  <si>
    <t>Leqembi</t>
  </si>
  <si>
    <t>Biogen/Eisai</t>
  </si>
  <si>
    <t>Alzheimer's amyloid drug</t>
  </si>
  <si>
    <t>APP0578</t>
  </si>
  <si>
    <t>Lirlir-mab</t>
  </si>
  <si>
    <t>APP0581</t>
  </si>
  <si>
    <t>Benurb-cept</t>
  </si>
  <si>
    <t>APP0610</t>
  </si>
  <si>
    <t>Xanrav-tide</t>
  </si>
  <si>
    <t>APP0608</t>
  </si>
  <si>
    <t>Kimpre-mab</t>
  </si>
  <si>
    <t>APP0585</t>
  </si>
  <si>
    <t>Tevtev-zumab</t>
  </si>
  <si>
    <t>APP0597</t>
  </si>
  <si>
    <t>Zolzol-tide</t>
  </si>
  <si>
    <t>APP0577</t>
  </si>
  <si>
    <t>Bengar-sertib</t>
  </si>
  <si>
    <t>APP0563</t>
  </si>
  <si>
    <t>Vorsol-nib</t>
  </si>
  <si>
    <t>APP0596</t>
  </si>
  <si>
    <t>Qulsol-tinib</t>
  </si>
  <si>
    <t>APP0617</t>
  </si>
  <si>
    <t>Xylwer-tinib</t>
  </si>
  <si>
    <t>APP0605</t>
  </si>
  <si>
    <t>APP0576</t>
  </si>
  <si>
    <t>Urbola-nib</t>
  </si>
  <si>
    <t>APP0568</t>
  </si>
  <si>
    <t>Ilelir-tinib</t>
  </si>
  <si>
    <t>APP0566</t>
  </si>
  <si>
    <t>Xylxyl-cept</t>
  </si>
  <si>
    <t>APP0600</t>
  </si>
  <si>
    <t>Corxyl-stat</t>
  </si>
  <si>
    <t>APP0575</t>
  </si>
  <si>
    <t>Tevdur-mab</t>
  </si>
  <si>
    <t>APP0612</t>
  </si>
  <si>
    <t>Prexan-vir</t>
  </si>
  <si>
    <t>APP0570</t>
  </si>
  <si>
    <t>Zolurb-stat</t>
  </si>
  <si>
    <t>APP0598</t>
  </si>
  <si>
    <t>Espqul-fenib</t>
  </si>
  <si>
    <t>APP0586</t>
  </si>
  <si>
    <t>Nevrav-pril</t>
  </si>
  <si>
    <t>APP0573</t>
  </si>
  <si>
    <t>Olazol-cept</t>
  </si>
  <si>
    <t>APP0616</t>
  </si>
  <si>
    <t>Werjav-cept</t>
  </si>
  <si>
    <t>APP0588</t>
  </si>
  <si>
    <t>Durwer-rab</t>
  </si>
  <si>
    <t>APP0604</t>
  </si>
  <si>
    <t>Qulkim-tinib</t>
  </si>
  <si>
    <t>APP0572</t>
  </si>
  <si>
    <t>Prewer-stat</t>
  </si>
  <si>
    <t>APP0036</t>
  </si>
  <si>
    <t>Elevidys</t>
  </si>
  <si>
    <t>APP0037</t>
  </si>
  <si>
    <t>Roctavian</t>
  </si>
  <si>
    <t>Hemophilia A gene therapy</t>
  </si>
  <si>
    <t>APP0595</t>
  </si>
  <si>
    <t>Olapre-tide</t>
  </si>
  <si>
    <t>APP0584</t>
  </si>
  <si>
    <t>Werpre-pril</t>
  </si>
  <si>
    <t>APP0582</t>
  </si>
  <si>
    <t>Zoldur-tide</t>
  </si>
  <si>
    <t>APP0580</t>
  </si>
  <si>
    <t>Ravrav-mab</t>
  </si>
  <si>
    <t>APP0564</t>
  </si>
  <si>
    <t>Preile-tide</t>
  </si>
  <si>
    <t>APP0603</t>
  </si>
  <si>
    <t>Qulgar-cel</t>
  </si>
  <si>
    <t>APP0615</t>
  </si>
  <si>
    <t>Ileurb-sertib</t>
  </si>
  <si>
    <t>APP0609</t>
  </si>
  <si>
    <t>Werlir-pril</t>
  </si>
  <si>
    <t>APP0567</t>
  </si>
  <si>
    <t>Weryar-mab</t>
  </si>
  <si>
    <t>APP0591</t>
  </si>
  <si>
    <t>Ravtev-rab</t>
  </si>
  <si>
    <t>APP0593</t>
  </si>
  <si>
    <t>Xanyar-rab</t>
  </si>
  <si>
    <t>APP0583</t>
  </si>
  <si>
    <t>Xylyar-lozide</t>
  </si>
  <si>
    <t>APP0599</t>
  </si>
  <si>
    <t>Werzol-zumab</t>
  </si>
  <si>
    <t>APP0574</t>
  </si>
  <si>
    <t>Quldur-tide</t>
  </si>
  <si>
    <t>APP0611</t>
  </si>
  <si>
    <t>Durgar-nib</t>
  </si>
  <si>
    <t>APP0606</t>
  </si>
  <si>
    <t>Espqul-cel</t>
  </si>
  <si>
    <t>APP0569</t>
  </si>
  <si>
    <t>Werkim-tide</t>
  </si>
  <si>
    <t>APP0589</t>
  </si>
  <si>
    <t>APP0565</t>
  </si>
  <si>
    <t>Liryar-stat</t>
  </si>
  <si>
    <t>APP0590</t>
  </si>
  <si>
    <t>Werrav-tide</t>
  </si>
  <si>
    <t>APP0031</t>
  </si>
  <si>
    <t>Zepbound</t>
  </si>
  <si>
    <t>Tirzepatide for obesity</t>
  </si>
  <si>
    <t>APP0571</t>
  </si>
  <si>
    <t>Lirabr-stat</t>
  </si>
  <si>
    <t>APP0039</t>
  </si>
  <si>
    <t>Truqap</t>
  </si>
  <si>
    <t>AKT inhibitor for breast cancer</t>
  </si>
  <si>
    <t>APP0594</t>
  </si>
  <si>
    <t>Myrjav-pril</t>
  </si>
  <si>
    <t>APP0579</t>
  </si>
  <si>
    <t>Nevrav-tide</t>
  </si>
  <si>
    <t>APP0601</t>
  </si>
  <si>
    <t>Ravben-pril</t>
  </si>
  <si>
    <t>APP0614</t>
  </si>
  <si>
    <t>Solesp-cel</t>
  </si>
  <si>
    <t>APP0607</t>
  </si>
  <si>
    <t>Solsol-vir</t>
  </si>
  <si>
    <t>APP0035</t>
  </si>
  <si>
    <t>Casgevy</t>
  </si>
  <si>
    <t>Vertex/CRISPR</t>
  </si>
  <si>
    <t>First CRISPR therapy approved</t>
  </si>
  <si>
    <t>APP0602</t>
  </si>
  <si>
    <t>Myrwer-cel</t>
  </si>
  <si>
    <t>APP0613</t>
  </si>
  <si>
    <t>Ravqul-vir</t>
  </si>
  <si>
    <t>APP0618</t>
  </si>
  <si>
    <t>Xanpre-fenib</t>
  </si>
  <si>
    <t>APP0665</t>
  </si>
  <si>
    <t>Yarkim-rab</t>
  </si>
  <si>
    <t>APP0623</t>
  </si>
  <si>
    <t>Javyar-sertib</t>
  </si>
  <si>
    <t>APP0627</t>
  </si>
  <si>
    <t>APP0666</t>
  </si>
  <si>
    <t>Xylabr-cept</t>
  </si>
  <si>
    <t>APP0635</t>
  </si>
  <si>
    <t>Xylola-zumab</t>
  </si>
  <si>
    <t>APP0648</t>
  </si>
  <si>
    <t>Nevola-nib</t>
  </si>
  <si>
    <t>APP0641</t>
  </si>
  <si>
    <t>Javesp-zumab</t>
  </si>
  <si>
    <t>APP0633</t>
  </si>
  <si>
    <t>Pretev-fenib</t>
  </si>
  <si>
    <t>APP0632</t>
  </si>
  <si>
    <t>APP0630</t>
  </si>
  <si>
    <t>Qulben-pril</t>
  </si>
  <si>
    <t>APP0640</t>
  </si>
  <si>
    <t>Qultev-nib</t>
  </si>
  <si>
    <t>APP0656</t>
  </si>
  <si>
    <t>APP0634</t>
  </si>
  <si>
    <t>Xanabr-cept</t>
  </si>
  <si>
    <t>APP0644</t>
  </si>
  <si>
    <t>APP0636</t>
  </si>
  <si>
    <t>Corqul-cept</t>
  </si>
  <si>
    <t>APP0631</t>
  </si>
  <si>
    <t>Espnev-lozide</t>
  </si>
  <si>
    <t>APP0637</t>
  </si>
  <si>
    <t>Javvor-cept</t>
  </si>
  <si>
    <t>APP0646</t>
  </si>
  <si>
    <t>Lirurb-tide</t>
  </si>
  <si>
    <t>APP0645</t>
  </si>
  <si>
    <t>APP0625</t>
  </si>
  <si>
    <t>APP0657</t>
  </si>
  <si>
    <t>Ilezol-cel</t>
  </si>
  <si>
    <t>APP0643</t>
  </si>
  <si>
    <t>Garurb-fenib</t>
  </si>
  <si>
    <t>APP0661</t>
  </si>
  <si>
    <t>Ravesp-tide</t>
  </si>
  <si>
    <t>APP0652</t>
  </si>
  <si>
    <t>Kimxan-zumab</t>
  </si>
  <si>
    <t>APP0034</t>
  </si>
  <si>
    <t>Kisunla</t>
  </si>
  <si>
    <t>Donanemab for Alzheimer's</t>
  </si>
  <si>
    <t>APP0622</t>
  </si>
  <si>
    <t>Yarzol-cept</t>
  </si>
  <si>
    <t>APP0667</t>
  </si>
  <si>
    <t>Vorvor-tide</t>
  </si>
  <si>
    <t>APP0038</t>
  </si>
  <si>
    <t>Vorasidenib (Voranigo)</t>
  </si>
  <si>
    <t>Servier</t>
  </si>
  <si>
    <t>IDH-mutant glioma</t>
  </si>
  <si>
    <t>APP0620</t>
  </si>
  <si>
    <t>Espnev-zumab</t>
  </si>
  <si>
    <t>APP0655</t>
  </si>
  <si>
    <t>Prerav-cel</t>
  </si>
  <si>
    <t>APP0647</t>
  </si>
  <si>
    <t>Prezol-tide</t>
  </si>
  <si>
    <t>APP0040</t>
  </si>
  <si>
    <t>Lazcluze + Rybrevant</t>
  </si>
  <si>
    <t>First-line NSCLC combo</t>
  </si>
  <si>
    <t>APP0624</t>
  </si>
  <si>
    <t>Javwer-vir</t>
  </si>
  <si>
    <t>APP0628</t>
  </si>
  <si>
    <t>Durpre-sertib</t>
  </si>
  <si>
    <t>APP0043</t>
  </si>
  <si>
    <t>Ebglyss</t>
  </si>
  <si>
    <t>IL-13 inhibitor for AD</t>
  </si>
  <si>
    <t>APP0649</t>
  </si>
  <si>
    <t>Vorpre-fenib</t>
  </si>
  <si>
    <t>APP0629</t>
  </si>
  <si>
    <t>Yarxyl-fenib</t>
  </si>
  <si>
    <t>APP0638</t>
  </si>
  <si>
    <t>Durxyl-sertib</t>
  </si>
  <si>
    <t>APP0044</t>
  </si>
  <si>
    <t>Cobenfy</t>
  </si>
  <si>
    <t>First new schizophrenia mechanism in 70 years</t>
  </si>
  <si>
    <t>APP0626</t>
  </si>
  <si>
    <t>Javben-lozide</t>
  </si>
  <si>
    <t>APP0621</t>
  </si>
  <si>
    <t>Olanev-mab</t>
  </si>
  <si>
    <t>APP0659</t>
  </si>
  <si>
    <t>Abrola-vir</t>
  </si>
  <si>
    <t>APP0663</t>
  </si>
  <si>
    <t>Tevqul-cept</t>
  </si>
  <si>
    <t>APP0664</t>
  </si>
  <si>
    <t>Kimlir-cept</t>
  </si>
  <si>
    <t>APP0662</t>
  </si>
  <si>
    <t>Ilesol-tide</t>
  </si>
  <si>
    <t>APP0651</t>
  </si>
  <si>
    <t>Wercor-sertib</t>
  </si>
  <si>
    <t>APP0654</t>
  </si>
  <si>
    <t>Iletev-tide</t>
  </si>
  <si>
    <t>APP0642</t>
  </si>
  <si>
    <t>Durzol-mab</t>
  </si>
  <si>
    <t>APP0658</t>
  </si>
  <si>
    <t>Abrxyl-pril</t>
  </si>
  <si>
    <t>APP0639</t>
  </si>
  <si>
    <t>Ravcor-tinib</t>
  </si>
  <si>
    <t>APP0650</t>
  </si>
  <si>
    <t>Ravlir-vir</t>
  </si>
  <si>
    <t>APP0660</t>
  </si>
  <si>
    <t>Urbile-cel</t>
  </si>
  <si>
    <t>APP0653</t>
  </si>
  <si>
    <t>Iledur-stat</t>
  </si>
  <si>
    <t>APP0619</t>
  </si>
  <si>
    <t>Kimcor-lozide</t>
  </si>
  <si>
    <t>APP0708</t>
  </si>
  <si>
    <t>Ravzol-cept</t>
  </si>
  <si>
    <t>APP0697</t>
  </si>
  <si>
    <t>Urbpre-mab</t>
  </si>
  <si>
    <t>APP0705</t>
  </si>
  <si>
    <t>Benile-vir</t>
  </si>
  <si>
    <t>APP0675</t>
  </si>
  <si>
    <t>Benmyr-cel</t>
  </si>
  <si>
    <t>APP0041</t>
  </si>
  <si>
    <t>Datroway</t>
  </si>
  <si>
    <t>Daiichi/AstraZeneca</t>
  </si>
  <si>
    <t>TROP2 ADC for breast cancer</t>
  </si>
  <si>
    <t>APP0676</t>
  </si>
  <si>
    <t>Vorile-lozide</t>
  </si>
  <si>
    <t>APP0679</t>
  </si>
  <si>
    <t>Tevile-tinib</t>
  </si>
  <si>
    <t>APP0680</t>
  </si>
  <si>
    <t>Qulqul-lozide</t>
  </si>
  <si>
    <t>APP0673</t>
  </si>
  <si>
    <t>APP0688</t>
  </si>
  <si>
    <t>Iletev-stat</t>
  </si>
  <si>
    <t>APP0712</t>
  </si>
  <si>
    <t>Corrav-tinib</t>
  </si>
  <si>
    <t>APP0687</t>
  </si>
  <si>
    <t>Preile-cel</t>
  </si>
  <si>
    <t>APP0693</t>
  </si>
  <si>
    <t>Durtev-cel</t>
  </si>
  <si>
    <t>APP0670</t>
  </si>
  <si>
    <t>Solqul-stat</t>
  </si>
  <si>
    <t>APP0692</t>
  </si>
  <si>
    <t>Ilejav-tide</t>
  </si>
  <si>
    <t>APP0710</t>
  </si>
  <si>
    <t>Durwer-pril</t>
  </si>
  <si>
    <t>APP0669</t>
  </si>
  <si>
    <t>Myrqul-pril</t>
  </si>
  <si>
    <t>APP0699</t>
  </si>
  <si>
    <t>Olamyr-zumab</t>
  </si>
  <si>
    <t>FDA approval — psychiatry cell_therapy</t>
  </si>
  <si>
    <t>APP0695</t>
  </si>
  <si>
    <t>APP0677</t>
  </si>
  <si>
    <t>Myrxyl-zumab</t>
  </si>
  <si>
    <t>APP0690</t>
  </si>
  <si>
    <t>Preabr-zumab</t>
  </si>
  <si>
    <t>APP0042</t>
  </si>
  <si>
    <t>Tryptyr</t>
  </si>
  <si>
    <t>Oral GLP-1 (orforglipron)</t>
  </si>
  <si>
    <t>APP0696</t>
  </si>
  <si>
    <t>Solesp-zumab</t>
  </si>
  <si>
    <t>APP0689</t>
  </si>
  <si>
    <t>Tevesp-cept</t>
  </si>
  <si>
    <t>APP0684</t>
  </si>
  <si>
    <t>Xylwer-vir</t>
  </si>
  <si>
    <t>APP0704</t>
  </si>
  <si>
    <t>Kimqul-rab</t>
  </si>
  <si>
    <t>APP0691</t>
  </si>
  <si>
    <t>Myrzol-mab</t>
  </si>
  <si>
    <t>APP0700</t>
  </si>
  <si>
    <t>Ilelir-cept</t>
  </si>
  <si>
    <t>APP0702</t>
  </si>
  <si>
    <t>Tevben-mab</t>
  </si>
  <si>
    <t>APP0678</t>
  </si>
  <si>
    <t>Durlir-vir</t>
  </si>
  <si>
    <t>APP0709</t>
  </si>
  <si>
    <t>Xanzol-zumab</t>
  </si>
  <si>
    <t>APP0713</t>
  </si>
  <si>
    <t>Tevben-pril</t>
  </si>
  <si>
    <t>APP0703</t>
  </si>
  <si>
    <t>Abrlir-tide</t>
  </si>
  <si>
    <t>APP0685</t>
  </si>
  <si>
    <t>Kimmyr-pril</t>
  </si>
  <si>
    <t>APP0694</t>
  </si>
  <si>
    <t>Corsol-sertib</t>
  </si>
  <si>
    <t>APP0671</t>
  </si>
  <si>
    <t>Durnev-tinib</t>
  </si>
  <si>
    <t>APP0711</t>
  </si>
  <si>
    <t>APP0682</t>
  </si>
  <si>
    <t>Xanurb-fenib</t>
  </si>
  <si>
    <t>APP0683</t>
  </si>
  <si>
    <t>Ravvor-tide</t>
  </si>
  <si>
    <t>APP0681</t>
  </si>
  <si>
    <t>Myrrav-lozide</t>
  </si>
  <si>
    <t>APP0707</t>
  </si>
  <si>
    <t>Xylcor-nib</t>
  </si>
  <si>
    <t>APP0714</t>
  </si>
  <si>
    <t>Urbjav-lozide</t>
  </si>
  <si>
    <t>APP0701</t>
  </si>
  <si>
    <t>Abrgar-tide</t>
  </si>
  <si>
    <t>APP0672</t>
  </si>
  <si>
    <t>Tevjav-mab</t>
  </si>
  <si>
    <t>APP0698</t>
  </si>
  <si>
    <t>Prezol-sertib</t>
  </si>
  <si>
    <t>APP0668</t>
  </si>
  <si>
    <t>Benlir-pril</t>
  </si>
  <si>
    <t>APP0686</t>
  </si>
  <si>
    <t>Myrjav-nib</t>
  </si>
  <si>
    <t>APP0715</t>
  </si>
  <si>
    <t>Zolzol-nib</t>
  </si>
  <si>
    <t>APP0706</t>
  </si>
  <si>
    <t>Ilesol-fenib</t>
  </si>
  <si>
    <t>APP0674</t>
  </si>
  <si>
    <t>Yarxyl-stat</t>
  </si>
  <si>
    <t>APP0719</t>
  </si>
  <si>
    <t>Xylile-rab</t>
  </si>
  <si>
    <t>APP0718</t>
  </si>
  <si>
    <t>APP0722</t>
  </si>
  <si>
    <t>Xylrav-zumab</t>
  </si>
  <si>
    <t>APP0721</t>
  </si>
  <si>
    <t>APP0716</t>
  </si>
  <si>
    <t>APP0717</t>
  </si>
  <si>
    <t>Xannev-lozide</t>
  </si>
  <si>
    <t>APP0720</t>
  </si>
  <si>
    <t>ticker</t>
  </si>
  <si>
    <t>revenue_usd_bn</t>
  </si>
  <si>
    <t>operating_margin_pct</t>
  </si>
  <si>
    <t>operating_income_usd_bn</t>
  </si>
  <si>
    <t>rd_spend_usd_bn</t>
  </si>
  <si>
    <t>pipeline_size_est</t>
  </si>
  <si>
    <t>Johnson &amp; Johnson</t>
  </si>
  <si>
    <t>JNJ</t>
  </si>
  <si>
    <t>USA</t>
  </si>
  <si>
    <t>PFE</t>
  </si>
  <si>
    <t>ROG</t>
  </si>
  <si>
    <t>CHE</t>
  </si>
  <si>
    <t>NVS</t>
  </si>
  <si>
    <t>MRK</t>
  </si>
  <si>
    <t>ABBV</t>
  </si>
  <si>
    <t>SAN</t>
  </si>
  <si>
    <t>FRA</t>
  </si>
  <si>
    <t>GBR</t>
  </si>
  <si>
    <t>AZN</t>
  </si>
  <si>
    <t>Bristol-Myers Squibb</t>
  </si>
  <si>
    <t>BMY</t>
  </si>
  <si>
    <t>LLY</t>
  </si>
  <si>
    <t>NVO</t>
  </si>
  <si>
    <t>DNK</t>
  </si>
  <si>
    <t>BAYN</t>
  </si>
  <si>
    <t>DEU</t>
  </si>
  <si>
    <t>BI</t>
  </si>
  <si>
    <t>4502</t>
  </si>
  <si>
    <t>JPN</t>
  </si>
  <si>
    <t>AMGN</t>
  </si>
  <si>
    <t>Gilead Sciences</t>
  </si>
  <si>
    <t>GILD</t>
  </si>
  <si>
    <t>Vertex Pharmaceuticals</t>
  </si>
  <si>
    <t>VRTX</t>
  </si>
  <si>
    <t>REGN</t>
  </si>
  <si>
    <t>MRNA</t>
  </si>
  <si>
    <t>BNTX</t>
  </si>
  <si>
    <t>BIIB</t>
  </si>
  <si>
    <t>TEVA</t>
  </si>
  <si>
    <t>ISR</t>
  </si>
  <si>
    <t>Sun Pharma</t>
  </si>
  <si>
    <t>SUNPHARMA</t>
  </si>
  <si>
    <t>IND</t>
  </si>
  <si>
    <t>Hengrui Medicine</t>
  </si>
  <si>
    <t>600276</t>
  </si>
  <si>
    <t>CHN</t>
  </si>
  <si>
    <t>Daiichi Sankyo</t>
  </si>
  <si>
    <t>4568</t>
  </si>
  <si>
    <t>Medtronic</t>
  </si>
  <si>
    <t>MDT</t>
  </si>
  <si>
    <t>Abbott Laboratories</t>
  </si>
  <si>
    <t>ABT</t>
  </si>
  <si>
    <t>Stryker</t>
  </si>
  <si>
    <t>SYK</t>
  </si>
  <si>
    <t>Danaher</t>
  </si>
  <si>
    <t>DHR</t>
  </si>
  <si>
    <t>Oncgen Os</t>
  </si>
  <si>
    <t>Public Markets</t>
  </si>
  <si>
    <t>Yothap Io</t>
  </si>
  <si>
    <t>Aermod Ab</t>
  </si>
  <si>
    <t>Tavyot Os</t>
  </si>
  <si>
    <t>Gv (Google Ventures)</t>
  </si>
  <si>
    <t>Repyot Rx</t>
  </si>
  <si>
    <t>Quoxen Bio</t>
  </si>
  <si>
    <t>Arch Venture Partners</t>
  </si>
  <si>
    <t>Jasquo Rx</t>
  </si>
  <si>
    <t>Repquo Bio</t>
  </si>
  <si>
    <t>Quorep Os</t>
  </si>
  <si>
    <t>Neusyn Gx</t>
  </si>
  <si>
    <t>Probio Bio</t>
  </si>
  <si>
    <t>Quomod Os</t>
  </si>
  <si>
    <t>Gsk</t>
  </si>
  <si>
    <t>Lumquo Bio</t>
  </si>
  <si>
    <t>Quoxen Ab</t>
  </si>
  <si>
    <t>Repjas Gx</t>
  </si>
  <si>
    <t>Bms</t>
  </si>
  <si>
    <t>Uniden Io</t>
  </si>
  <si>
    <t>Biotav Ab</t>
  </si>
  <si>
    <t>Biozeo Io</t>
  </si>
  <si>
    <t>Orbimed</t>
  </si>
  <si>
    <t>Modpro Os</t>
  </si>
  <si>
    <t>Lumtav On</t>
  </si>
  <si>
    <t>Oncvec Ab</t>
  </si>
  <si>
    <t>Tavjas On</t>
  </si>
  <si>
    <t>Xenzeo Ab</t>
  </si>
  <si>
    <t>Abbvie</t>
  </si>
  <si>
    <t>Unisyn Ab</t>
  </si>
  <si>
    <t>A16Z Bio</t>
  </si>
  <si>
    <t>Xenrep Ab</t>
  </si>
  <si>
    <t>Celimm Io</t>
  </si>
  <si>
    <t>Yotzeo Io</t>
  </si>
  <si>
    <t>Kymimm Bio</t>
  </si>
  <si>
    <t>Epikym Bio</t>
  </si>
  <si>
    <t>Immaer Os</t>
  </si>
  <si>
    <t>Unikym Io</t>
  </si>
  <si>
    <t>Ra Capital</t>
  </si>
  <si>
    <t>Unisyn Bio</t>
  </si>
  <si>
    <t>Oncxen Io</t>
  </si>
  <si>
    <t>Aerpro Ab</t>
  </si>
  <si>
    <t>Onczeo Os</t>
  </si>
  <si>
    <t>Vecepi Ab</t>
  </si>
  <si>
    <t>Gengen Bio</t>
  </si>
  <si>
    <t>Lumyot Bio</t>
  </si>
  <si>
    <t>Oncmod Os</t>
  </si>
  <si>
    <t>Jaszeo Io</t>
  </si>
  <si>
    <t>Repgen Os</t>
  </si>
  <si>
    <t>Modimm Gx</t>
  </si>
  <si>
    <t>Neujas Ab</t>
  </si>
  <si>
    <t>Oncrep Gx</t>
  </si>
  <si>
    <t>Biorep Bio</t>
  </si>
  <si>
    <t>Vecjas On</t>
  </si>
  <si>
    <t>Immepi Bio</t>
  </si>
  <si>
    <t>Proxen Ab</t>
  </si>
  <si>
    <t>Neuxen Bio</t>
  </si>
  <si>
    <t>Xentav Ab</t>
  </si>
  <si>
    <t>Genkym Ab</t>
  </si>
  <si>
    <t>Denuni Ab</t>
  </si>
  <si>
    <t>Protav Bio</t>
  </si>
  <si>
    <t>Unipro Os</t>
  </si>
  <si>
    <t>Zeoxen Gx</t>
  </si>
  <si>
    <t>Onconc Ab</t>
  </si>
  <si>
    <t>Uniimm On</t>
  </si>
  <si>
    <t>Bioyot Rx</t>
  </si>
  <si>
    <t>Immpro Rx</t>
  </si>
  <si>
    <t>Biolum On</t>
  </si>
  <si>
    <t>Uniyot Rx</t>
  </si>
  <si>
    <t>Lumzeo Gx</t>
  </si>
  <si>
    <t>Epilum Os</t>
  </si>
  <si>
    <t>Astrazeneca</t>
  </si>
  <si>
    <t>Genonc Bio</t>
  </si>
  <si>
    <t>Lumhap Gx</t>
  </si>
  <si>
    <t>Denkym Gx</t>
  </si>
  <si>
    <t>Xenmod Io</t>
  </si>
  <si>
    <t>Yottav Rx</t>
  </si>
  <si>
    <t>Modlum Gx</t>
  </si>
  <si>
    <t>Repaer Rx</t>
  </si>
  <si>
    <t>Prozeo Bio</t>
  </si>
  <si>
    <t>Neuepi Gx</t>
  </si>
  <si>
    <t>Lumcel Rx</t>
  </si>
  <si>
    <t>Unikym Gx</t>
  </si>
  <si>
    <t>Biovec Os</t>
  </si>
  <si>
    <t>Xenmod On</t>
  </si>
  <si>
    <t>Moduni Os</t>
  </si>
  <si>
    <t>Oncepi Bio</t>
  </si>
  <si>
    <t>Hapimm Rx</t>
  </si>
  <si>
    <t>Xenkym Os</t>
  </si>
  <si>
    <t>Immimm Gx</t>
  </si>
  <si>
    <t>Hapvec Bio</t>
  </si>
  <si>
    <t>Genuni Rx</t>
  </si>
  <si>
    <t>Jaslum Rx</t>
  </si>
  <si>
    <t>Jaslum Gx</t>
  </si>
  <si>
    <t>Denyot Os</t>
  </si>
  <si>
    <t>Lumxen Gx</t>
  </si>
  <si>
    <t>Lumyot Io</t>
  </si>
  <si>
    <t>Jasbio Os</t>
  </si>
  <si>
    <t>Modsyn Rx</t>
  </si>
  <si>
    <t>Kymxen Bio</t>
  </si>
  <si>
    <t>Biouni Gx</t>
  </si>
  <si>
    <t>Neupro Bio</t>
  </si>
  <si>
    <t>Genden Io</t>
  </si>
  <si>
    <t>Synrep Io</t>
  </si>
  <si>
    <t>Celzeo Os</t>
  </si>
  <si>
    <t>Quokym Io</t>
  </si>
  <si>
    <t>Yotxen On</t>
  </si>
  <si>
    <t>Yotjas Bio</t>
  </si>
  <si>
    <t>Vecquo Bio</t>
  </si>
  <si>
    <t>Biozeo Gx</t>
  </si>
  <si>
    <t>Bioonc Rx</t>
  </si>
  <si>
    <t>Kymneu On</t>
  </si>
  <si>
    <t>Quoden Io</t>
  </si>
  <si>
    <t>Tavtav Bio</t>
  </si>
  <si>
    <t>Tavlum Bio</t>
  </si>
  <si>
    <t>Zeobio Ab</t>
  </si>
  <si>
    <t>Vecjas Rx</t>
  </si>
  <si>
    <t>Unixen On</t>
  </si>
  <si>
    <t>Unitav Bio</t>
  </si>
  <si>
    <t>Quoden On</t>
  </si>
  <si>
    <t>Proxen Rx</t>
  </si>
  <si>
    <t>Genepi Gx</t>
  </si>
  <si>
    <t>Yotquo Io</t>
  </si>
  <si>
    <t>Jasrep Io</t>
  </si>
  <si>
    <t>Jassyn Os</t>
  </si>
  <si>
    <t>Lumquo Os</t>
  </si>
  <si>
    <t>Vecyot Ab</t>
  </si>
  <si>
    <t>Denquo Ab</t>
  </si>
  <si>
    <t>Xenhap On</t>
  </si>
  <si>
    <t>Tavepi Io</t>
  </si>
  <si>
    <t>Oncgen Rx</t>
  </si>
  <si>
    <t>Quomod Bio</t>
  </si>
  <si>
    <t>Zeoonc On</t>
  </si>
  <si>
    <t>Gengen On</t>
  </si>
  <si>
    <t>Repkym Os</t>
  </si>
  <si>
    <t>Jasuni Os</t>
  </si>
  <si>
    <t>Proimm Bio</t>
  </si>
  <si>
    <t>Genimm Bio</t>
  </si>
  <si>
    <t>Vecbio Bio</t>
  </si>
  <si>
    <t>Kymquo Rx</t>
  </si>
  <si>
    <t>Tavuni Gx</t>
  </si>
  <si>
    <t>Immmod Gx</t>
  </si>
  <si>
    <t>Oncden Bio</t>
  </si>
  <si>
    <t>Lumneu Rx</t>
  </si>
  <si>
    <t>Xenzeo Rx</t>
  </si>
  <si>
    <t>Synepi Bio</t>
  </si>
  <si>
    <t>Celtav Bio</t>
  </si>
  <si>
    <t>Aerimm Bio</t>
  </si>
  <si>
    <t>Celtav On</t>
  </si>
  <si>
    <t>Veconc Io</t>
  </si>
  <si>
    <t>Aerimm Rx</t>
  </si>
  <si>
    <t>Celkym Io</t>
  </si>
  <si>
    <t>Tavsyn On</t>
  </si>
  <si>
    <t>Aercel On</t>
  </si>
  <si>
    <t>Modjas Bio</t>
  </si>
  <si>
    <t>Quouni Io</t>
  </si>
  <si>
    <t>Jasgen Rx</t>
  </si>
  <si>
    <t>Epineu On</t>
  </si>
  <si>
    <t>Celaer Rx</t>
  </si>
  <si>
    <t>Lumvec Rx</t>
  </si>
  <si>
    <t>Modsyn Io</t>
  </si>
  <si>
    <t>Hapjas Io</t>
  </si>
  <si>
    <t>Xenaer Bio</t>
  </si>
  <si>
    <t>Quomod Rx</t>
  </si>
  <si>
    <t>Yotrep Bio</t>
  </si>
  <si>
    <t>Tavjas Gx</t>
  </si>
  <si>
    <t>Repepi On</t>
  </si>
  <si>
    <t>Yotmod On</t>
  </si>
  <si>
    <t>Immonc Rx</t>
  </si>
  <si>
    <t>Xenpro Ab</t>
  </si>
  <si>
    <t>Xenxen Io</t>
  </si>
  <si>
    <t>Xenbio Bio</t>
  </si>
  <si>
    <t>Syngen On</t>
  </si>
  <si>
    <t>Vecxen Io</t>
  </si>
  <si>
    <t>Denuni On</t>
  </si>
  <si>
    <t>Celrep Ab</t>
  </si>
  <si>
    <t>Zeotav On</t>
  </si>
  <si>
    <t>Yottav Os</t>
  </si>
  <si>
    <t>Yotimm Os</t>
  </si>
  <si>
    <t>Celgen Bio</t>
  </si>
  <si>
    <t>Modpro Gx</t>
  </si>
  <si>
    <t>Zeoonc Io</t>
  </si>
  <si>
    <t>Rephap Io</t>
  </si>
  <si>
    <t>Haplum Io</t>
  </si>
  <si>
    <t>Unilum Io</t>
  </si>
  <si>
    <t>Celonc Rx</t>
  </si>
  <si>
    <t>Synbio Rx</t>
  </si>
  <si>
    <t>Modepi Io</t>
  </si>
  <si>
    <t>Prouni Bio</t>
  </si>
  <si>
    <t>Vecden Ab</t>
  </si>
  <si>
    <t>Vecyot Gx</t>
  </si>
  <si>
    <t>Tavjas Bio</t>
  </si>
  <si>
    <t>Celimm Rx</t>
  </si>
  <si>
    <t>Modsyn Gx</t>
  </si>
  <si>
    <t>Oncrep On</t>
  </si>
  <si>
    <t>Unicel On</t>
  </si>
  <si>
    <t>Vecepi Bio</t>
  </si>
  <si>
    <t>Oncimm Ab</t>
  </si>
  <si>
    <t>Epihap Ab</t>
  </si>
  <si>
    <t>Synonc Os</t>
  </si>
  <si>
    <t>Lumkym Bio</t>
  </si>
  <si>
    <t>Genkym Io</t>
  </si>
  <si>
    <t>Hapquo Rx</t>
  </si>
  <si>
    <t>Jasepi On</t>
  </si>
  <si>
    <t>Kympro Gx</t>
  </si>
  <si>
    <t>Oncgen Gx</t>
  </si>
  <si>
    <t>Tavlum Rx</t>
  </si>
  <si>
    <t>Aerhap Io</t>
  </si>
  <si>
    <t>Repmod Os</t>
  </si>
  <si>
    <t>Celquo Bio</t>
  </si>
  <si>
    <t>Hapyot Rx</t>
  </si>
  <si>
    <t>Jasgen Bio</t>
  </si>
  <si>
    <t>Immvec Io</t>
  </si>
  <si>
    <t>Neumod On</t>
  </si>
  <si>
    <t>Neuonc On</t>
  </si>
  <si>
    <t>Immyot Bio</t>
  </si>
  <si>
    <t>Uniepi Bio</t>
  </si>
  <si>
    <t>Genimm Io</t>
  </si>
  <si>
    <t>Genzeo Rx</t>
  </si>
  <si>
    <t>Zeorep Gx</t>
  </si>
  <si>
    <t>Projas Ab</t>
  </si>
  <si>
    <t>Jassyn Io</t>
  </si>
  <si>
    <t>Immmod Ab</t>
  </si>
  <si>
    <t>Veconc Ab</t>
  </si>
  <si>
    <t>Oncpro On</t>
  </si>
  <si>
    <t>Gengen Rx</t>
  </si>
  <si>
    <t>Hapneu On</t>
  </si>
  <si>
    <t>Zeoneu Gx</t>
  </si>
  <si>
    <t>Denepi Ab</t>
  </si>
  <si>
    <t>Denzeo Ab</t>
  </si>
  <si>
    <t>Unilum On</t>
  </si>
  <si>
    <t>Bioden On</t>
  </si>
  <si>
    <t>Prorep Os</t>
  </si>
  <si>
    <t>Unijas Gx</t>
  </si>
  <si>
    <t>Zeohap Io</t>
  </si>
  <si>
    <t>Hapquo Bio</t>
  </si>
  <si>
    <t>Zeovec Ab</t>
  </si>
  <si>
    <t>Biobio Gx</t>
  </si>
  <si>
    <t>Neusyn Ab</t>
  </si>
  <si>
    <t>Lumcel On</t>
  </si>
  <si>
    <t>Denjas Ab</t>
  </si>
  <si>
    <t>Prozeo On</t>
  </si>
  <si>
    <t>Provec Rx</t>
  </si>
  <si>
    <t>Immkym Bio</t>
  </si>
  <si>
    <t>Onckym Os</t>
  </si>
  <si>
    <t>Jaspro Ab</t>
  </si>
  <si>
    <t>Vecimm Gx</t>
  </si>
  <si>
    <t>Genjas Gx</t>
  </si>
  <si>
    <t>Celhap Ab</t>
  </si>
  <si>
    <t>Jasbio Rx</t>
  </si>
  <si>
    <t>Oncimm Io</t>
  </si>
  <si>
    <t>Bioxen Rx</t>
  </si>
  <si>
    <t>Reptav Os</t>
  </si>
  <si>
    <t>Aerbio Gx</t>
  </si>
  <si>
    <t>Jasyot Bio</t>
  </si>
  <si>
    <t>Aeruni Rx</t>
  </si>
  <si>
    <t>Genkym Gx</t>
  </si>
  <si>
    <t>Lumrep Os</t>
  </si>
  <si>
    <t>Replum Os</t>
  </si>
  <si>
    <t>Oncaer Os</t>
  </si>
  <si>
    <t>Haptav Ab</t>
  </si>
  <si>
    <t>Tavyot On</t>
  </si>
  <si>
    <t>Hapvec On</t>
  </si>
  <si>
    <t>Tavepi On</t>
  </si>
  <si>
    <t>Proquo Ab</t>
  </si>
  <si>
    <t>Celhap Rx</t>
  </si>
  <si>
    <t>Celrep Rx</t>
  </si>
  <si>
    <t>Denquo Os</t>
  </si>
  <si>
    <t>Denneu Rx</t>
  </si>
  <si>
    <t>Oncxen Bio</t>
  </si>
  <si>
    <t>Reponc Rx</t>
  </si>
  <si>
    <t>Vecquo Os</t>
  </si>
  <si>
    <t>Aerhap Bio</t>
  </si>
  <si>
    <t>Quolum Rx</t>
  </si>
  <si>
    <t>Quopro Rx</t>
  </si>
  <si>
    <t>Genvec On</t>
  </si>
  <si>
    <t>Kymuni Rx</t>
  </si>
  <si>
    <t>Xenquo Bio</t>
  </si>
  <si>
    <t>Lumjas Io</t>
  </si>
  <si>
    <t>Neuonc Os</t>
  </si>
  <si>
    <t>Haponc Rx</t>
  </si>
  <si>
    <t>Aerxen Ab</t>
  </si>
  <si>
    <t>Quozeo Gx</t>
  </si>
  <si>
    <t>Xenneu Rx</t>
  </si>
  <si>
    <t>Modaer Io</t>
  </si>
  <si>
    <t>Synaer Ab</t>
  </si>
  <si>
    <t>Zeocel Io</t>
  </si>
  <si>
    <t>Uniimm Os</t>
  </si>
  <si>
    <t>Onczeo Ab</t>
  </si>
  <si>
    <t>Replum Ab</t>
  </si>
  <si>
    <t>Tavpro Bio</t>
  </si>
  <si>
    <t>Epitav On</t>
  </si>
  <si>
    <t>Jasden Io</t>
  </si>
  <si>
    <t>Jasxen Os</t>
  </si>
  <si>
    <t>Unihap Io</t>
  </si>
  <si>
    <t>Hapcel Gx</t>
  </si>
  <si>
    <t>Neuquo On</t>
  </si>
  <si>
    <t>Moduni Bio</t>
  </si>
  <si>
    <t>Oncaer Ab</t>
  </si>
  <si>
    <t>Jaspro Rx</t>
  </si>
  <si>
    <t>Zeoyot Rx</t>
  </si>
  <si>
    <t>Aerzeo Io</t>
  </si>
  <si>
    <t>Zeoaer On</t>
  </si>
  <si>
    <t>Immaer Bio</t>
  </si>
  <si>
    <t>Unigen Os</t>
  </si>
  <si>
    <t>Onclum Gx</t>
  </si>
  <si>
    <t>Genneu On</t>
  </si>
  <si>
    <t>Denden Rx</t>
  </si>
  <si>
    <t>Xensyn On</t>
  </si>
  <si>
    <t>Genrep Ab</t>
  </si>
  <si>
    <t>Jascel Ab</t>
  </si>
  <si>
    <t>Armo Biosciences</t>
  </si>
  <si>
    <t>Synonc Ab</t>
  </si>
  <si>
    <t>Epiden On</t>
  </si>
  <si>
    <t>Projas On</t>
  </si>
  <si>
    <t>Celaer Ab</t>
  </si>
  <si>
    <t>Vecrep Rx</t>
  </si>
  <si>
    <t>Modbio Ab</t>
  </si>
  <si>
    <t>Repaer On</t>
  </si>
  <si>
    <t>Repjas Rx</t>
  </si>
  <si>
    <t>Immimm Bio</t>
  </si>
  <si>
    <t>Repuni Ab</t>
  </si>
  <si>
    <t>Genimm On</t>
  </si>
  <si>
    <t>Genlum On</t>
  </si>
  <si>
    <t>Biokym Rx</t>
  </si>
  <si>
    <t>Genuni Ab</t>
  </si>
  <si>
    <t>Zeopro On</t>
  </si>
  <si>
    <t>Modsyn Bio</t>
  </si>
  <si>
    <t>Repneu Io</t>
  </si>
  <si>
    <t>Modgen Gx</t>
  </si>
  <si>
    <t>Zeoquo Gx</t>
  </si>
  <si>
    <t>Immneu Gx</t>
  </si>
  <si>
    <t>Xenlum On</t>
  </si>
  <si>
    <t>Modhap Bio</t>
  </si>
  <si>
    <t>Prosyn On</t>
  </si>
  <si>
    <t>Xencel Bio</t>
  </si>
  <si>
    <t>Lumimm Ab</t>
  </si>
  <si>
    <t>Denhap Rx</t>
  </si>
  <si>
    <t>Yotjas Os</t>
  </si>
  <si>
    <t>Genzeo Bio</t>
  </si>
  <si>
    <t>Genjas Ab</t>
  </si>
  <si>
    <t>Zeouni Bio</t>
  </si>
  <si>
    <t>Tavgen Ab</t>
  </si>
  <si>
    <t>Neuyot Bio</t>
  </si>
  <si>
    <t>Quoepi Os</t>
  </si>
  <si>
    <t>Oncjas Ab</t>
  </si>
  <si>
    <t>Immyot Os</t>
  </si>
  <si>
    <t>Jasden Gx</t>
  </si>
  <si>
    <t>Lumsyn Gx</t>
  </si>
  <si>
    <t>Immbio Ab</t>
  </si>
  <si>
    <t>Denneu Ab</t>
  </si>
  <si>
    <t>Synpro Io</t>
  </si>
  <si>
    <t>Xenden Ab</t>
  </si>
  <si>
    <t>Yotzeo Os</t>
  </si>
  <si>
    <t>Biouni Rx</t>
  </si>
  <si>
    <t>Synzeo Io</t>
  </si>
  <si>
    <t>Yotuni Io</t>
  </si>
  <si>
    <t>Zeoneu Ab</t>
  </si>
  <si>
    <t>Denrep Bio</t>
  </si>
  <si>
    <t>Celuni Io</t>
  </si>
  <si>
    <t>Veccel Bio</t>
  </si>
  <si>
    <t>Lumgen Io</t>
  </si>
  <si>
    <t>Repyot Os</t>
  </si>
  <si>
    <t>Zeoonc Gx</t>
  </si>
  <si>
    <t>Aerquo On</t>
  </si>
  <si>
    <t>Oncgen On</t>
  </si>
  <si>
    <t>Denpro Gx</t>
  </si>
  <si>
    <t>Immpro On</t>
  </si>
  <si>
    <t>Epiyot Io</t>
  </si>
  <si>
    <t>Oncvec Os</t>
  </si>
  <si>
    <t>Kymxen Ab</t>
  </si>
  <si>
    <t>Neutav On</t>
  </si>
  <si>
    <t>Kymyot Io</t>
  </si>
  <si>
    <t>Neuonc Bio</t>
  </si>
  <si>
    <t>Modzeo Os</t>
  </si>
  <si>
    <t>Kymvec Io</t>
  </si>
  <si>
    <t>Denonc On</t>
  </si>
  <si>
    <t>Yotimm Bio</t>
  </si>
  <si>
    <t>Quorep Io</t>
  </si>
  <si>
    <t>Vecgen Io</t>
  </si>
  <si>
    <t>Hapaer Os</t>
  </si>
  <si>
    <t>Celaer On</t>
  </si>
  <si>
    <t>Bioxen Bio</t>
  </si>
  <si>
    <t>Zeosyn Ab</t>
  </si>
  <si>
    <t>Moduni On</t>
  </si>
  <si>
    <t>Proquo Io</t>
  </si>
  <si>
    <t>Tavsyn Rx</t>
  </si>
  <si>
    <t>Kymneu Os</t>
  </si>
  <si>
    <t>Repmod Rx</t>
  </si>
  <si>
    <t>Modaer Bio</t>
  </si>
  <si>
    <t>Lumpro On</t>
  </si>
  <si>
    <t>Prouni Ab</t>
  </si>
  <si>
    <t>Celgen On</t>
  </si>
  <si>
    <t>Genlum Ab</t>
  </si>
  <si>
    <t>Tavhap Rx</t>
  </si>
  <si>
    <t>Synzeo Os</t>
  </si>
  <si>
    <t>Lumjas Ab</t>
  </si>
  <si>
    <t>Xengen Ab</t>
  </si>
  <si>
    <t>Celpro Gx</t>
  </si>
  <si>
    <t>Genden Rx</t>
  </si>
  <si>
    <t>Zeoden Os</t>
  </si>
  <si>
    <t>Denzeo Io</t>
  </si>
  <si>
    <t>Denvec Gx</t>
  </si>
  <si>
    <t>Vecxen Gx</t>
  </si>
  <si>
    <t>Xenvec On</t>
  </si>
  <si>
    <t>Dentav Rx</t>
  </si>
  <si>
    <t>Neuaer Io</t>
  </si>
  <si>
    <t>Tavyot Io</t>
  </si>
  <si>
    <t>Genmod Io</t>
  </si>
  <si>
    <t>Yotvec Bio</t>
  </si>
  <si>
    <t>Tavgen On</t>
  </si>
  <si>
    <t>Biojas Os</t>
  </si>
  <si>
    <t>Epigen On</t>
  </si>
  <si>
    <t>Unitav Io</t>
  </si>
  <si>
    <t>Hapneu Gx</t>
  </si>
  <si>
    <t>Oncepi Gx</t>
  </si>
  <si>
    <t>Immjas Rx</t>
  </si>
  <si>
    <t>Tavhap Gx</t>
  </si>
  <si>
    <t>Neuquo Os</t>
  </si>
  <si>
    <t>Synzeo On</t>
  </si>
  <si>
    <t>Tavaer Ab</t>
  </si>
  <si>
    <t>Tavpro Ab</t>
  </si>
  <si>
    <t>Yottav Bio</t>
  </si>
  <si>
    <t>Kymyot Rx</t>
  </si>
  <si>
    <t>Repsyn Ab</t>
  </si>
  <si>
    <t>Vc Syndicate</t>
  </si>
  <si>
    <t>Genonc Io</t>
  </si>
  <si>
    <t>Aerjas Bio</t>
  </si>
  <si>
    <t>Denrep On</t>
  </si>
  <si>
    <t>Biobio Rx</t>
  </si>
  <si>
    <t>Aeryot Io</t>
  </si>
  <si>
    <t>Bioonc Ab</t>
  </si>
  <si>
    <t>Zeorep Os</t>
  </si>
  <si>
    <t>Xenaer Os</t>
  </si>
  <si>
    <t>Tavrep On</t>
  </si>
  <si>
    <t>Xenimm Ab</t>
  </si>
  <si>
    <t>Quobio Gx</t>
  </si>
  <si>
    <t>Synmod Io</t>
  </si>
  <si>
    <t>Kymrep Ab</t>
  </si>
  <si>
    <t>Genmod Gx</t>
  </si>
  <si>
    <t>Gengen Io</t>
  </si>
  <si>
    <t>Densyn Io</t>
  </si>
  <si>
    <t>Celzeo Io</t>
  </si>
  <si>
    <t>Quoneu Io</t>
  </si>
  <si>
    <t>Denepi On</t>
  </si>
  <si>
    <t>Kymuni Gx</t>
  </si>
  <si>
    <t>Immrep Rx</t>
  </si>
  <si>
    <t>Oncuni Rx</t>
  </si>
  <si>
    <t>Celneu On</t>
  </si>
  <si>
    <t>Neujas Os</t>
  </si>
  <si>
    <t>Prolum Rx</t>
  </si>
  <si>
    <t>Quoden Gx</t>
  </si>
  <si>
    <t>Celquo On</t>
  </si>
  <si>
    <t>Proneu Os</t>
  </si>
  <si>
    <t>Epibio Rx</t>
  </si>
  <si>
    <t>Immmod Rx</t>
  </si>
  <si>
    <t>Quojas Io</t>
  </si>
  <si>
    <t>Aervec Bio</t>
  </si>
  <si>
    <t>Lumden Io</t>
  </si>
  <si>
    <t>Zeorep Io</t>
  </si>
  <si>
    <t>Genpro Rx</t>
  </si>
  <si>
    <t>Celneu Gx</t>
  </si>
  <si>
    <t>Uniden Os</t>
  </si>
  <si>
    <t>Celxen Gx</t>
  </si>
  <si>
    <t>Kymgen Io</t>
  </si>
  <si>
    <t>Denrep Rx</t>
  </si>
  <si>
    <t>Proepi Os</t>
  </si>
  <si>
    <t>Quoneu Os</t>
  </si>
  <si>
    <t>Modmod Io</t>
  </si>
  <si>
    <t>Kymbio Os</t>
  </si>
  <si>
    <t>Kymbio Ab</t>
  </si>
  <si>
    <t>Quouni Bio</t>
  </si>
  <si>
    <t>Episyn On</t>
  </si>
  <si>
    <t>Zeolum On</t>
  </si>
  <si>
    <t>Prouni Gx</t>
  </si>
  <si>
    <t>Repmod Ab</t>
  </si>
  <si>
    <t>Aergen Os</t>
  </si>
  <si>
    <t>Quomod Io</t>
  </si>
  <si>
    <t>Aerkym Os</t>
  </si>
  <si>
    <t>Repepi Gx</t>
  </si>
  <si>
    <t>Synvec Gx</t>
  </si>
  <si>
    <t>Aeronc Io</t>
  </si>
  <si>
    <t>Modhap Gx</t>
  </si>
  <si>
    <t>Kymaer Gx</t>
  </si>
  <si>
    <t>Genquo Gx</t>
  </si>
  <si>
    <t>Aerzeo Bio</t>
  </si>
  <si>
    <t>Neuaer Ab</t>
  </si>
  <si>
    <t>Epitav Gx</t>
  </si>
  <si>
    <t>Kympro Os</t>
  </si>
  <si>
    <t>Biosyn Os</t>
  </si>
  <si>
    <t>Jasxen Rx</t>
  </si>
  <si>
    <t>Vecxen Bio</t>
  </si>
  <si>
    <t>Kymzeo Os</t>
  </si>
  <si>
    <t>Oncmod Ab</t>
  </si>
  <si>
    <t>Univec Io</t>
  </si>
  <si>
    <t>Unipro Io</t>
  </si>
  <si>
    <t>Yotimm Rx</t>
  </si>
  <si>
    <t>Modimm On</t>
  </si>
  <si>
    <t>Onckym Gx</t>
  </si>
  <si>
    <t>Epiepi Gx</t>
  </si>
  <si>
    <t>Tavhap On</t>
  </si>
  <si>
    <t>Celhap Os</t>
  </si>
  <si>
    <t>Kymxen Os</t>
  </si>
  <si>
    <t>Vecjas Bio</t>
  </si>
  <si>
    <t>Tavmod Ab</t>
  </si>
  <si>
    <t>Lumbio On</t>
  </si>
  <si>
    <t>Uniimm Rx</t>
  </si>
  <si>
    <t>Neugen Os</t>
  </si>
  <si>
    <t>Unijas Os</t>
  </si>
  <si>
    <t>Onconc Bio</t>
  </si>
  <si>
    <t>Modyot Ab</t>
  </si>
  <si>
    <t>Zeomod Os</t>
  </si>
  <si>
    <t>Kymjas Ab</t>
  </si>
  <si>
    <t>Oncgen Io</t>
  </si>
  <si>
    <t>Denbio Rx</t>
  </si>
  <si>
    <t>Onccel On</t>
  </si>
  <si>
    <t>Veczeo Gx</t>
  </si>
  <si>
    <t>Immaer Io</t>
  </si>
  <si>
    <t>Jasepi Rx</t>
  </si>
  <si>
    <t>Unixen Os</t>
  </si>
  <si>
    <t>Celsyn Rx</t>
  </si>
  <si>
    <t>Immonc Os</t>
  </si>
  <si>
    <t>Aerhap Gx</t>
  </si>
  <si>
    <t>Dencel Gx</t>
  </si>
  <si>
    <t>Modbio Gx</t>
  </si>
  <si>
    <t>Modzeo On</t>
  </si>
  <si>
    <t>Syngen Io</t>
  </si>
  <si>
    <t>Lumpro Rx</t>
  </si>
  <si>
    <t>Protav Rx</t>
  </si>
  <si>
    <t>Yotuni Bio</t>
  </si>
  <si>
    <t>Oncquo Rx</t>
  </si>
  <si>
    <t>Vecmod Io</t>
  </si>
  <si>
    <t>Celden Rx</t>
  </si>
  <si>
    <t>Denonc Ab</t>
  </si>
  <si>
    <t>Aeryot Bio</t>
  </si>
  <si>
    <t>Immhap On</t>
  </si>
  <si>
    <t>Uniyot On</t>
  </si>
  <si>
    <t>Modyot Gx</t>
  </si>
  <si>
    <t>Repgen Io</t>
  </si>
  <si>
    <t>Syncel Os</t>
  </si>
  <si>
    <t>Bioden Bio</t>
  </si>
  <si>
    <t>Jasonc Gx</t>
  </si>
  <si>
    <t>Yotcel Io</t>
  </si>
  <si>
    <t>Hapvec Rx</t>
  </si>
  <si>
    <t>Yotmod Ab</t>
  </si>
  <si>
    <t>Modonc Bio</t>
  </si>
  <si>
    <t>Onconc On</t>
  </si>
  <si>
    <t>Aervec Os</t>
  </si>
  <si>
    <t>Oncyot Ab</t>
  </si>
  <si>
    <t>Modquo Gx</t>
  </si>
  <si>
    <t>Quoepi Ab</t>
  </si>
  <si>
    <t>Zeoimm Os</t>
  </si>
  <si>
    <t>Kymsyn Bio</t>
  </si>
  <si>
    <t>Immuni On</t>
  </si>
  <si>
    <t>Yotneu Os</t>
  </si>
  <si>
    <t>Modxen On</t>
  </si>
  <si>
    <t>Modden Gx</t>
  </si>
  <si>
    <t>Unimod Io</t>
  </si>
  <si>
    <t>Denzeo Bio</t>
  </si>
  <si>
    <t>Aerjas Os</t>
  </si>
  <si>
    <t>Repneu Gx</t>
  </si>
  <si>
    <t>Modonc Os</t>
  </si>
  <si>
    <t>Zeolum Rx</t>
  </si>
  <si>
    <t>Proepi Gx</t>
  </si>
  <si>
    <t>Veczeo Bio</t>
  </si>
  <si>
    <t>Xentav Os</t>
  </si>
  <si>
    <t>Lumzeo Bio</t>
  </si>
  <si>
    <t>Onczeo Bio</t>
  </si>
  <si>
    <t>Unimod Ab</t>
  </si>
  <si>
    <t>Epikym Ab</t>
  </si>
  <si>
    <t>Zeolum Gx</t>
  </si>
  <si>
    <t>Dencel Os</t>
  </si>
  <si>
    <t>Epipro On</t>
  </si>
  <si>
    <t>Jasuni Rx</t>
  </si>
  <si>
    <t>Bioquo Io</t>
  </si>
  <si>
    <t>Yotonc Gx</t>
  </si>
  <si>
    <t>Aerimm Gx</t>
  </si>
  <si>
    <t>Haponc Gx</t>
  </si>
  <si>
    <t>Jasden Os</t>
  </si>
  <si>
    <t>Immaer Rx</t>
  </si>
  <si>
    <t>Bioquo On</t>
  </si>
  <si>
    <t>Syngen Rx</t>
  </si>
  <si>
    <t>Neuden Bio</t>
  </si>
  <si>
    <t>Zeoquo Ab</t>
  </si>
  <si>
    <t>Bioepi Rx</t>
  </si>
  <si>
    <t>Bioneu Bio</t>
  </si>
  <si>
    <t>Xenaer Io</t>
  </si>
  <si>
    <t>Lummod Os</t>
  </si>
  <si>
    <t>Celmod On</t>
  </si>
  <si>
    <t>Hapepi Rx</t>
  </si>
  <si>
    <t>Quopro On</t>
  </si>
  <si>
    <t>Denepi Bio</t>
  </si>
  <si>
    <t>Episyn Bio</t>
  </si>
  <si>
    <t>Denhap Os</t>
  </si>
  <si>
    <t>Celcel Os</t>
  </si>
  <si>
    <t>Xensyn Rx</t>
  </si>
  <si>
    <t>Denjas Bio</t>
  </si>
  <si>
    <t>Synhap On</t>
  </si>
  <si>
    <t>Genxen On</t>
  </si>
  <si>
    <t>Biorep Gx</t>
  </si>
  <si>
    <t>Modtav Ab</t>
  </si>
  <si>
    <t>Genbio Gx</t>
  </si>
  <si>
    <t>Hapden Rx</t>
  </si>
  <si>
    <t>Tavhap Os</t>
  </si>
  <si>
    <t>Yotvec Os</t>
  </si>
  <si>
    <t>Yotbio Os</t>
  </si>
  <si>
    <t>Lumimm On</t>
  </si>
  <si>
    <t>Synzeo Ab</t>
  </si>
  <si>
    <t>Quozeo Ab</t>
  </si>
  <si>
    <t>Synmod Gx</t>
  </si>
  <si>
    <t>Immepi Gx</t>
  </si>
  <si>
    <t>Prorep Ab</t>
  </si>
  <si>
    <t>Zeogen Io</t>
  </si>
  <si>
    <t>Uniquo Ab</t>
  </si>
  <si>
    <t>Proyot Ab</t>
  </si>
  <si>
    <t>Denpro Ab</t>
  </si>
  <si>
    <t>Immcel Io</t>
  </si>
  <si>
    <t>Prohap On</t>
  </si>
  <si>
    <t>Quolum Os</t>
  </si>
  <si>
    <t>Quohap Io</t>
  </si>
  <si>
    <t>Lumhap Io</t>
  </si>
  <si>
    <t>Xenjas Io</t>
  </si>
  <si>
    <t>Celbio Os</t>
  </si>
  <si>
    <t>Bioquo Bio</t>
  </si>
  <si>
    <t>Hapgen Ab</t>
  </si>
  <si>
    <t>Vecquo Ab</t>
  </si>
  <si>
    <t>Xenkym Ab</t>
  </si>
  <si>
    <t>Epirep On</t>
  </si>
  <si>
    <t>Quoaer Gx</t>
  </si>
  <si>
    <t>Neuhap Os</t>
  </si>
  <si>
    <t>Celneu Rx</t>
  </si>
  <si>
    <t>Haponc Ab</t>
  </si>
  <si>
    <t>Biohap Gx</t>
  </si>
  <si>
    <t>Modtav On</t>
  </si>
  <si>
    <t>Proaer Gx</t>
  </si>
  <si>
    <t>Quoimm Rx</t>
  </si>
  <si>
    <t>Denaer On</t>
  </si>
  <si>
    <t>Lumsyn Io</t>
  </si>
  <si>
    <t>Xenepi Gx</t>
  </si>
  <si>
    <t>Haptav Gx</t>
  </si>
  <si>
    <t>Epijas Os</t>
  </si>
  <si>
    <t>Zeoneu On</t>
  </si>
  <si>
    <t>Bioonc Bio</t>
  </si>
  <si>
    <t>Zeocel Os</t>
  </si>
  <si>
    <t>Epiden Gx</t>
  </si>
  <si>
    <t>Bioepi Io</t>
  </si>
  <si>
    <t>Bioimm Bio</t>
  </si>
  <si>
    <t>Repimm On</t>
  </si>
  <si>
    <t>Unijas Rx</t>
  </si>
  <si>
    <t>Modrep Bio</t>
  </si>
  <si>
    <t>Repxen Io</t>
  </si>
  <si>
    <t>Jassyn Rx</t>
  </si>
  <si>
    <t>Immyot Io</t>
  </si>
  <si>
    <t>Yotsyn Rx</t>
  </si>
  <si>
    <t>Cg Oncology</t>
  </si>
  <si>
    <t>Vecneu Rx</t>
  </si>
  <si>
    <t>Denhap On</t>
  </si>
  <si>
    <t>Biogen On</t>
  </si>
  <si>
    <t>Yotonc On</t>
  </si>
  <si>
    <t>Genlum Io</t>
  </si>
  <si>
    <t>Yotrep Gx</t>
  </si>
  <si>
    <t>Densyn Ab</t>
  </si>
  <si>
    <t>Epiuni Ab</t>
  </si>
  <si>
    <t>Reptav Io</t>
  </si>
  <si>
    <t>Repcel Io</t>
  </si>
  <si>
    <t>Immvec Ab</t>
  </si>
  <si>
    <t>Tavonc Io</t>
  </si>
  <si>
    <t>Modonc Rx</t>
  </si>
  <si>
    <t>Repgen Bio</t>
  </si>
  <si>
    <t>Xenlum Bio</t>
  </si>
  <si>
    <t>Proyot Os</t>
  </si>
  <si>
    <t>Genvec Io</t>
  </si>
  <si>
    <t>Biomod Gx</t>
  </si>
  <si>
    <t>Zeomod Bio</t>
  </si>
  <si>
    <t>Lummod Gx</t>
  </si>
  <si>
    <t>Bioonc On</t>
  </si>
  <si>
    <t>Zeovec Bio</t>
  </si>
  <si>
    <t>Proden Os</t>
  </si>
  <si>
    <t>Zeocel Ab</t>
  </si>
  <si>
    <t>Genrep Bio</t>
  </si>
  <si>
    <t>Unibio Io</t>
  </si>
  <si>
    <t>Jastav Ab</t>
  </si>
  <si>
    <t>Oncrep Os</t>
  </si>
  <si>
    <t>Moduni Gx</t>
  </si>
  <si>
    <t>Lumsyn On</t>
  </si>
  <si>
    <t>Epiyot Bio</t>
  </si>
  <si>
    <t>Repepi Ab</t>
  </si>
  <si>
    <t>Vecsyn On</t>
  </si>
  <si>
    <t>Unicel Ab</t>
  </si>
  <si>
    <t>Quokym Bio</t>
  </si>
  <si>
    <t>Jasimm On</t>
  </si>
  <si>
    <t>Hapvec Os</t>
  </si>
  <si>
    <t>Immmod Os</t>
  </si>
  <si>
    <t>Xenuni Os</t>
  </si>
  <si>
    <t>Xenuni Rx</t>
  </si>
  <si>
    <t>Quopro Os</t>
  </si>
  <si>
    <t>Aerlum On</t>
  </si>
  <si>
    <t>Quoxen On</t>
  </si>
  <si>
    <t>Vecquo On</t>
  </si>
  <si>
    <t>Repjas Io</t>
  </si>
  <si>
    <t>Tavvec On</t>
  </si>
  <si>
    <t>Lumxen Io</t>
  </si>
  <si>
    <t>Biomod Ab</t>
  </si>
  <si>
    <t>Uniepi Gx</t>
  </si>
  <si>
    <t>Tavlum Io</t>
  </si>
  <si>
    <t>Denzeo Rx</t>
  </si>
  <si>
    <t>Hapden Gx</t>
  </si>
  <si>
    <t>Lumkym On</t>
  </si>
  <si>
    <t>Modyot Bio</t>
  </si>
  <si>
    <t>Uniden Bio</t>
  </si>
  <si>
    <t>Neuonc Ab</t>
  </si>
  <si>
    <t>Veccel Io</t>
  </si>
  <si>
    <t>Aerrep Gx</t>
  </si>
  <si>
    <t>Zeoxen Bio</t>
  </si>
  <si>
    <t>Biovec Bio</t>
  </si>
  <si>
    <t>Jasvec Rx</t>
  </si>
  <si>
    <t>Aerxen On</t>
  </si>
  <si>
    <t>Yotvec Io</t>
  </si>
  <si>
    <t>Tavxen Gx</t>
  </si>
  <si>
    <t>Immlum Gx</t>
  </si>
  <si>
    <t>Aercel Gx</t>
  </si>
  <si>
    <t>Celgen Io</t>
  </si>
  <si>
    <t>Oncvec Rx</t>
  </si>
  <si>
    <t>Repyot On</t>
  </si>
  <si>
    <t>Immmod On</t>
  </si>
  <si>
    <t>Unilum Ab</t>
  </si>
  <si>
    <t>Repbio Ab</t>
  </si>
  <si>
    <t>Aerpro Io</t>
  </si>
  <si>
    <t>Veclum Gx</t>
  </si>
  <si>
    <t>Neuvec Io</t>
  </si>
  <si>
    <t>Immvec Rx</t>
  </si>
  <si>
    <t>Oncbio Os</t>
  </si>
  <si>
    <t>Hapjas On</t>
  </si>
  <si>
    <t>Quouni Ab</t>
  </si>
  <si>
    <t>Reponc Os</t>
  </si>
  <si>
    <t>Quomod Ab</t>
  </si>
  <si>
    <t>Jastav Gx</t>
  </si>
  <si>
    <t>Modyot Io</t>
  </si>
  <si>
    <t>Genonc On</t>
  </si>
  <si>
    <t>Hapneu Os</t>
  </si>
  <si>
    <t>Genvec Bio</t>
  </si>
  <si>
    <t>Kymxen On</t>
  </si>
  <si>
    <t>Modden On</t>
  </si>
  <si>
    <t>Moduni Io</t>
  </si>
  <si>
    <t>Synkym Rx</t>
  </si>
  <si>
    <t>Therapy_area</t>
  </si>
  <si>
    <t>Neurology</t>
  </si>
  <si>
    <t>Metabolic</t>
  </si>
  <si>
    <t>Oncology</t>
  </si>
  <si>
    <t>Infectious</t>
  </si>
  <si>
    <t>Cardiovascular</t>
  </si>
  <si>
    <t>Respiratory</t>
  </si>
  <si>
    <t>Gastrointestinal</t>
  </si>
  <si>
    <t>Immunology</t>
  </si>
  <si>
    <t>Psychiatry</t>
  </si>
  <si>
    <t>Rare_Disease</t>
  </si>
  <si>
    <t>Target_or_company</t>
  </si>
  <si>
    <t>Biontech</t>
  </si>
  <si>
    <t>Company_name</t>
  </si>
  <si>
    <t>Diversified_Pharma</t>
  </si>
  <si>
    <t>Big_Pharma</t>
  </si>
  <si>
    <t>Biotech</t>
  </si>
  <si>
    <t>Generics</t>
  </si>
  <si>
    <t>Medical_Devices</t>
  </si>
  <si>
    <t>Diagnostics</t>
  </si>
  <si>
    <t>Segment</t>
  </si>
  <si>
    <t>Small_Mol</t>
  </si>
  <si>
    <t>Biologic</t>
  </si>
  <si>
    <t>Cell_Therapy</t>
  </si>
  <si>
    <t>Gene_Therapy</t>
  </si>
  <si>
    <t>Vaccine</t>
  </si>
  <si>
    <t>Drug_type</t>
  </si>
  <si>
    <t>Ophthalmology</t>
  </si>
  <si>
    <t>Dermatology</t>
  </si>
  <si>
    <t>Blank_cells</t>
  </si>
  <si>
    <t>Analyzing the  Biotech_funding-1</t>
  </si>
  <si>
    <t>No.of rows</t>
  </si>
  <si>
    <t>Unique _rows</t>
  </si>
  <si>
    <t>Analyzing the  clinical_trials-1</t>
  </si>
  <si>
    <t>Analyzing the drug_approvals-1</t>
  </si>
  <si>
    <t>Deal_year</t>
  </si>
  <si>
    <t>TRUE</t>
  </si>
  <si>
    <t>FALSE</t>
  </si>
  <si>
    <t>Pfizer-Wyeth megamerger</t>
  </si>
  <si>
    <t>Series_B 2010</t>
  </si>
  <si>
    <t>IPO 2010</t>
  </si>
  <si>
    <t>M&amp;A 2010</t>
  </si>
  <si>
    <t>Crossover 2010</t>
  </si>
  <si>
    <t>VC 2010</t>
  </si>
  <si>
    <t>Series_C 2010</t>
  </si>
  <si>
    <t>IPO 2011</t>
  </si>
  <si>
    <t>Series_B 2011</t>
  </si>
  <si>
    <t>VC 2011</t>
  </si>
  <si>
    <t>M&amp;A 2011</t>
  </si>
  <si>
    <t>Series_C 2011</t>
  </si>
  <si>
    <t>Crossover 2011</t>
  </si>
  <si>
    <t>Series_B 2012</t>
  </si>
  <si>
    <t>M&amp;A 2012</t>
  </si>
  <si>
    <t>VC 2012</t>
  </si>
  <si>
    <t>IPO 2012</t>
  </si>
  <si>
    <t>Crossover 2012</t>
  </si>
  <si>
    <t>Series_C 2012</t>
  </si>
  <si>
    <t>VC 2013</t>
  </si>
  <si>
    <t>Series_B 2013</t>
  </si>
  <si>
    <t>M&amp;A 2013</t>
  </si>
  <si>
    <t>Series_C 2013</t>
  </si>
  <si>
    <t>IPO 2013</t>
  </si>
  <si>
    <t>Crossover 2013</t>
  </si>
  <si>
    <t>Crossover 2014</t>
  </si>
  <si>
    <t>VC 2014</t>
  </si>
  <si>
    <t>M&amp;A 2014</t>
  </si>
  <si>
    <t>Series_C 2014</t>
  </si>
  <si>
    <t>Series_B 2014</t>
  </si>
  <si>
    <t>Consumer health acquisition</t>
  </si>
  <si>
    <t>IPO 2014</t>
  </si>
  <si>
    <t>Generics consolidation</t>
  </si>
  <si>
    <t>VC 2015</t>
  </si>
  <si>
    <t>M&amp;A 2015</t>
  </si>
  <si>
    <t>Series_C 2015</t>
  </si>
  <si>
    <t>IPO 2015</t>
  </si>
  <si>
    <t>Series_B 2015</t>
  </si>
  <si>
    <t>Crossover 2015</t>
  </si>
  <si>
    <t>Series_B 2016</t>
  </si>
  <si>
    <t>M&amp;A 2016</t>
  </si>
  <si>
    <t>VC 2016</t>
  </si>
  <si>
    <t>Rare disease deal</t>
  </si>
  <si>
    <t>IPO 2016</t>
  </si>
  <si>
    <t>Crossover 2016</t>
  </si>
  <si>
    <t>Series_C 2016</t>
  </si>
  <si>
    <t>VC 2017</t>
  </si>
  <si>
    <t>M&amp;A 2017</t>
  </si>
  <si>
    <t>Series_B 2017</t>
  </si>
  <si>
    <t>Series_C 2017</t>
  </si>
  <si>
    <t>IPO 2017</t>
  </si>
  <si>
    <t>Crossover 2017</t>
  </si>
  <si>
    <t>Crossover 2018</t>
  </si>
  <si>
    <t>VC 2018</t>
  </si>
  <si>
    <t>M&amp;A 2018</t>
  </si>
  <si>
    <t>Series_B 2018</t>
  </si>
  <si>
    <t>CAR-T acquisition</t>
  </si>
  <si>
    <t>Cancer immunotherapy IPO</t>
  </si>
  <si>
    <t>IPO 2018</t>
  </si>
  <si>
    <t>Series_C 2018</t>
  </si>
  <si>
    <t>M&amp;A 2019</t>
  </si>
  <si>
    <t>Largest pharma M&amp;A 2019</t>
  </si>
  <si>
    <t>VC 2019</t>
  </si>
  <si>
    <t>Series_C 2019</t>
  </si>
  <si>
    <t>Series_B 2019</t>
  </si>
  <si>
    <t>IPO 2019</t>
  </si>
  <si>
    <t>Crossover 2019</t>
  </si>
  <si>
    <t>Botox + Humira</t>
  </si>
  <si>
    <t>VC 2020</t>
  </si>
  <si>
    <t>Crossover 2020</t>
  </si>
  <si>
    <t>Series_B 2020</t>
  </si>
  <si>
    <t>M&amp;A 2020</t>
  </si>
  <si>
    <t>Series_C 2020</t>
  </si>
  <si>
    <t>IPO 2020</t>
  </si>
  <si>
    <t>AI-driven drug discovery</t>
  </si>
  <si>
    <t>Trodelvy ADC</t>
  </si>
  <si>
    <t>AI drug discovery</t>
  </si>
  <si>
    <t>Rare disease entry</t>
  </si>
  <si>
    <t>IPO 2021</t>
  </si>
  <si>
    <t>VC 2021</t>
  </si>
  <si>
    <t>Series_B 2021</t>
  </si>
  <si>
    <t>M&amp;A 2021</t>
  </si>
  <si>
    <t>Cell therapy IPO</t>
  </si>
  <si>
    <t>Series_C 2021</t>
  </si>
  <si>
    <t>CRISPR cardio IPO</t>
  </si>
  <si>
    <t>Generative AI drug design</t>
  </si>
  <si>
    <t>Crossover 2021</t>
  </si>
  <si>
    <t>IPO 2022</t>
  </si>
  <si>
    <t>Series_B 2022</t>
  </si>
  <si>
    <t>M&amp;A 2022</t>
  </si>
  <si>
    <t>VC 2022</t>
  </si>
  <si>
    <t>Crossover 2022</t>
  </si>
  <si>
    <t>Series_C 2022</t>
  </si>
  <si>
    <t>Anti-aging mega-round</t>
  </si>
  <si>
    <t>Tepezza addition</t>
  </si>
  <si>
    <t>VC 2023</t>
  </si>
  <si>
    <t>Series_B 2023</t>
  </si>
  <si>
    <t>IPO 2023</t>
  </si>
  <si>
    <t>M&amp;A 2023</t>
  </si>
  <si>
    <t>Immunology pipeline</t>
  </si>
  <si>
    <t>Series_C 2023</t>
  </si>
  <si>
    <t>Crossover 2023</t>
  </si>
  <si>
    <t>Schizophrenia drug</t>
  </si>
  <si>
    <t>VC 2024</t>
  </si>
  <si>
    <t>M&amp;A 2024</t>
  </si>
  <si>
    <t>Series_B 2024</t>
  </si>
  <si>
    <t>IPO 2024</t>
  </si>
  <si>
    <t>Crossover 2024</t>
  </si>
  <si>
    <t>Series_C 2024</t>
  </si>
  <si>
    <t>Bladder cancer IPO</t>
  </si>
  <si>
    <t>Autoimmune entry</t>
  </si>
  <si>
    <t>AI clinical trials</t>
  </si>
  <si>
    <t>DeepMind spinoff drug AI</t>
  </si>
  <si>
    <t>VC 2025</t>
  </si>
  <si>
    <t>Crossover 2025</t>
  </si>
  <si>
    <t>Series_B 2025</t>
  </si>
  <si>
    <t>Series_C 2025</t>
  </si>
  <si>
    <t>M&amp;A 2025</t>
  </si>
  <si>
    <t>Single-molecule platform</t>
  </si>
  <si>
    <t>IPO 2025</t>
  </si>
  <si>
    <t>VC 2026</t>
  </si>
  <si>
    <t>Series_B 2026</t>
  </si>
  <si>
    <t>Crossover 2026</t>
  </si>
  <si>
    <t>Series_C 2026</t>
  </si>
  <si>
    <t>Description</t>
  </si>
  <si>
    <t>country_iso</t>
  </si>
  <si>
    <t>Type of Sales</t>
  </si>
  <si>
    <t>Is_real_headline</t>
  </si>
  <si>
    <t>Approved</t>
  </si>
  <si>
    <t>therapy_area</t>
  </si>
  <si>
    <t>duration_months</t>
  </si>
  <si>
    <t>outcome</t>
  </si>
  <si>
    <t>neurology</t>
  </si>
  <si>
    <t>Met primary endpoint</t>
  </si>
  <si>
    <t>metabolic</t>
  </si>
  <si>
    <t>Mixed results</t>
  </si>
  <si>
    <t>oncology</t>
  </si>
  <si>
    <t>Failed primary endpoint</t>
  </si>
  <si>
    <t>infectious</t>
  </si>
  <si>
    <t>cardiovascular</t>
  </si>
  <si>
    <t>respiratory</t>
  </si>
  <si>
    <t>gastrointestinal</t>
  </si>
  <si>
    <t>immunology</t>
  </si>
  <si>
    <t>psychiatry</t>
  </si>
  <si>
    <t>rare_disease</t>
  </si>
  <si>
    <t>Success</t>
  </si>
  <si>
    <t>Mixed Result</t>
  </si>
  <si>
    <t>Failure</t>
  </si>
  <si>
    <t>Mega Deal</t>
  </si>
  <si>
    <t>Regular Deal</t>
  </si>
  <si>
    <t>Megadeal_flag</t>
  </si>
  <si>
    <t>Trial_result</t>
  </si>
  <si>
    <t>Approval_Status</t>
  </si>
  <si>
    <t>Not Approved</t>
  </si>
  <si>
    <t xml:space="preserve">is headline </t>
  </si>
  <si>
    <t>0- false</t>
  </si>
  <si>
    <t>1-True</t>
  </si>
  <si>
    <t>value&gt; 10B as Megadeal</t>
  </si>
  <si>
    <t>value,10B as Realdeal</t>
  </si>
  <si>
    <t>By using proper I adjusted the names</t>
  </si>
  <si>
    <t>proper()</t>
  </si>
  <si>
    <t>Added the Billion symbol to value column</t>
  </si>
  <si>
    <t>B</t>
  </si>
  <si>
    <t>Changed data formating of the data column</t>
  </si>
  <si>
    <t xml:space="preserve">Adjusted the trial column </t>
  </si>
  <si>
    <t>By using ifs() fumction</t>
  </si>
  <si>
    <t>changed text formate by using proper</t>
  </si>
  <si>
    <t>Added million symbol</t>
  </si>
  <si>
    <t>M</t>
  </si>
  <si>
    <t>Analyzing the  disease_burden-1</t>
  </si>
  <si>
    <t>Null_ values</t>
  </si>
  <si>
    <t>Analyzing the  Pharma_companies_financials-1</t>
  </si>
  <si>
    <t>Null_values</t>
  </si>
  <si>
    <t>Added the $ symbol and Billion symbol using formating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</si>
</sst>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/mm/dd"/>
    <numFmt numFmtId="165" formatCode="\$0.0&quot;B&quot;"/>
    <numFmt numFmtId="166" formatCode="\$0.00&quot;B&quot;"/>
    <numFmt numFmtId="167" formatCode="0.00&quot;M&quot;"/>
    <numFmt numFmtId="168" formatCode="000&quot;M&quot;"/>
    <numFmt numFmtId="169" formatCode="0.0&quot;B&quot;"/>
  </numFmts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9" fontId="0" fillId="0" borderId="0" xfId="1" applyFont="1"/>
    <xf numFmtId="165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35">
    <dxf>
      <numFmt numFmtId="19" formatCode="dd/mm/yyyy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\$0.00&quot;B&quot;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yyyy/mm/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8" formatCode="000&quot;M&quot;"/>
    </dxf>
    <dxf>
      <numFmt numFmtId="167" formatCode="0.00&quot;M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0.0&quot;B&quot;"/>
    </dxf>
    <dxf>
      <numFmt numFmtId="0" formatCode="General"/>
    </dxf>
    <dxf>
      <numFmt numFmtId="164" formatCode="yyyy/mm/dd"/>
    </dxf>
    <dxf>
      <numFmt numFmtId="0" formatCode="General"/>
    </dxf>
    <dxf>
      <numFmt numFmtId="166" formatCode="\$0.00&quot;B&quot;"/>
    </dxf>
    <dxf>
      <numFmt numFmtId="166" formatCode="\$0.00&quot;B&quot;"/>
    </dxf>
    <dxf>
      <numFmt numFmtId="165" formatCode="\$0.0&quot;B&quot;"/>
    </dxf>
    <dxf>
      <numFmt numFmtId="165" formatCode="\$0.0&quot;B&quot;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2F7FD4F-9D28-4237-A9C9-74404BEAACD2}" autoFormatId="16" applyNumberFormats="0" applyBorderFormats="0" applyFontFormats="0" applyPatternFormats="0" applyAlignmentFormats="0" applyWidthHeightFormats="0">
  <queryTableRefresh nextId="33" unboundColumnsRight="2">
    <queryTableFields count="10">
      <queryTableField id="1" name="deal_id" tableColumnId="1"/>
      <queryTableField id="2" name="date" tableColumnId="2"/>
      <queryTableField id="3" name="year" tableColumnId="3"/>
      <queryTableField id="4" name="deal_type" tableColumnId="4"/>
      <queryTableField id="12" dataBound="0" tableColumnId="12"/>
      <queryTableField id="27" dataBound="0" tableColumnId="18"/>
      <queryTableField id="16" dataBound="0" tableColumnId="16"/>
      <queryTableField id="7" name="value_usd_bn" tableColumnId="7"/>
      <queryTableField id="31" dataBound="0" tableColumnId="9"/>
      <queryTableField id="32" dataBound="0" tableColumnId="10"/>
    </queryTableFields>
    <queryTableDeletedFields count="6">
      <deletedField name="acquirer_or_investors"/>
      <deletedField name="target_or_company"/>
      <deletedField name="target_or_company"/>
      <deletedField name="is_megadeal"/>
      <deletedField name="is_real_headline"/>
      <deletedField name="acquirer_or_investor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76FBA866-3643-4A8D-95DF-4CC06BE524F9}" autoFormatId="16" applyNumberFormats="0" applyBorderFormats="0" applyFontFormats="0" applyPatternFormats="0" applyAlignmentFormats="0" applyWidthHeightFormats="0">
  <queryTableRefresh nextId="17">
    <queryTableFields count="11">
      <queryTableField id="1" name="trial_id" tableColumnId="1"/>
      <queryTableField id="2" name="completion_date" tableColumnId="2"/>
      <queryTableField id="3" name="year" tableColumnId="3"/>
      <queryTableField id="4" name="sponsor" tableColumnId="4"/>
      <queryTableField id="5" name="therapy_area" tableColumnId="5"/>
      <queryTableField id="6" name="phase" tableColumnId="6"/>
      <queryTableField id="7" name="enrollment_n" tableColumnId="7"/>
      <queryTableField id="8" name="duration_months" tableColumnId="8"/>
      <queryTableField id="9" name="outcome" tableColumnId="9"/>
      <queryTableField id="14" dataBound="0" tableColumnId="14"/>
      <queryTableField id="12" name="estimated_stock_impact_pct" tableColumnId="12"/>
    </queryTableFields>
    <queryTableDeletedFields count="2">
      <deletedField name="is_success"/>
      <deletedField name="is_failur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7A23E2A-E51C-4E45-84D8-3056E87F9A7E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region" tableColumnId="2"/>
      <queryTableField id="3" name="disease" tableColumnId="3"/>
      <queryTableField id="4" name="dalys_millions" tableColumnId="4"/>
      <queryTableField id="5" name="global_dalys_million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38CF9E9E-4503-4574-A178-90CD74E6E34C}" autoFormatId="16" applyNumberFormats="0" applyBorderFormats="0" applyFontFormats="0" applyPatternFormats="0" applyAlignmentFormats="0" applyWidthHeightFormats="0">
  <queryTableRefresh nextId="16">
    <queryTableFields count="10">
      <queryTableField id="1" name="year" tableColumnId="1"/>
      <queryTableField id="12" dataBound="0" tableColumnId="12"/>
      <queryTableField id="3" name="ticker" tableColumnId="3"/>
      <queryTableField id="4" name="country_iso3" tableColumnId="4"/>
      <queryTableField id="14" dataBound="0" tableColumnId="14"/>
      <queryTableField id="6" name="revenue_usd_bn" tableColumnId="6"/>
      <queryTableField id="7" name="operating_margin_pct" tableColumnId="7"/>
      <queryTableField id="8" name="operating_income_usd_bn" tableColumnId="8"/>
      <queryTableField id="9" name="rd_spend_usd_bn" tableColumnId="9"/>
      <queryTableField id="10" name="pipeline_size_est" tableColumnId="10"/>
    </queryTableFields>
    <queryTableDeletedFields count="2">
      <deletedField name="company_name"/>
      <deletedField name="segm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62A699-B89F-4B53-957F-697D7AE5835A}" name="biotech_funding9" displayName="biotech_funding9" ref="A1:J1209" tableType="queryTable" totalsRowShown="0">
  <autoFilter ref="A1:J1209" xr:uid="{7962A699-B89F-4B53-957F-697D7AE5835A}"/>
  <tableColumns count="10">
    <tableColumn id="1" xr3:uid="{1F28630B-3B11-4EB2-8CEE-D69C60CBFE7D}" uniqueName="1" name="deal_id" queryTableFieldId="1" dataDxfId="28"/>
    <tableColumn id="2" xr3:uid="{701B1336-9D2A-4E4A-B65B-74F0D7150A56}" uniqueName="2" name="date" queryTableFieldId="2" dataDxfId="27"/>
    <tableColumn id="3" xr3:uid="{C7E6A348-EAF5-45D6-9C4A-F672E231CBB0}" uniqueName="3" name="Deal_year" queryTableFieldId="3"/>
    <tableColumn id="4" xr3:uid="{8A93A09D-4772-4728-B6C0-6FC7BB7F75D2}" uniqueName="4" name="deal_type" queryTableFieldId="4" dataDxfId="26"/>
    <tableColumn id="12" xr3:uid="{D5D4FF86-0913-45AB-B4B4-E810E062DA79}" uniqueName="12" name="acquirer_or_investors" queryTableFieldId="12"/>
    <tableColumn id="18" xr3:uid="{D75D5ADC-7728-4B17-8513-33510B35A2B4}" uniqueName="18" name="Description" queryTableFieldId="27"/>
    <tableColumn id="16" xr3:uid="{289B2C2A-332C-427B-803D-322E0A6E5848}" uniqueName="16" name="Target_or_company" queryTableFieldId="16"/>
    <tableColumn id="7" xr3:uid="{13C82783-C9B0-44C2-9EA0-226C9E0C6595}" uniqueName="7" name="value_usd_bn" queryTableFieldId="7" dataDxfId="25"/>
    <tableColumn id="9" xr3:uid="{ADF327B3-D40A-4D36-BB30-55D46E95DD6B}" uniqueName="9" name="Megadeal_flag" queryTableFieldId="31" dataDxfId="24"/>
    <tableColumn id="10" xr3:uid="{F05BF960-9046-4BCF-B8E8-3D49D76765BA}" uniqueName="10" name="Is_real_headline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7EECB-1CE0-4543-966C-A9348818D58C}" name="Table1_1" displayName="Table1_1" ref="A1:K600" tableType="queryTable" totalsRowShown="0">
  <autoFilter ref="A1:K600" xr:uid="{F997EECB-1CE0-4543-966C-A9348818D58C}"/>
  <tableColumns count="11">
    <tableColumn id="1" xr3:uid="{CFC85F37-4483-4D4E-87E7-14AB327BFD8F}" uniqueName="1" name="trial_id" queryTableFieldId="1" dataDxfId="1"/>
    <tableColumn id="2" xr3:uid="{138FB729-B6B6-4889-B65F-7E1E59167502}" uniqueName="2" name="completion_date" queryTableFieldId="2" dataDxfId="0"/>
    <tableColumn id="3" xr3:uid="{7B8B5E31-1C55-4E8D-A605-900B4A924B14}" uniqueName="3" name="year" queryTableFieldId="3"/>
    <tableColumn id="4" xr3:uid="{59AB176B-87EF-4FEA-9A49-EABBE28580B6}" uniqueName="4" name="sponsor" queryTableFieldId="4" dataDxfId="22"/>
    <tableColumn id="5" xr3:uid="{50324855-FE0A-4C2C-8F69-D45CBCD39197}" uniqueName="5" name="therapy_area" queryTableFieldId="5" dataDxfId="21"/>
    <tableColumn id="6" xr3:uid="{8B45FD13-08F3-4449-86DC-82FC86E7B2A8}" uniqueName="6" name="phase" queryTableFieldId="6" dataDxfId="20"/>
    <tableColumn id="7" xr3:uid="{8AB03AFC-A267-4C42-A021-384BE035747E}" uniqueName="7" name="enrollment_n" queryTableFieldId="7"/>
    <tableColumn id="8" xr3:uid="{A58AE12F-3519-4F96-9949-733CEFF9199F}" uniqueName="8" name="duration_months" queryTableFieldId="8"/>
    <tableColumn id="9" xr3:uid="{AF0CDF37-23C8-42E5-8734-514B5EB7F36D}" uniqueName="9" name="outcome" queryTableFieldId="9" dataDxfId="19"/>
    <tableColumn id="14" xr3:uid="{BA2BAA9C-C894-4552-A176-3E5C29399684}" uniqueName="14" name="Trial_result" queryTableFieldId="14" dataDxfId="18"/>
    <tableColumn id="12" xr3:uid="{AE5D5A8F-BBB2-40C7-86B4-65013515E67B}" uniqueName="12" name="estimated_stock_impact_pct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185E162-D1BB-4DC5-85AC-7F676BDD4B2B}" name="disease_burden11" displayName="disease_burden11" ref="A1:E3311" tableType="queryTable" totalsRowShown="0">
  <autoFilter ref="A1:E3311" xr:uid="{B185E162-D1BB-4DC5-85AC-7F676BDD4B2B}"/>
  <tableColumns count="5">
    <tableColumn id="1" xr3:uid="{FE8BA010-6292-4E59-B26D-EEE3DD80DDAE}" uniqueName="1" name="year" queryTableFieldId="1"/>
    <tableColumn id="2" xr3:uid="{DBB73F09-699D-435F-AC10-C080C6D8BAA8}" uniqueName="2" name="region" queryTableFieldId="2" dataDxfId="17"/>
    <tableColumn id="3" xr3:uid="{BD002768-01D9-4EF8-8F58-87FAE482F1B4}" uniqueName="3" name="disease" queryTableFieldId="3" dataDxfId="16"/>
    <tableColumn id="4" xr3:uid="{958A343B-0D64-49BC-8FFB-615182DC2EAF}" uniqueName="4" name="dalys_millions" queryTableFieldId="4" dataDxfId="15"/>
    <tableColumn id="5" xr3:uid="{F06BFF74-CBA8-4BA5-ABBC-EF2FD470C03F}" uniqueName="5" name="global_dalys_millions" queryTableFieldId="5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FB9172-986C-4E7B-A9D7-256EC0F3B05F}" name="drug_approvals13" displayName="drug_approvals13" ref="A1:K723" totalsRowShown="0" dataDxfId="13">
  <autoFilter ref="A1:K723" xr:uid="{C9FB9172-986C-4E7B-A9D7-256EC0F3B05F}"/>
  <tableColumns count="11">
    <tableColumn id="1" xr3:uid="{2B96D064-C8C0-4892-8B5C-44A62BCB0AEE}" name="approval_id" dataDxfId="12"/>
    <tableColumn id="2" xr3:uid="{B9EF07F9-3A2D-44ED-BBE2-D29CD0882CC9}" name="approval_date" dataDxfId="11"/>
    <tableColumn id="3" xr3:uid="{B6187719-F6F9-4C8D-B805-665D29210FB0}" name="year" dataDxfId="10"/>
    <tableColumn id="4" xr3:uid="{CB0938BC-2FD4-42DF-85F4-F31BE0907AAD}" name="drug_name" dataDxfId="9"/>
    <tableColumn id="5" xr3:uid="{DBF95DCA-DACD-4EDC-AA11-41F5D2FFD129}" name="sponsor_company" dataDxfId="8"/>
    <tableColumn id="14" xr3:uid="{CC7EE60F-F6CF-4880-94E0-E47B73B8CD0F}" name="Drug_type" dataDxfId="7"/>
    <tableColumn id="16" xr3:uid="{79E32062-0246-4F17-8A9B-0629E07593B4}" name="Therapy_area" dataDxfId="6"/>
    <tableColumn id="8" xr3:uid="{B710A7A0-297C-4992-8E05-9AEA4D6BDF7A}" name="peak_sales_usd_bn_est" dataDxfId="5"/>
    <tableColumn id="11" xr3:uid="{55D7276C-7328-4595-9DFF-AE4F36FA3FA0}" name="description" dataDxfId="4"/>
    <tableColumn id="6" xr3:uid="{7E81F76E-BEDF-474B-8FA1-8FEE2339FA16}" name="Type of Sales" dataDxfId="3">
      <calculatedColumnFormula array="1">_xlfn.IFS(drug_approvals13[[#This Row],[peak_sales_usd_bn_est]]&gt;=5,"Mega Blockbuster",drug_approvals13[[#This Row],[peak_sales_usd_bn_est]]&gt;=1,"Blockbuster",drug_approvals13[[#This Row],[peak_sales_usd_bn_est]]&lt;1,"Low sales" )</calculatedColumnFormula>
    </tableColumn>
    <tableColumn id="9" xr3:uid="{FC97AF8B-8F68-46C8-8FCD-56E0783B622B}" name="Approval_Status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8A79D9-AA29-4C48-9B7D-0DCD6C80EB0C}" name="pharma_companies_financials12" displayName="pharma_companies_financials12" ref="A1:J490" tableType="queryTable" totalsRowShown="0">
  <autoFilter ref="A1:J490" xr:uid="{AD8A79D9-AA29-4C48-9B7D-0DCD6C80EB0C}"/>
  <tableColumns count="10">
    <tableColumn id="1" xr3:uid="{5594A58E-102F-4003-A2EA-AD29F54B9A33}" uniqueName="1" name="year" queryTableFieldId="1"/>
    <tableColumn id="12" xr3:uid="{6B897A95-3C89-4B09-A3B3-4B1CA0E99CE3}" uniqueName="12" name="Company_name" queryTableFieldId="12"/>
    <tableColumn id="3" xr3:uid="{12BEFF49-86F9-40B3-AFB3-639B546D30B0}" uniqueName="3" name="ticker" queryTableFieldId="3" dataDxfId="34"/>
    <tableColumn id="4" xr3:uid="{41EBF141-570E-4738-B817-A3132EFCC5A5}" uniqueName="4" name="country_iso" queryTableFieldId="4" dataDxfId="33"/>
    <tableColumn id="14" xr3:uid="{57965C11-BDE2-455F-AEFA-513558D313CD}" uniqueName="14" name="Segment" queryTableFieldId="14"/>
    <tableColumn id="6" xr3:uid="{305B873E-0158-4A03-8F78-42A7E4028EBD}" uniqueName="6" name="revenue_usd_bn" queryTableFieldId="6" dataDxfId="32"/>
    <tableColumn id="7" xr3:uid="{8132CC15-B8C1-4740-A6B6-DC47F00A07A4}" uniqueName="7" name="operating_margin_pct" queryTableFieldId="7" dataDxfId="31"/>
    <tableColumn id="8" xr3:uid="{731163FC-7A02-4C56-BB85-933A4E028AE4}" uniqueName="8" name="operating_income_usd_bn" queryTableFieldId="8" dataDxfId="30"/>
    <tableColumn id="9" xr3:uid="{70573872-3140-4063-9C58-FC91C456B006}" uniqueName="9" name="rd_spend_usd_bn" queryTableFieldId="9" dataDxfId="29"/>
    <tableColumn id="10" xr3:uid="{28FEEB1A-4548-4DE1-B21C-BB26AD72EB1A}" uniqueName="10" name="pipeline_size_es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6632-8752-4082-B072-7CC7980E9C02}">
  <dimension ref="A1:J1209"/>
  <sheetViews>
    <sheetView workbookViewId="0"/>
  </sheetViews>
  <sheetFormatPr defaultRowHeight="14.4"/>
  <cols>
    <col min="1" max="1" width="9.33203125" bestFit="1" customWidth="1"/>
    <col min="2" max="2" width="10.44140625" bestFit="1" customWidth="1"/>
    <col min="3" max="4" width="11.5546875" bestFit="1" customWidth="1"/>
    <col min="5" max="5" width="21.88671875" bestFit="1" customWidth="1"/>
    <col min="6" max="6" width="21.88671875" customWidth="1"/>
    <col min="7" max="7" width="23.21875" bestFit="1" customWidth="1"/>
    <col min="8" max="8" width="15" bestFit="1" customWidth="1"/>
    <col min="9" max="9" width="18" bestFit="1" customWidth="1"/>
    <col min="10" max="10" width="15.77734375" bestFit="1" customWidth="1"/>
  </cols>
  <sheetData>
    <row r="1" spans="1:10">
      <c r="A1" t="s">
        <v>0</v>
      </c>
      <c r="B1" t="s">
        <v>1</v>
      </c>
      <c r="C1" t="s">
        <v>4612</v>
      </c>
      <c r="D1" t="s">
        <v>3</v>
      </c>
      <c r="E1" t="s">
        <v>4</v>
      </c>
      <c r="F1" t="s">
        <v>4739</v>
      </c>
      <c r="G1" t="s">
        <v>4588</v>
      </c>
      <c r="H1" t="s">
        <v>5</v>
      </c>
      <c r="I1" t="s">
        <v>4765</v>
      </c>
      <c r="J1" t="s">
        <v>4742</v>
      </c>
    </row>
    <row r="2" spans="1:10">
      <c r="A2" t="s">
        <v>7</v>
      </c>
      <c r="B2" s="2">
        <v>39881</v>
      </c>
      <c r="C2">
        <v>2009</v>
      </c>
      <c r="D2" t="s">
        <v>8</v>
      </c>
      <c r="E2" t="s">
        <v>9</v>
      </c>
      <c r="F2" t="s">
        <v>4615</v>
      </c>
      <c r="G2" t="s">
        <v>10</v>
      </c>
      <c r="H2" s="16">
        <v>68</v>
      </c>
      <c r="I2" t="s">
        <v>4763</v>
      </c>
      <c r="J2" t="s">
        <v>4613</v>
      </c>
    </row>
    <row r="3" spans="1:10">
      <c r="A3" t="s">
        <v>11</v>
      </c>
      <c r="B3" s="2">
        <v>40186</v>
      </c>
      <c r="C3">
        <v>2010</v>
      </c>
      <c r="D3" t="s">
        <v>12</v>
      </c>
      <c r="E3" t="s">
        <v>13</v>
      </c>
      <c r="F3" t="s">
        <v>4616</v>
      </c>
      <c r="G3" t="s">
        <v>3831</v>
      </c>
      <c r="H3" s="16">
        <v>0.4</v>
      </c>
      <c r="I3" t="s">
        <v>4764</v>
      </c>
      <c r="J3" t="s">
        <v>4614</v>
      </c>
    </row>
    <row r="4" spans="1:10">
      <c r="A4" t="s">
        <v>14</v>
      </c>
      <c r="B4" s="2">
        <v>40190</v>
      </c>
      <c r="C4">
        <v>2010</v>
      </c>
      <c r="D4" t="s">
        <v>15</v>
      </c>
      <c r="E4" t="s">
        <v>3832</v>
      </c>
      <c r="F4" t="s">
        <v>4617</v>
      </c>
      <c r="G4" t="s">
        <v>3833</v>
      </c>
      <c r="H4" s="16">
        <v>0.46</v>
      </c>
      <c r="I4" t="s">
        <v>4764</v>
      </c>
      <c r="J4" t="s">
        <v>4614</v>
      </c>
    </row>
    <row r="5" spans="1:10">
      <c r="A5" t="s">
        <v>16</v>
      </c>
      <c r="B5" s="2">
        <v>40194</v>
      </c>
      <c r="C5">
        <v>2010</v>
      </c>
      <c r="D5" t="s">
        <v>8</v>
      </c>
      <c r="E5" t="s">
        <v>17</v>
      </c>
      <c r="F5" t="s">
        <v>4618</v>
      </c>
      <c r="G5" t="s">
        <v>3834</v>
      </c>
      <c r="H5" s="16">
        <v>1.1599999999999999</v>
      </c>
      <c r="I5" t="s">
        <v>4764</v>
      </c>
      <c r="J5" t="s">
        <v>4614</v>
      </c>
    </row>
    <row r="6" spans="1:10">
      <c r="A6" t="s">
        <v>18</v>
      </c>
      <c r="B6" s="2">
        <v>40195</v>
      </c>
      <c r="C6">
        <v>2010</v>
      </c>
      <c r="D6" t="s">
        <v>12</v>
      </c>
      <c r="E6" t="s">
        <v>19</v>
      </c>
      <c r="F6" t="s">
        <v>4616</v>
      </c>
      <c r="G6" t="s">
        <v>3835</v>
      </c>
      <c r="H6" s="16">
        <v>0.64</v>
      </c>
      <c r="I6" t="s">
        <v>4764</v>
      </c>
      <c r="J6" t="s">
        <v>4614</v>
      </c>
    </row>
    <row r="7" spans="1:10">
      <c r="A7" t="s">
        <v>20</v>
      </c>
      <c r="B7" s="2">
        <v>40195</v>
      </c>
      <c r="C7">
        <v>2010</v>
      </c>
      <c r="D7" t="s">
        <v>21</v>
      </c>
      <c r="E7" t="s">
        <v>3836</v>
      </c>
      <c r="F7" t="s">
        <v>4619</v>
      </c>
      <c r="G7" t="s">
        <v>3837</v>
      </c>
      <c r="H7" s="16">
        <v>0.35</v>
      </c>
      <c r="I7" t="s">
        <v>4764</v>
      </c>
      <c r="J7" t="s">
        <v>4614</v>
      </c>
    </row>
    <row r="8" spans="1:10">
      <c r="A8" t="s">
        <v>22</v>
      </c>
      <c r="B8" s="2">
        <v>40196</v>
      </c>
      <c r="C8">
        <v>2010</v>
      </c>
      <c r="D8" t="s">
        <v>8</v>
      </c>
      <c r="E8" t="s">
        <v>23</v>
      </c>
      <c r="F8" t="s">
        <v>4618</v>
      </c>
      <c r="G8" t="s">
        <v>3838</v>
      </c>
      <c r="H8" s="16">
        <v>0.25</v>
      </c>
      <c r="I8" t="s">
        <v>4764</v>
      </c>
      <c r="J8" t="s">
        <v>4614</v>
      </c>
    </row>
    <row r="9" spans="1:10">
      <c r="A9" t="s">
        <v>24</v>
      </c>
      <c r="B9" s="2">
        <v>40201</v>
      </c>
      <c r="C9">
        <v>2010</v>
      </c>
      <c r="D9" t="s">
        <v>25</v>
      </c>
      <c r="E9" t="s">
        <v>3839</v>
      </c>
      <c r="F9" t="s">
        <v>4620</v>
      </c>
      <c r="G9" t="s">
        <v>3840</v>
      </c>
      <c r="H9" s="16">
        <v>0.1</v>
      </c>
      <c r="I9" t="s">
        <v>4764</v>
      </c>
      <c r="J9" t="s">
        <v>4614</v>
      </c>
    </row>
    <row r="10" spans="1:10">
      <c r="A10" t="s">
        <v>26</v>
      </c>
      <c r="B10" s="2">
        <v>40212</v>
      </c>
      <c r="C10">
        <v>2010</v>
      </c>
      <c r="D10" t="s">
        <v>8</v>
      </c>
      <c r="E10" t="s">
        <v>17</v>
      </c>
      <c r="F10" t="s">
        <v>4618</v>
      </c>
      <c r="G10" t="s">
        <v>3841</v>
      </c>
      <c r="H10" s="16">
        <v>0.05</v>
      </c>
      <c r="I10" t="s">
        <v>4764</v>
      </c>
      <c r="J10" t="s">
        <v>4614</v>
      </c>
    </row>
    <row r="11" spans="1:10">
      <c r="A11" t="s">
        <v>27</v>
      </c>
      <c r="B11" s="2">
        <v>40218</v>
      </c>
      <c r="C11">
        <v>2010</v>
      </c>
      <c r="D11" t="s">
        <v>15</v>
      </c>
      <c r="E11" t="s">
        <v>3832</v>
      </c>
      <c r="F11" t="s">
        <v>4617</v>
      </c>
      <c r="G11" t="s">
        <v>3842</v>
      </c>
      <c r="H11" s="16">
        <v>0.23</v>
      </c>
      <c r="I11" t="s">
        <v>4764</v>
      </c>
      <c r="J11" t="s">
        <v>4614</v>
      </c>
    </row>
    <row r="12" spans="1:10">
      <c r="A12" t="s">
        <v>28</v>
      </c>
      <c r="B12" s="2">
        <v>40218</v>
      </c>
      <c r="C12">
        <v>2010</v>
      </c>
      <c r="D12" t="s">
        <v>25</v>
      </c>
      <c r="E12" t="s">
        <v>29</v>
      </c>
      <c r="F12" t="s">
        <v>4620</v>
      </c>
      <c r="G12" t="s">
        <v>3843</v>
      </c>
      <c r="H12" s="16">
        <v>0.08</v>
      </c>
      <c r="I12" t="s">
        <v>4764</v>
      </c>
      <c r="J12" t="s">
        <v>4614</v>
      </c>
    </row>
    <row r="13" spans="1:10">
      <c r="A13" t="s">
        <v>30</v>
      </c>
      <c r="B13" s="2">
        <v>40223</v>
      </c>
      <c r="C13">
        <v>2010</v>
      </c>
      <c r="D13" t="s">
        <v>8</v>
      </c>
      <c r="E13" t="s">
        <v>31</v>
      </c>
      <c r="F13" t="s">
        <v>4618</v>
      </c>
      <c r="G13" t="s">
        <v>3844</v>
      </c>
      <c r="H13" s="16">
        <v>0.17</v>
      </c>
      <c r="I13" t="s">
        <v>4764</v>
      </c>
      <c r="J13" t="s">
        <v>4614</v>
      </c>
    </row>
    <row r="14" spans="1:10">
      <c r="A14" t="s">
        <v>32</v>
      </c>
      <c r="B14" s="2">
        <v>40225</v>
      </c>
      <c r="C14">
        <v>2010</v>
      </c>
      <c r="D14" t="s">
        <v>33</v>
      </c>
      <c r="E14" t="s">
        <v>34</v>
      </c>
      <c r="F14" t="s">
        <v>4621</v>
      </c>
      <c r="G14" t="s">
        <v>3845</v>
      </c>
      <c r="H14" s="16">
        <v>0.12</v>
      </c>
      <c r="I14" t="s">
        <v>4764</v>
      </c>
      <c r="J14" t="s">
        <v>4614</v>
      </c>
    </row>
    <row r="15" spans="1:10">
      <c r="A15" t="s">
        <v>35</v>
      </c>
      <c r="B15" s="2">
        <v>40232</v>
      </c>
      <c r="C15">
        <v>2010</v>
      </c>
      <c r="D15" t="s">
        <v>21</v>
      </c>
      <c r="E15" t="s">
        <v>13</v>
      </c>
      <c r="F15" t="s">
        <v>4619</v>
      </c>
      <c r="G15" t="s">
        <v>36</v>
      </c>
      <c r="H15" s="16">
        <v>0.03</v>
      </c>
      <c r="I15" t="s">
        <v>4764</v>
      </c>
      <c r="J15" t="s">
        <v>4614</v>
      </c>
    </row>
    <row r="16" spans="1:10">
      <c r="A16" t="s">
        <v>37</v>
      </c>
      <c r="B16" s="2">
        <v>40234</v>
      </c>
      <c r="C16">
        <v>2010</v>
      </c>
      <c r="D16" t="s">
        <v>8</v>
      </c>
      <c r="E16" t="s">
        <v>3846</v>
      </c>
      <c r="F16" t="s">
        <v>4618</v>
      </c>
      <c r="G16" t="s">
        <v>3847</v>
      </c>
      <c r="H16" s="16">
        <v>0.51</v>
      </c>
      <c r="I16" t="s">
        <v>4764</v>
      </c>
      <c r="J16" t="s">
        <v>4614</v>
      </c>
    </row>
    <row r="17" spans="1:10">
      <c r="A17" t="s">
        <v>39</v>
      </c>
      <c r="B17" s="2">
        <v>40247</v>
      </c>
      <c r="C17">
        <v>2010</v>
      </c>
      <c r="D17" t="s">
        <v>15</v>
      </c>
      <c r="E17" t="s">
        <v>3832</v>
      </c>
      <c r="F17" t="s">
        <v>4617</v>
      </c>
      <c r="G17" t="s">
        <v>3848</v>
      </c>
      <c r="H17" s="16">
        <v>0.46</v>
      </c>
      <c r="I17" t="s">
        <v>4764</v>
      </c>
      <c r="J17" t="s">
        <v>4614</v>
      </c>
    </row>
    <row r="18" spans="1:10">
      <c r="A18" t="s">
        <v>40</v>
      </c>
      <c r="B18" s="2">
        <v>40274</v>
      </c>
      <c r="C18">
        <v>2010</v>
      </c>
      <c r="D18" t="s">
        <v>25</v>
      </c>
      <c r="E18" t="s">
        <v>3836</v>
      </c>
      <c r="F18" t="s">
        <v>4620</v>
      </c>
      <c r="G18" t="s">
        <v>3849</v>
      </c>
      <c r="H18" s="16">
        <v>1.04</v>
      </c>
      <c r="I18" t="s">
        <v>4764</v>
      </c>
      <c r="J18" t="s">
        <v>4614</v>
      </c>
    </row>
    <row r="19" spans="1:10">
      <c r="A19" t="s">
        <v>41</v>
      </c>
      <c r="B19" s="2">
        <v>40276</v>
      </c>
      <c r="C19">
        <v>2010</v>
      </c>
      <c r="D19" t="s">
        <v>8</v>
      </c>
      <c r="E19" t="s">
        <v>3850</v>
      </c>
      <c r="F19" t="s">
        <v>4618</v>
      </c>
      <c r="G19" t="s">
        <v>43</v>
      </c>
      <c r="H19" s="16">
        <v>3.47</v>
      </c>
      <c r="I19" t="s">
        <v>4764</v>
      </c>
      <c r="J19" t="s">
        <v>4614</v>
      </c>
    </row>
    <row r="20" spans="1:10">
      <c r="A20" t="s">
        <v>44</v>
      </c>
      <c r="B20" s="2">
        <v>40282</v>
      </c>
      <c r="C20">
        <v>2010</v>
      </c>
      <c r="D20" t="s">
        <v>33</v>
      </c>
      <c r="E20" t="s">
        <v>45</v>
      </c>
      <c r="F20" t="s">
        <v>4621</v>
      </c>
      <c r="G20" t="s">
        <v>3851</v>
      </c>
      <c r="H20" s="16">
        <v>0.08</v>
      </c>
      <c r="I20" t="s">
        <v>4764</v>
      </c>
      <c r="J20" t="s">
        <v>4614</v>
      </c>
    </row>
    <row r="21" spans="1:10">
      <c r="A21" t="s">
        <v>46</v>
      </c>
      <c r="B21" s="2">
        <v>40286</v>
      </c>
      <c r="C21">
        <v>2010</v>
      </c>
      <c r="D21" t="s">
        <v>25</v>
      </c>
      <c r="E21" t="s">
        <v>47</v>
      </c>
      <c r="F21" t="s">
        <v>4620</v>
      </c>
      <c r="G21" t="s">
        <v>3852</v>
      </c>
      <c r="H21" s="16">
        <v>0.15</v>
      </c>
      <c r="I21" t="s">
        <v>4764</v>
      </c>
      <c r="J21" t="s">
        <v>4614</v>
      </c>
    </row>
    <row r="22" spans="1:10">
      <c r="A22" t="s">
        <v>48</v>
      </c>
      <c r="B22" s="2">
        <v>40310</v>
      </c>
      <c r="C22">
        <v>2010</v>
      </c>
      <c r="D22" t="s">
        <v>25</v>
      </c>
      <c r="E22" t="s">
        <v>49</v>
      </c>
      <c r="F22" t="s">
        <v>4620</v>
      </c>
      <c r="G22" t="s">
        <v>3853</v>
      </c>
      <c r="H22" s="16">
        <v>0.73</v>
      </c>
      <c r="I22" t="s">
        <v>4764</v>
      </c>
      <c r="J22" t="s">
        <v>4614</v>
      </c>
    </row>
    <row r="23" spans="1:10">
      <c r="A23" t="s">
        <v>50</v>
      </c>
      <c r="B23" s="2">
        <v>40317</v>
      </c>
      <c r="C23">
        <v>2010</v>
      </c>
      <c r="D23" t="s">
        <v>21</v>
      </c>
      <c r="E23" t="s">
        <v>3854</v>
      </c>
      <c r="F23" t="s">
        <v>4619</v>
      </c>
      <c r="G23" t="s">
        <v>51</v>
      </c>
      <c r="H23" s="16">
        <v>0.17</v>
      </c>
      <c r="I23" t="s">
        <v>4764</v>
      </c>
      <c r="J23" t="s">
        <v>4614</v>
      </c>
    </row>
    <row r="24" spans="1:10">
      <c r="A24" t="s">
        <v>52</v>
      </c>
      <c r="B24" s="2">
        <v>40317</v>
      </c>
      <c r="C24">
        <v>2010</v>
      </c>
      <c r="D24" t="s">
        <v>8</v>
      </c>
      <c r="E24" t="s">
        <v>53</v>
      </c>
      <c r="F24" t="s">
        <v>4618</v>
      </c>
      <c r="G24" t="s">
        <v>54</v>
      </c>
      <c r="H24" s="16">
        <v>3.14</v>
      </c>
      <c r="I24" t="s">
        <v>4764</v>
      </c>
      <c r="J24" t="s">
        <v>4614</v>
      </c>
    </row>
    <row r="25" spans="1:10">
      <c r="A25" t="s">
        <v>55</v>
      </c>
      <c r="B25" s="2">
        <v>40321</v>
      </c>
      <c r="C25">
        <v>2010</v>
      </c>
      <c r="D25" t="s">
        <v>12</v>
      </c>
      <c r="E25" t="s">
        <v>3854</v>
      </c>
      <c r="F25" t="s">
        <v>4616</v>
      </c>
      <c r="G25" t="s">
        <v>56</v>
      </c>
      <c r="H25" s="16">
        <v>0.1</v>
      </c>
      <c r="I25" t="s">
        <v>4764</v>
      </c>
      <c r="J25" t="s">
        <v>4614</v>
      </c>
    </row>
    <row r="26" spans="1:10">
      <c r="A26" t="s">
        <v>57</v>
      </c>
      <c r="B26" s="2">
        <v>40322</v>
      </c>
      <c r="C26">
        <v>2010</v>
      </c>
      <c r="D26" t="s">
        <v>25</v>
      </c>
      <c r="E26" t="s">
        <v>29</v>
      </c>
      <c r="F26" t="s">
        <v>4620</v>
      </c>
      <c r="G26" t="s">
        <v>3855</v>
      </c>
      <c r="H26" s="16">
        <v>0.09</v>
      </c>
      <c r="I26" t="s">
        <v>4764</v>
      </c>
      <c r="J26" t="s">
        <v>4614</v>
      </c>
    </row>
    <row r="27" spans="1:10">
      <c r="A27" t="s">
        <v>58</v>
      </c>
      <c r="B27" s="2">
        <v>40360</v>
      </c>
      <c r="C27">
        <v>2010</v>
      </c>
      <c r="D27" t="s">
        <v>21</v>
      </c>
      <c r="E27" t="s">
        <v>29</v>
      </c>
      <c r="F27" t="s">
        <v>4619</v>
      </c>
      <c r="G27" t="s">
        <v>59</v>
      </c>
      <c r="H27" s="16">
        <v>0.11</v>
      </c>
      <c r="I27" t="s">
        <v>4764</v>
      </c>
      <c r="J27" t="s">
        <v>4614</v>
      </c>
    </row>
    <row r="28" spans="1:10">
      <c r="A28" t="s">
        <v>60</v>
      </c>
      <c r="B28" s="2">
        <v>40362</v>
      </c>
      <c r="C28">
        <v>2010</v>
      </c>
      <c r="D28" t="s">
        <v>25</v>
      </c>
      <c r="E28" t="s">
        <v>47</v>
      </c>
      <c r="F28" t="s">
        <v>4620</v>
      </c>
      <c r="G28" t="s">
        <v>61</v>
      </c>
      <c r="H28" s="16">
        <v>0.11</v>
      </c>
      <c r="I28" t="s">
        <v>4764</v>
      </c>
      <c r="J28" t="s">
        <v>4614</v>
      </c>
    </row>
    <row r="29" spans="1:10">
      <c r="A29" t="s">
        <v>62</v>
      </c>
      <c r="B29" s="2">
        <v>40367</v>
      </c>
      <c r="C29">
        <v>2010</v>
      </c>
      <c r="D29" t="s">
        <v>33</v>
      </c>
      <c r="E29" t="s">
        <v>19</v>
      </c>
      <c r="F29" t="s">
        <v>4621</v>
      </c>
      <c r="G29" t="s">
        <v>3856</v>
      </c>
      <c r="H29" s="16">
        <v>0.21</v>
      </c>
      <c r="I29" t="s">
        <v>4764</v>
      </c>
      <c r="J29" t="s">
        <v>4614</v>
      </c>
    </row>
    <row r="30" spans="1:10">
      <c r="A30" t="s">
        <v>63</v>
      </c>
      <c r="B30" s="2">
        <v>40379</v>
      </c>
      <c r="C30">
        <v>2010</v>
      </c>
      <c r="D30" t="s">
        <v>25</v>
      </c>
      <c r="E30" t="s">
        <v>34</v>
      </c>
      <c r="F30" t="s">
        <v>4620</v>
      </c>
      <c r="G30" t="s">
        <v>3857</v>
      </c>
      <c r="H30" s="16">
        <v>0.06</v>
      </c>
      <c r="I30" t="s">
        <v>4764</v>
      </c>
      <c r="J30" t="s">
        <v>4614</v>
      </c>
    </row>
    <row r="31" spans="1:10">
      <c r="A31" t="s">
        <v>64</v>
      </c>
      <c r="B31" s="2">
        <v>40395</v>
      </c>
      <c r="C31">
        <v>2010</v>
      </c>
      <c r="D31" t="s">
        <v>8</v>
      </c>
      <c r="E31" t="s">
        <v>53</v>
      </c>
      <c r="F31" t="s">
        <v>4618</v>
      </c>
      <c r="G31" t="s">
        <v>3858</v>
      </c>
      <c r="H31" s="16">
        <v>0.36</v>
      </c>
      <c r="I31" t="s">
        <v>4764</v>
      </c>
      <c r="J31" t="s">
        <v>4614</v>
      </c>
    </row>
    <row r="32" spans="1:10">
      <c r="A32" t="s">
        <v>65</v>
      </c>
      <c r="B32" s="2">
        <v>40431</v>
      </c>
      <c r="C32">
        <v>2010</v>
      </c>
      <c r="D32" t="s">
        <v>25</v>
      </c>
      <c r="E32" t="s">
        <v>3839</v>
      </c>
      <c r="F32" t="s">
        <v>4620</v>
      </c>
      <c r="G32" t="s">
        <v>3859</v>
      </c>
      <c r="H32" s="16">
        <v>0.08</v>
      </c>
      <c r="I32" t="s">
        <v>4764</v>
      </c>
      <c r="J32" t="s">
        <v>4614</v>
      </c>
    </row>
    <row r="33" spans="1:10">
      <c r="A33" t="s">
        <v>66</v>
      </c>
      <c r="B33" s="2">
        <v>40437</v>
      </c>
      <c r="C33">
        <v>2010</v>
      </c>
      <c r="D33" t="s">
        <v>8</v>
      </c>
      <c r="E33" t="s">
        <v>3860</v>
      </c>
      <c r="F33" t="s">
        <v>4618</v>
      </c>
      <c r="G33" t="s">
        <v>68</v>
      </c>
      <c r="H33" s="16">
        <v>0.76</v>
      </c>
      <c r="I33" t="s">
        <v>4764</v>
      </c>
      <c r="J33" t="s">
        <v>4614</v>
      </c>
    </row>
    <row r="34" spans="1:10">
      <c r="A34" t="s">
        <v>69</v>
      </c>
      <c r="B34" s="2">
        <v>40474</v>
      </c>
      <c r="C34">
        <v>2010</v>
      </c>
      <c r="D34" t="s">
        <v>12</v>
      </c>
      <c r="E34" t="s">
        <v>49</v>
      </c>
      <c r="F34" t="s">
        <v>4616</v>
      </c>
      <c r="G34" t="s">
        <v>3861</v>
      </c>
      <c r="H34" s="16">
        <v>0.08</v>
      </c>
      <c r="I34" t="s">
        <v>4764</v>
      </c>
      <c r="J34" t="s">
        <v>4614</v>
      </c>
    </row>
    <row r="35" spans="1:10">
      <c r="A35" t="s">
        <v>70</v>
      </c>
      <c r="B35" s="2">
        <v>40490</v>
      </c>
      <c r="C35">
        <v>2010</v>
      </c>
      <c r="D35" t="s">
        <v>12</v>
      </c>
      <c r="E35" t="s">
        <v>3862</v>
      </c>
      <c r="F35" t="s">
        <v>4616</v>
      </c>
      <c r="G35" t="s">
        <v>3863</v>
      </c>
      <c r="H35" s="16">
        <v>0.02</v>
      </c>
      <c r="I35" t="s">
        <v>4764</v>
      </c>
      <c r="J35" t="s">
        <v>4614</v>
      </c>
    </row>
    <row r="36" spans="1:10">
      <c r="A36" t="s">
        <v>71</v>
      </c>
      <c r="B36" s="2">
        <v>40494</v>
      </c>
      <c r="C36">
        <v>2010</v>
      </c>
      <c r="D36" t="s">
        <v>25</v>
      </c>
      <c r="E36" t="s">
        <v>72</v>
      </c>
      <c r="F36" t="s">
        <v>4620</v>
      </c>
      <c r="G36" t="s">
        <v>73</v>
      </c>
      <c r="H36" s="16">
        <v>0.38</v>
      </c>
      <c r="I36" t="s">
        <v>4764</v>
      </c>
      <c r="J36" t="s">
        <v>4614</v>
      </c>
    </row>
    <row r="37" spans="1:10">
      <c r="A37" t="s">
        <v>74</v>
      </c>
      <c r="B37" s="2">
        <v>40497</v>
      </c>
      <c r="C37">
        <v>2010</v>
      </c>
      <c r="D37" t="s">
        <v>33</v>
      </c>
      <c r="E37" t="s">
        <v>72</v>
      </c>
      <c r="F37" t="s">
        <v>4621</v>
      </c>
      <c r="G37" t="s">
        <v>3856</v>
      </c>
      <c r="H37" s="16">
        <v>0.04</v>
      </c>
      <c r="I37" t="s">
        <v>4764</v>
      </c>
      <c r="J37" t="s">
        <v>4614</v>
      </c>
    </row>
    <row r="38" spans="1:10">
      <c r="A38" t="s">
        <v>75</v>
      </c>
      <c r="B38" s="2">
        <v>40545</v>
      </c>
      <c r="C38">
        <v>2011</v>
      </c>
      <c r="D38" t="s">
        <v>15</v>
      </c>
      <c r="E38" t="s">
        <v>3832</v>
      </c>
      <c r="F38" t="s">
        <v>4622</v>
      </c>
      <c r="G38" t="s">
        <v>3864</v>
      </c>
      <c r="H38" s="16">
        <v>0.96</v>
      </c>
      <c r="I38" t="s">
        <v>4764</v>
      </c>
      <c r="J38" t="s">
        <v>4614</v>
      </c>
    </row>
    <row r="39" spans="1:10">
      <c r="A39" t="s">
        <v>76</v>
      </c>
      <c r="B39" s="2">
        <v>40546</v>
      </c>
      <c r="C39">
        <v>2011</v>
      </c>
      <c r="D39" t="s">
        <v>15</v>
      </c>
      <c r="E39" t="s">
        <v>3832</v>
      </c>
      <c r="F39" t="s">
        <v>4622</v>
      </c>
      <c r="G39" t="s">
        <v>3865</v>
      </c>
      <c r="H39" s="16">
        <v>0.18</v>
      </c>
      <c r="I39" t="s">
        <v>4764</v>
      </c>
      <c r="J39" t="s">
        <v>4614</v>
      </c>
    </row>
    <row r="40" spans="1:10">
      <c r="A40" t="s">
        <v>77</v>
      </c>
      <c r="B40" s="2">
        <v>40569</v>
      </c>
      <c r="C40">
        <v>2011</v>
      </c>
      <c r="D40" t="s">
        <v>12</v>
      </c>
      <c r="E40" t="s">
        <v>19</v>
      </c>
      <c r="F40" t="s">
        <v>4623</v>
      </c>
      <c r="G40" t="s">
        <v>78</v>
      </c>
      <c r="H40" s="16">
        <v>0.14000000000000001</v>
      </c>
      <c r="I40" t="s">
        <v>4764</v>
      </c>
      <c r="J40" t="s">
        <v>4614</v>
      </c>
    </row>
    <row r="41" spans="1:10">
      <c r="A41" t="s">
        <v>79</v>
      </c>
      <c r="B41" s="2">
        <v>40593</v>
      </c>
      <c r="C41">
        <v>2011</v>
      </c>
      <c r="D41" t="s">
        <v>25</v>
      </c>
      <c r="E41" t="s">
        <v>3854</v>
      </c>
      <c r="F41" t="s">
        <v>4624</v>
      </c>
      <c r="G41" t="s">
        <v>3866</v>
      </c>
      <c r="H41" s="16">
        <v>0.53</v>
      </c>
      <c r="I41" t="s">
        <v>4764</v>
      </c>
      <c r="J41" t="s">
        <v>4614</v>
      </c>
    </row>
    <row r="42" spans="1:10">
      <c r="A42" t="s">
        <v>80</v>
      </c>
      <c r="B42" s="2">
        <v>40603</v>
      </c>
      <c r="C42">
        <v>2011</v>
      </c>
      <c r="D42" t="s">
        <v>12</v>
      </c>
      <c r="E42" t="s">
        <v>3862</v>
      </c>
      <c r="F42" t="s">
        <v>4623</v>
      </c>
      <c r="G42" t="s">
        <v>81</v>
      </c>
      <c r="H42" s="16">
        <v>0.04</v>
      </c>
      <c r="I42" t="s">
        <v>4764</v>
      </c>
      <c r="J42" t="s">
        <v>4614</v>
      </c>
    </row>
    <row r="43" spans="1:10">
      <c r="A43" t="s">
        <v>82</v>
      </c>
      <c r="B43" s="2">
        <v>40606</v>
      </c>
      <c r="C43">
        <v>2011</v>
      </c>
      <c r="D43" t="s">
        <v>25</v>
      </c>
      <c r="E43" t="s">
        <v>49</v>
      </c>
      <c r="F43" t="s">
        <v>4624</v>
      </c>
      <c r="G43" t="s">
        <v>3867</v>
      </c>
      <c r="H43" s="16">
        <v>0.16</v>
      </c>
      <c r="I43" t="s">
        <v>4764</v>
      </c>
      <c r="J43" t="s">
        <v>4614</v>
      </c>
    </row>
    <row r="44" spans="1:10">
      <c r="A44" t="s">
        <v>83</v>
      </c>
      <c r="B44" s="2">
        <v>40609</v>
      </c>
      <c r="C44">
        <v>2011</v>
      </c>
      <c r="D44" t="s">
        <v>12</v>
      </c>
      <c r="E44" t="s">
        <v>13</v>
      </c>
      <c r="F44" t="s">
        <v>4623</v>
      </c>
      <c r="G44" t="s">
        <v>3868</v>
      </c>
      <c r="H44" s="16">
        <v>0.16</v>
      </c>
      <c r="I44" t="s">
        <v>4764</v>
      </c>
      <c r="J44" t="s">
        <v>4614</v>
      </c>
    </row>
    <row r="45" spans="1:10">
      <c r="A45" t="s">
        <v>84</v>
      </c>
      <c r="B45" s="2">
        <v>40609</v>
      </c>
      <c r="C45">
        <v>2011</v>
      </c>
      <c r="D45" t="s">
        <v>12</v>
      </c>
      <c r="E45" t="s">
        <v>3862</v>
      </c>
      <c r="F45" t="s">
        <v>4623</v>
      </c>
      <c r="G45" t="s">
        <v>85</v>
      </c>
      <c r="H45" s="16">
        <v>0.63</v>
      </c>
      <c r="I45" t="s">
        <v>4764</v>
      </c>
      <c r="J45" t="s">
        <v>4614</v>
      </c>
    </row>
    <row r="46" spans="1:10">
      <c r="A46" t="s">
        <v>86</v>
      </c>
      <c r="B46" s="2">
        <v>40610</v>
      </c>
      <c r="C46">
        <v>2011</v>
      </c>
      <c r="D46" t="s">
        <v>25</v>
      </c>
      <c r="E46" t="s">
        <v>3836</v>
      </c>
      <c r="F46" t="s">
        <v>4624</v>
      </c>
      <c r="G46" t="s">
        <v>3869</v>
      </c>
      <c r="H46" s="16">
        <v>0.85</v>
      </c>
      <c r="I46" t="s">
        <v>4764</v>
      </c>
      <c r="J46" t="s">
        <v>4614</v>
      </c>
    </row>
    <row r="47" spans="1:10">
      <c r="A47" t="s">
        <v>87</v>
      </c>
      <c r="B47" s="2">
        <v>40612</v>
      </c>
      <c r="C47">
        <v>2011</v>
      </c>
      <c r="D47" t="s">
        <v>8</v>
      </c>
      <c r="E47" t="s">
        <v>23</v>
      </c>
      <c r="F47" t="s">
        <v>4625</v>
      </c>
      <c r="G47" t="s">
        <v>88</v>
      </c>
      <c r="H47" s="16">
        <v>19.87</v>
      </c>
      <c r="I47" t="s">
        <v>4763</v>
      </c>
      <c r="J47" t="s">
        <v>4614</v>
      </c>
    </row>
    <row r="48" spans="1:10">
      <c r="A48" t="s">
        <v>89</v>
      </c>
      <c r="B48" s="2">
        <v>40614</v>
      </c>
      <c r="C48">
        <v>2011</v>
      </c>
      <c r="D48" t="s">
        <v>15</v>
      </c>
      <c r="E48" t="s">
        <v>3832</v>
      </c>
      <c r="F48" t="s">
        <v>4622</v>
      </c>
      <c r="G48" t="s">
        <v>90</v>
      </c>
      <c r="H48" s="16">
        <v>7.0000000000000007E-2</v>
      </c>
      <c r="I48" t="s">
        <v>4764</v>
      </c>
      <c r="J48" t="s">
        <v>4614</v>
      </c>
    </row>
    <row r="49" spans="1:10">
      <c r="A49" t="s">
        <v>91</v>
      </c>
      <c r="B49" s="2">
        <v>40625</v>
      </c>
      <c r="C49">
        <v>2011</v>
      </c>
      <c r="D49" t="s">
        <v>25</v>
      </c>
      <c r="E49" t="s">
        <v>3870</v>
      </c>
      <c r="F49" t="s">
        <v>4624</v>
      </c>
      <c r="G49" t="s">
        <v>3871</v>
      </c>
      <c r="H49" s="16">
        <v>0.19</v>
      </c>
      <c r="I49" t="s">
        <v>4764</v>
      </c>
      <c r="J49" t="s">
        <v>4614</v>
      </c>
    </row>
    <row r="50" spans="1:10">
      <c r="A50" t="s">
        <v>92</v>
      </c>
      <c r="B50" s="2">
        <v>40649</v>
      </c>
      <c r="C50">
        <v>2011</v>
      </c>
      <c r="D50" t="s">
        <v>12</v>
      </c>
      <c r="E50" t="s">
        <v>3862</v>
      </c>
      <c r="F50" t="s">
        <v>4623</v>
      </c>
      <c r="G50" t="s">
        <v>3872</v>
      </c>
      <c r="H50" s="16">
        <v>0.41</v>
      </c>
      <c r="I50" t="s">
        <v>4764</v>
      </c>
      <c r="J50" t="s">
        <v>4614</v>
      </c>
    </row>
    <row r="51" spans="1:10">
      <c r="A51" t="s">
        <v>93</v>
      </c>
      <c r="B51" s="2">
        <v>40649</v>
      </c>
      <c r="C51">
        <v>2011</v>
      </c>
      <c r="D51" t="s">
        <v>33</v>
      </c>
      <c r="E51" t="s">
        <v>29</v>
      </c>
      <c r="F51" t="s">
        <v>4626</v>
      </c>
      <c r="G51" t="s">
        <v>3873</v>
      </c>
      <c r="H51" s="16">
        <v>0.21</v>
      </c>
      <c r="I51" t="s">
        <v>4764</v>
      </c>
      <c r="J51" t="s">
        <v>4614</v>
      </c>
    </row>
    <row r="52" spans="1:10">
      <c r="A52" t="s">
        <v>94</v>
      </c>
      <c r="B52" s="2">
        <v>40654</v>
      </c>
      <c r="C52">
        <v>2011</v>
      </c>
      <c r="D52" t="s">
        <v>25</v>
      </c>
      <c r="E52" t="s">
        <v>3839</v>
      </c>
      <c r="F52" t="s">
        <v>4624</v>
      </c>
      <c r="G52" t="s">
        <v>95</v>
      </c>
      <c r="H52" s="16">
        <v>0.16</v>
      </c>
      <c r="I52" t="s">
        <v>4764</v>
      </c>
      <c r="J52" t="s">
        <v>4614</v>
      </c>
    </row>
    <row r="53" spans="1:10">
      <c r="A53" t="s">
        <v>96</v>
      </c>
      <c r="B53" s="2">
        <v>40655</v>
      </c>
      <c r="C53">
        <v>2011</v>
      </c>
      <c r="D53" t="s">
        <v>25</v>
      </c>
      <c r="E53" t="s">
        <v>3870</v>
      </c>
      <c r="F53" t="s">
        <v>4624</v>
      </c>
      <c r="G53" t="s">
        <v>97</v>
      </c>
      <c r="H53" s="16">
        <v>0.27</v>
      </c>
      <c r="I53" t="s">
        <v>4764</v>
      </c>
      <c r="J53" t="s">
        <v>4614</v>
      </c>
    </row>
    <row r="54" spans="1:10">
      <c r="A54" t="s">
        <v>98</v>
      </c>
      <c r="B54" s="2">
        <v>40690</v>
      </c>
      <c r="C54">
        <v>2011</v>
      </c>
      <c r="D54" t="s">
        <v>25</v>
      </c>
      <c r="E54" t="s">
        <v>3854</v>
      </c>
      <c r="F54" t="s">
        <v>4624</v>
      </c>
      <c r="G54" t="s">
        <v>99</v>
      </c>
      <c r="H54" s="16">
        <v>0.2</v>
      </c>
      <c r="I54" t="s">
        <v>4764</v>
      </c>
      <c r="J54" t="s">
        <v>4614</v>
      </c>
    </row>
    <row r="55" spans="1:10">
      <c r="A55" t="s">
        <v>100</v>
      </c>
      <c r="B55" s="2">
        <v>40695</v>
      </c>
      <c r="C55">
        <v>2011</v>
      </c>
      <c r="D55" t="s">
        <v>15</v>
      </c>
      <c r="E55" t="s">
        <v>3832</v>
      </c>
      <c r="F55" t="s">
        <v>4622</v>
      </c>
      <c r="G55" t="s">
        <v>3874</v>
      </c>
      <c r="H55" s="16">
        <v>0.43</v>
      </c>
      <c r="I55" t="s">
        <v>4764</v>
      </c>
      <c r="J55" t="s">
        <v>4614</v>
      </c>
    </row>
    <row r="56" spans="1:10">
      <c r="A56" t="s">
        <v>101</v>
      </c>
      <c r="B56" s="2">
        <v>40701</v>
      </c>
      <c r="C56">
        <v>2011</v>
      </c>
      <c r="D56" t="s">
        <v>33</v>
      </c>
      <c r="E56" t="s">
        <v>3870</v>
      </c>
      <c r="F56" t="s">
        <v>4626</v>
      </c>
      <c r="G56" t="s">
        <v>3875</v>
      </c>
      <c r="H56" s="16">
        <v>0.22</v>
      </c>
      <c r="I56" t="s">
        <v>4764</v>
      </c>
      <c r="J56" t="s">
        <v>4614</v>
      </c>
    </row>
    <row r="57" spans="1:10">
      <c r="A57" t="s">
        <v>102</v>
      </c>
      <c r="B57" s="2">
        <v>40704</v>
      </c>
      <c r="C57">
        <v>2011</v>
      </c>
      <c r="D57" t="s">
        <v>12</v>
      </c>
      <c r="E57" t="s">
        <v>3839</v>
      </c>
      <c r="F57" t="s">
        <v>4623</v>
      </c>
      <c r="G57" t="s">
        <v>3876</v>
      </c>
      <c r="H57" s="16">
        <v>0.06</v>
      </c>
      <c r="I57" t="s">
        <v>4764</v>
      </c>
      <c r="J57" t="s">
        <v>4614</v>
      </c>
    </row>
    <row r="58" spans="1:10">
      <c r="A58" t="s">
        <v>103</v>
      </c>
      <c r="B58" s="2">
        <v>40711</v>
      </c>
      <c r="C58">
        <v>2011</v>
      </c>
      <c r="D58" t="s">
        <v>21</v>
      </c>
      <c r="E58" t="s">
        <v>13</v>
      </c>
      <c r="F58" t="s">
        <v>4627</v>
      </c>
      <c r="G58" t="s">
        <v>104</v>
      </c>
      <c r="H58" s="16">
        <v>0.26</v>
      </c>
      <c r="I58" t="s">
        <v>4764</v>
      </c>
      <c r="J58" t="s">
        <v>4614</v>
      </c>
    </row>
    <row r="59" spans="1:10">
      <c r="A59" t="s">
        <v>105</v>
      </c>
      <c r="B59" s="2">
        <v>40718</v>
      </c>
      <c r="C59">
        <v>2011</v>
      </c>
      <c r="D59" t="s">
        <v>12</v>
      </c>
      <c r="E59" t="s">
        <v>45</v>
      </c>
      <c r="F59" t="s">
        <v>4623</v>
      </c>
      <c r="G59" t="s">
        <v>3877</v>
      </c>
      <c r="H59" s="16">
        <v>0.11</v>
      </c>
      <c r="I59" t="s">
        <v>4764</v>
      </c>
      <c r="J59" t="s">
        <v>4614</v>
      </c>
    </row>
    <row r="60" spans="1:10">
      <c r="A60" t="s">
        <v>106</v>
      </c>
      <c r="B60" s="2">
        <v>40734</v>
      </c>
      <c r="C60">
        <v>2011</v>
      </c>
      <c r="D60" t="s">
        <v>15</v>
      </c>
      <c r="E60" t="s">
        <v>3832</v>
      </c>
      <c r="F60" t="s">
        <v>4622</v>
      </c>
      <c r="G60" t="s">
        <v>3878</v>
      </c>
      <c r="H60" s="16">
        <v>0.99</v>
      </c>
      <c r="I60" t="s">
        <v>4764</v>
      </c>
      <c r="J60" t="s">
        <v>4614</v>
      </c>
    </row>
    <row r="61" spans="1:10">
      <c r="A61" t="s">
        <v>107</v>
      </c>
      <c r="B61" s="2">
        <v>40735</v>
      </c>
      <c r="C61">
        <v>2011</v>
      </c>
      <c r="D61" t="s">
        <v>15</v>
      </c>
      <c r="E61" t="s">
        <v>3832</v>
      </c>
      <c r="F61" t="s">
        <v>4622</v>
      </c>
      <c r="G61" t="s">
        <v>3879</v>
      </c>
      <c r="H61" s="16">
        <v>7.0000000000000007E-2</v>
      </c>
      <c r="I61" t="s">
        <v>4764</v>
      </c>
      <c r="J61" t="s">
        <v>4614</v>
      </c>
    </row>
    <row r="62" spans="1:10">
      <c r="A62" t="s">
        <v>108</v>
      </c>
      <c r="B62" s="2">
        <v>40742</v>
      </c>
      <c r="C62">
        <v>2011</v>
      </c>
      <c r="D62" t="s">
        <v>12</v>
      </c>
      <c r="E62" t="s">
        <v>3854</v>
      </c>
      <c r="F62" t="s">
        <v>4623</v>
      </c>
      <c r="G62" t="s">
        <v>109</v>
      </c>
      <c r="H62" s="16">
        <v>0.08</v>
      </c>
      <c r="I62" t="s">
        <v>4764</v>
      </c>
      <c r="J62" t="s">
        <v>4614</v>
      </c>
    </row>
    <row r="63" spans="1:10">
      <c r="A63" t="s">
        <v>110</v>
      </c>
      <c r="B63" s="2">
        <v>40744</v>
      </c>
      <c r="C63">
        <v>2011</v>
      </c>
      <c r="D63" t="s">
        <v>12</v>
      </c>
      <c r="E63" t="s">
        <v>3854</v>
      </c>
      <c r="F63" t="s">
        <v>4623</v>
      </c>
      <c r="G63" t="s">
        <v>3880</v>
      </c>
      <c r="H63" s="16">
        <v>0.13</v>
      </c>
      <c r="I63" t="s">
        <v>4764</v>
      </c>
      <c r="J63" t="s">
        <v>4614</v>
      </c>
    </row>
    <row r="64" spans="1:10">
      <c r="A64" t="s">
        <v>111</v>
      </c>
      <c r="B64" s="2">
        <v>40745</v>
      </c>
      <c r="C64">
        <v>2011</v>
      </c>
      <c r="D64" t="s">
        <v>15</v>
      </c>
      <c r="E64" t="s">
        <v>3832</v>
      </c>
      <c r="F64" t="s">
        <v>4622</v>
      </c>
      <c r="G64" t="s">
        <v>3881</v>
      </c>
      <c r="H64" s="16">
        <v>0.78</v>
      </c>
      <c r="I64" t="s">
        <v>4764</v>
      </c>
      <c r="J64" t="s">
        <v>4614</v>
      </c>
    </row>
    <row r="65" spans="1:10">
      <c r="A65" t="s">
        <v>112</v>
      </c>
      <c r="B65" s="2">
        <v>40747</v>
      </c>
      <c r="C65">
        <v>2011</v>
      </c>
      <c r="D65" t="s">
        <v>25</v>
      </c>
      <c r="E65" t="s">
        <v>49</v>
      </c>
      <c r="F65" t="s">
        <v>4624</v>
      </c>
      <c r="G65" t="s">
        <v>3882</v>
      </c>
      <c r="H65" s="16">
        <v>0.48</v>
      </c>
      <c r="I65" t="s">
        <v>4764</v>
      </c>
      <c r="J65" t="s">
        <v>4614</v>
      </c>
    </row>
    <row r="66" spans="1:10">
      <c r="A66" t="s">
        <v>113</v>
      </c>
      <c r="B66" s="2">
        <v>40748</v>
      </c>
      <c r="C66">
        <v>2011</v>
      </c>
      <c r="D66" t="s">
        <v>12</v>
      </c>
      <c r="E66" t="s">
        <v>3862</v>
      </c>
      <c r="F66" t="s">
        <v>4623</v>
      </c>
      <c r="G66" t="s">
        <v>114</v>
      </c>
      <c r="H66" s="16">
        <v>0.18</v>
      </c>
      <c r="I66" t="s">
        <v>4764</v>
      </c>
      <c r="J66" t="s">
        <v>4614</v>
      </c>
    </row>
    <row r="67" spans="1:10">
      <c r="A67" t="s">
        <v>115</v>
      </c>
      <c r="B67" s="2">
        <v>40794</v>
      </c>
      <c r="C67">
        <v>2011</v>
      </c>
      <c r="D67" t="s">
        <v>25</v>
      </c>
      <c r="E67" t="s">
        <v>49</v>
      </c>
      <c r="F67" t="s">
        <v>4624</v>
      </c>
      <c r="G67" t="s">
        <v>116</v>
      </c>
      <c r="H67" s="16">
        <v>0.05</v>
      </c>
      <c r="I67" t="s">
        <v>4764</v>
      </c>
      <c r="J67" t="s">
        <v>4614</v>
      </c>
    </row>
    <row r="68" spans="1:10">
      <c r="A68" t="s">
        <v>117</v>
      </c>
      <c r="B68" s="2">
        <v>40811</v>
      </c>
      <c r="C68">
        <v>2011</v>
      </c>
      <c r="D68" t="s">
        <v>12</v>
      </c>
      <c r="E68" t="s">
        <v>34</v>
      </c>
      <c r="F68" t="s">
        <v>4623</v>
      </c>
      <c r="G68" t="s">
        <v>3883</v>
      </c>
      <c r="H68" s="16">
        <v>0.01</v>
      </c>
      <c r="I68" t="s">
        <v>4764</v>
      </c>
      <c r="J68" t="s">
        <v>4614</v>
      </c>
    </row>
    <row r="69" spans="1:10">
      <c r="A69" t="s">
        <v>118</v>
      </c>
      <c r="B69" s="2">
        <v>40823</v>
      </c>
      <c r="C69">
        <v>2011</v>
      </c>
      <c r="D69" t="s">
        <v>12</v>
      </c>
      <c r="E69" t="s">
        <v>72</v>
      </c>
      <c r="F69" t="s">
        <v>4623</v>
      </c>
      <c r="G69" t="s">
        <v>3884</v>
      </c>
      <c r="H69" s="16">
        <v>0.06</v>
      </c>
      <c r="I69" t="s">
        <v>4764</v>
      </c>
      <c r="J69" t="s">
        <v>4614</v>
      </c>
    </row>
    <row r="70" spans="1:10">
      <c r="A70" t="s">
        <v>119</v>
      </c>
      <c r="B70" s="2">
        <v>40826</v>
      </c>
      <c r="C70">
        <v>2011</v>
      </c>
      <c r="D70" t="s">
        <v>12</v>
      </c>
      <c r="E70" t="s">
        <v>45</v>
      </c>
      <c r="F70" t="s">
        <v>4623</v>
      </c>
      <c r="G70" t="s">
        <v>3885</v>
      </c>
      <c r="H70" s="16">
        <v>0.17</v>
      </c>
      <c r="I70" t="s">
        <v>4764</v>
      </c>
      <c r="J70" t="s">
        <v>4614</v>
      </c>
    </row>
    <row r="71" spans="1:10">
      <c r="A71" t="s">
        <v>120</v>
      </c>
      <c r="B71" s="2">
        <v>40828</v>
      </c>
      <c r="C71">
        <v>2011</v>
      </c>
      <c r="D71" t="s">
        <v>25</v>
      </c>
      <c r="E71" t="s">
        <v>3854</v>
      </c>
      <c r="F71" t="s">
        <v>4624</v>
      </c>
      <c r="G71" t="s">
        <v>121</v>
      </c>
      <c r="H71" s="16">
        <v>0.25</v>
      </c>
      <c r="I71" t="s">
        <v>4764</v>
      </c>
      <c r="J71" t="s">
        <v>4614</v>
      </c>
    </row>
    <row r="72" spans="1:10">
      <c r="A72" t="s">
        <v>122</v>
      </c>
      <c r="B72" s="2">
        <v>40835</v>
      </c>
      <c r="C72">
        <v>2011</v>
      </c>
      <c r="D72" t="s">
        <v>8</v>
      </c>
      <c r="E72" t="s">
        <v>3860</v>
      </c>
      <c r="F72" t="s">
        <v>4625</v>
      </c>
      <c r="G72" t="s">
        <v>3886</v>
      </c>
      <c r="H72" s="16">
        <v>0.8</v>
      </c>
      <c r="I72" t="s">
        <v>4764</v>
      </c>
      <c r="J72" t="s">
        <v>4614</v>
      </c>
    </row>
    <row r="73" spans="1:10">
      <c r="A73" t="s">
        <v>123</v>
      </c>
      <c r="B73" s="2">
        <v>40842</v>
      </c>
      <c r="C73">
        <v>2011</v>
      </c>
      <c r="D73" t="s">
        <v>33</v>
      </c>
      <c r="E73" t="s">
        <v>45</v>
      </c>
      <c r="F73" t="s">
        <v>4626</v>
      </c>
      <c r="G73" t="s">
        <v>3887</v>
      </c>
      <c r="H73" s="16">
        <v>0.42</v>
      </c>
      <c r="I73" t="s">
        <v>4764</v>
      </c>
      <c r="J73" t="s">
        <v>4614</v>
      </c>
    </row>
    <row r="74" spans="1:10">
      <c r="A74" t="s">
        <v>124</v>
      </c>
      <c r="B74" s="2">
        <v>40858</v>
      </c>
      <c r="C74">
        <v>2011</v>
      </c>
      <c r="D74" t="s">
        <v>8</v>
      </c>
      <c r="E74" t="s">
        <v>125</v>
      </c>
      <c r="F74" t="s">
        <v>4625</v>
      </c>
      <c r="G74" t="s">
        <v>3888</v>
      </c>
      <c r="H74" s="16">
        <v>0.08</v>
      </c>
      <c r="I74" t="s">
        <v>4764</v>
      </c>
      <c r="J74" t="s">
        <v>4614</v>
      </c>
    </row>
    <row r="75" spans="1:10">
      <c r="A75" t="s">
        <v>126</v>
      </c>
      <c r="B75" s="2">
        <v>40860</v>
      </c>
      <c r="C75">
        <v>2011</v>
      </c>
      <c r="D75" t="s">
        <v>8</v>
      </c>
      <c r="E75" t="s">
        <v>3850</v>
      </c>
      <c r="F75" t="s">
        <v>4625</v>
      </c>
      <c r="G75" t="s">
        <v>3889</v>
      </c>
      <c r="H75" s="16">
        <v>18.100000000000001</v>
      </c>
      <c r="I75" t="s">
        <v>4763</v>
      </c>
      <c r="J75" t="s">
        <v>4614</v>
      </c>
    </row>
    <row r="76" spans="1:10">
      <c r="A76" t="s">
        <v>127</v>
      </c>
      <c r="B76" s="2">
        <v>40865</v>
      </c>
      <c r="C76">
        <v>2011</v>
      </c>
      <c r="D76" t="s">
        <v>12</v>
      </c>
      <c r="E76" t="s">
        <v>45</v>
      </c>
      <c r="F76" t="s">
        <v>4623</v>
      </c>
      <c r="G76" t="s">
        <v>128</v>
      </c>
      <c r="H76" s="16">
        <v>0.13</v>
      </c>
      <c r="I76" t="s">
        <v>4764</v>
      </c>
      <c r="J76" t="s">
        <v>4614</v>
      </c>
    </row>
    <row r="77" spans="1:10">
      <c r="A77" t="s">
        <v>129</v>
      </c>
      <c r="B77" s="2">
        <v>40870</v>
      </c>
      <c r="C77">
        <v>2011</v>
      </c>
      <c r="D77" t="s">
        <v>8</v>
      </c>
      <c r="E77" t="s">
        <v>130</v>
      </c>
      <c r="F77" t="s">
        <v>4625</v>
      </c>
      <c r="G77" t="s">
        <v>3890</v>
      </c>
      <c r="H77" s="16">
        <v>0.08</v>
      </c>
      <c r="I77" t="s">
        <v>4764</v>
      </c>
      <c r="J77" t="s">
        <v>4614</v>
      </c>
    </row>
    <row r="78" spans="1:10">
      <c r="A78" t="s">
        <v>131</v>
      </c>
      <c r="B78" s="2">
        <v>40886</v>
      </c>
      <c r="C78">
        <v>2011</v>
      </c>
      <c r="D78" t="s">
        <v>8</v>
      </c>
      <c r="E78" t="s">
        <v>31</v>
      </c>
      <c r="F78" t="s">
        <v>4625</v>
      </c>
      <c r="G78" t="s">
        <v>3891</v>
      </c>
      <c r="H78" s="16">
        <v>1.19</v>
      </c>
      <c r="I78" t="s">
        <v>4764</v>
      </c>
      <c r="J78" t="s">
        <v>4614</v>
      </c>
    </row>
    <row r="79" spans="1:10">
      <c r="A79" t="s">
        <v>132</v>
      </c>
      <c r="B79" s="2">
        <v>40888</v>
      </c>
      <c r="C79">
        <v>2011</v>
      </c>
      <c r="D79" t="s">
        <v>33</v>
      </c>
      <c r="E79" t="s">
        <v>72</v>
      </c>
      <c r="F79" t="s">
        <v>4626</v>
      </c>
      <c r="G79" t="s">
        <v>3892</v>
      </c>
      <c r="H79" s="16">
        <v>0.45</v>
      </c>
      <c r="I79" t="s">
        <v>4764</v>
      </c>
      <c r="J79" t="s">
        <v>4614</v>
      </c>
    </row>
    <row r="80" spans="1:10">
      <c r="A80" t="s">
        <v>133</v>
      </c>
      <c r="B80" s="2">
        <v>40897</v>
      </c>
      <c r="C80">
        <v>2011</v>
      </c>
      <c r="D80" t="s">
        <v>15</v>
      </c>
      <c r="E80" t="s">
        <v>3832</v>
      </c>
      <c r="F80" t="s">
        <v>4622</v>
      </c>
      <c r="G80" t="s">
        <v>3893</v>
      </c>
      <c r="H80" s="16">
        <v>0.38</v>
      </c>
      <c r="I80" t="s">
        <v>4764</v>
      </c>
      <c r="J80" t="s">
        <v>4614</v>
      </c>
    </row>
    <row r="81" spans="1:10">
      <c r="A81" t="s">
        <v>134</v>
      </c>
      <c r="B81" s="2">
        <v>40900</v>
      </c>
      <c r="C81">
        <v>2011</v>
      </c>
      <c r="D81" t="s">
        <v>33</v>
      </c>
      <c r="E81" t="s">
        <v>19</v>
      </c>
      <c r="F81" t="s">
        <v>4626</v>
      </c>
      <c r="G81" t="s">
        <v>3894</v>
      </c>
      <c r="H81" s="16">
        <v>0.21</v>
      </c>
      <c r="I81" t="s">
        <v>4764</v>
      </c>
      <c r="J81" t="s">
        <v>4614</v>
      </c>
    </row>
    <row r="82" spans="1:10">
      <c r="A82" t="s">
        <v>135</v>
      </c>
      <c r="B82" s="2">
        <v>40904</v>
      </c>
      <c r="C82">
        <v>2011</v>
      </c>
      <c r="D82" t="s">
        <v>8</v>
      </c>
      <c r="E82" t="s">
        <v>125</v>
      </c>
      <c r="F82" t="s">
        <v>4625</v>
      </c>
      <c r="G82" t="s">
        <v>3895</v>
      </c>
      <c r="H82" s="16">
        <v>0.56999999999999995</v>
      </c>
      <c r="I82" t="s">
        <v>4764</v>
      </c>
      <c r="J82" t="s">
        <v>4614</v>
      </c>
    </row>
    <row r="83" spans="1:10">
      <c r="A83" t="s">
        <v>136</v>
      </c>
      <c r="B83" s="2">
        <v>40911</v>
      </c>
      <c r="C83">
        <v>2012</v>
      </c>
      <c r="D83" t="s">
        <v>12</v>
      </c>
      <c r="E83" t="s">
        <v>3870</v>
      </c>
      <c r="F83" t="s">
        <v>4628</v>
      </c>
      <c r="G83" t="s">
        <v>3896</v>
      </c>
      <c r="H83" s="16">
        <v>0.05</v>
      </c>
      <c r="I83" t="s">
        <v>4764</v>
      </c>
      <c r="J83" t="s">
        <v>4614</v>
      </c>
    </row>
    <row r="84" spans="1:10">
      <c r="A84" t="s">
        <v>137</v>
      </c>
      <c r="B84" s="2">
        <v>40911</v>
      </c>
      <c r="C84">
        <v>2012</v>
      </c>
      <c r="D84" t="s">
        <v>8</v>
      </c>
      <c r="E84" t="s">
        <v>53</v>
      </c>
      <c r="F84" t="s">
        <v>4629</v>
      </c>
      <c r="G84" t="s">
        <v>3897</v>
      </c>
      <c r="H84" s="16">
        <v>0.5</v>
      </c>
      <c r="I84" t="s">
        <v>4764</v>
      </c>
      <c r="J84" t="s">
        <v>4614</v>
      </c>
    </row>
    <row r="85" spans="1:10">
      <c r="A85" t="s">
        <v>138</v>
      </c>
      <c r="B85" s="2">
        <v>40923</v>
      </c>
      <c r="C85">
        <v>2012</v>
      </c>
      <c r="D85" t="s">
        <v>25</v>
      </c>
      <c r="E85" t="s">
        <v>34</v>
      </c>
      <c r="F85" t="s">
        <v>4630</v>
      </c>
      <c r="G85" t="s">
        <v>139</v>
      </c>
      <c r="H85" s="16">
        <v>0.06</v>
      </c>
      <c r="I85" t="s">
        <v>4764</v>
      </c>
      <c r="J85" t="s">
        <v>4614</v>
      </c>
    </row>
    <row r="86" spans="1:10">
      <c r="A86" t="s">
        <v>140</v>
      </c>
      <c r="B86" s="2">
        <v>40924</v>
      </c>
      <c r="C86">
        <v>2012</v>
      </c>
      <c r="D86" t="s">
        <v>25</v>
      </c>
      <c r="E86" t="s">
        <v>13</v>
      </c>
      <c r="F86" t="s">
        <v>4630</v>
      </c>
      <c r="G86" t="s">
        <v>3898</v>
      </c>
      <c r="H86" s="16">
        <v>0.28000000000000003</v>
      </c>
      <c r="I86" t="s">
        <v>4764</v>
      </c>
      <c r="J86" t="s">
        <v>4614</v>
      </c>
    </row>
    <row r="87" spans="1:10">
      <c r="A87" t="s">
        <v>141</v>
      </c>
      <c r="B87" s="2">
        <v>40925</v>
      </c>
      <c r="C87">
        <v>2012</v>
      </c>
      <c r="D87" t="s">
        <v>25</v>
      </c>
      <c r="E87" t="s">
        <v>13</v>
      </c>
      <c r="F87" t="s">
        <v>4630</v>
      </c>
      <c r="G87" t="s">
        <v>3899</v>
      </c>
      <c r="H87" s="16">
        <v>0.11</v>
      </c>
      <c r="I87" t="s">
        <v>4764</v>
      </c>
      <c r="J87" t="s">
        <v>4614</v>
      </c>
    </row>
    <row r="88" spans="1:10">
      <c r="A88" t="s">
        <v>142</v>
      </c>
      <c r="B88" s="2">
        <v>40929</v>
      </c>
      <c r="C88">
        <v>2012</v>
      </c>
      <c r="D88" t="s">
        <v>12</v>
      </c>
      <c r="E88" t="s">
        <v>3854</v>
      </c>
      <c r="F88" t="s">
        <v>4628</v>
      </c>
      <c r="G88" t="s">
        <v>3900</v>
      </c>
      <c r="H88" s="16">
        <v>0</v>
      </c>
      <c r="I88" t="s">
        <v>4764</v>
      </c>
      <c r="J88" t="s">
        <v>4614</v>
      </c>
    </row>
    <row r="89" spans="1:10">
      <c r="A89" t="s">
        <v>143</v>
      </c>
      <c r="B89" s="2">
        <v>40930</v>
      </c>
      <c r="C89">
        <v>2012</v>
      </c>
      <c r="D89" t="s">
        <v>15</v>
      </c>
      <c r="E89" t="s">
        <v>3832</v>
      </c>
      <c r="F89" t="s">
        <v>4631</v>
      </c>
      <c r="G89" t="s">
        <v>3901</v>
      </c>
      <c r="H89" s="16">
        <v>0.23</v>
      </c>
      <c r="I89" t="s">
        <v>4764</v>
      </c>
      <c r="J89" t="s">
        <v>4614</v>
      </c>
    </row>
    <row r="90" spans="1:10">
      <c r="A90" t="s">
        <v>144</v>
      </c>
      <c r="B90" s="2">
        <v>40948</v>
      </c>
      <c r="C90">
        <v>2012</v>
      </c>
      <c r="D90" t="s">
        <v>25</v>
      </c>
      <c r="E90" t="s">
        <v>49</v>
      </c>
      <c r="F90" t="s">
        <v>4630</v>
      </c>
      <c r="G90" t="s">
        <v>3902</v>
      </c>
      <c r="H90" s="16">
        <v>0.49</v>
      </c>
      <c r="I90" t="s">
        <v>4764</v>
      </c>
      <c r="J90" t="s">
        <v>4614</v>
      </c>
    </row>
    <row r="91" spans="1:10">
      <c r="A91" t="s">
        <v>145</v>
      </c>
      <c r="B91" s="2">
        <v>40957</v>
      </c>
      <c r="C91">
        <v>2012</v>
      </c>
      <c r="D91" t="s">
        <v>8</v>
      </c>
      <c r="E91" t="s">
        <v>3903</v>
      </c>
      <c r="F91" t="s">
        <v>4629</v>
      </c>
      <c r="G91" t="s">
        <v>3904</v>
      </c>
      <c r="H91" s="16">
        <v>1.46</v>
      </c>
      <c r="I91" t="s">
        <v>4764</v>
      </c>
      <c r="J91" t="s">
        <v>4614</v>
      </c>
    </row>
    <row r="92" spans="1:10">
      <c r="A92" t="s">
        <v>147</v>
      </c>
      <c r="B92" s="2">
        <v>40965</v>
      </c>
      <c r="C92">
        <v>2012</v>
      </c>
      <c r="D92" t="s">
        <v>21</v>
      </c>
      <c r="E92" t="s">
        <v>3839</v>
      </c>
      <c r="F92" t="s">
        <v>4632</v>
      </c>
      <c r="G92" t="s">
        <v>3905</v>
      </c>
      <c r="H92" s="16">
        <v>0.31</v>
      </c>
      <c r="I92" t="s">
        <v>4764</v>
      </c>
      <c r="J92" t="s">
        <v>4614</v>
      </c>
    </row>
    <row r="93" spans="1:10">
      <c r="A93" t="s">
        <v>148</v>
      </c>
      <c r="B93" s="2">
        <v>40973</v>
      </c>
      <c r="C93">
        <v>2012</v>
      </c>
      <c r="D93" t="s">
        <v>12</v>
      </c>
      <c r="E93" t="s">
        <v>49</v>
      </c>
      <c r="F93" t="s">
        <v>4628</v>
      </c>
      <c r="G93" t="s">
        <v>3906</v>
      </c>
      <c r="H93" s="16">
        <v>0.12</v>
      </c>
      <c r="I93" t="s">
        <v>4764</v>
      </c>
      <c r="J93" t="s">
        <v>4614</v>
      </c>
    </row>
    <row r="94" spans="1:10">
      <c r="A94" t="s">
        <v>149</v>
      </c>
      <c r="B94" s="2">
        <v>40975</v>
      </c>
      <c r="C94">
        <v>2012</v>
      </c>
      <c r="D94" t="s">
        <v>15</v>
      </c>
      <c r="E94" t="s">
        <v>3832</v>
      </c>
      <c r="F94" t="s">
        <v>4631</v>
      </c>
      <c r="G94" t="s">
        <v>150</v>
      </c>
      <c r="H94" s="16">
        <v>0.23</v>
      </c>
      <c r="I94" t="s">
        <v>4764</v>
      </c>
      <c r="J94" t="s">
        <v>4614</v>
      </c>
    </row>
    <row r="95" spans="1:10">
      <c r="A95" t="s">
        <v>151</v>
      </c>
      <c r="B95" s="2">
        <v>40977</v>
      </c>
      <c r="C95">
        <v>2012</v>
      </c>
      <c r="D95" t="s">
        <v>8</v>
      </c>
      <c r="E95" t="s">
        <v>23</v>
      </c>
      <c r="F95" t="s">
        <v>4629</v>
      </c>
      <c r="G95" t="s">
        <v>3907</v>
      </c>
      <c r="H95" s="16">
        <v>0.63</v>
      </c>
      <c r="I95" t="s">
        <v>4764</v>
      </c>
      <c r="J95" t="s">
        <v>4614</v>
      </c>
    </row>
    <row r="96" spans="1:10">
      <c r="A96" t="s">
        <v>152</v>
      </c>
      <c r="B96" s="2">
        <v>40978</v>
      </c>
      <c r="C96">
        <v>2012</v>
      </c>
      <c r="D96" t="s">
        <v>25</v>
      </c>
      <c r="E96" t="s">
        <v>3870</v>
      </c>
      <c r="F96" t="s">
        <v>4630</v>
      </c>
      <c r="G96" t="s">
        <v>3908</v>
      </c>
      <c r="H96" s="16">
        <v>0.21</v>
      </c>
      <c r="I96" t="s">
        <v>4764</v>
      </c>
      <c r="J96" t="s">
        <v>4614</v>
      </c>
    </row>
    <row r="97" spans="1:10">
      <c r="A97" t="s">
        <v>153</v>
      </c>
      <c r="B97" s="2">
        <v>40979</v>
      </c>
      <c r="C97">
        <v>2012</v>
      </c>
      <c r="D97" t="s">
        <v>25</v>
      </c>
      <c r="E97" t="s">
        <v>13</v>
      </c>
      <c r="F97" t="s">
        <v>4630</v>
      </c>
      <c r="G97" t="s">
        <v>3909</v>
      </c>
      <c r="H97" s="16">
        <v>0.25</v>
      </c>
      <c r="I97" t="s">
        <v>4764</v>
      </c>
      <c r="J97" t="s">
        <v>4614</v>
      </c>
    </row>
    <row r="98" spans="1:10">
      <c r="A98" t="s">
        <v>154</v>
      </c>
      <c r="B98" s="2">
        <v>40995</v>
      </c>
      <c r="C98">
        <v>2012</v>
      </c>
      <c r="D98" t="s">
        <v>25</v>
      </c>
      <c r="E98" t="s">
        <v>3836</v>
      </c>
      <c r="F98" t="s">
        <v>4630</v>
      </c>
      <c r="G98" t="s">
        <v>155</v>
      </c>
      <c r="H98" s="16">
        <v>0.23</v>
      </c>
      <c r="I98" t="s">
        <v>4764</v>
      </c>
      <c r="J98" t="s">
        <v>4614</v>
      </c>
    </row>
    <row r="99" spans="1:10">
      <c r="A99" t="s">
        <v>156</v>
      </c>
      <c r="B99" s="2">
        <v>40995</v>
      </c>
      <c r="C99">
        <v>2012</v>
      </c>
      <c r="D99" t="s">
        <v>15</v>
      </c>
      <c r="E99" t="s">
        <v>3832</v>
      </c>
      <c r="F99" t="s">
        <v>4631</v>
      </c>
      <c r="G99" t="s">
        <v>3910</v>
      </c>
      <c r="H99" s="16">
        <v>1.58</v>
      </c>
      <c r="I99" t="s">
        <v>4764</v>
      </c>
      <c r="J99" t="s">
        <v>4614</v>
      </c>
    </row>
    <row r="100" spans="1:10">
      <c r="A100" t="s">
        <v>157</v>
      </c>
      <c r="B100" s="2">
        <v>41006</v>
      </c>
      <c r="C100">
        <v>2012</v>
      </c>
      <c r="D100" t="s">
        <v>21</v>
      </c>
      <c r="E100" t="s">
        <v>34</v>
      </c>
      <c r="F100" t="s">
        <v>4632</v>
      </c>
      <c r="G100" t="s">
        <v>3911</v>
      </c>
      <c r="H100" s="16">
        <v>0.1</v>
      </c>
      <c r="I100" t="s">
        <v>4764</v>
      </c>
      <c r="J100" t="s">
        <v>4614</v>
      </c>
    </row>
    <row r="101" spans="1:10">
      <c r="A101" t="s">
        <v>158</v>
      </c>
      <c r="B101" s="2">
        <v>41016</v>
      </c>
      <c r="C101">
        <v>2012</v>
      </c>
      <c r="D101" t="s">
        <v>25</v>
      </c>
      <c r="E101" t="s">
        <v>19</v>
      </c>
      <c r="F101" t="s">
        <v>4630</v>
      </c>
      <c r="G101" t="s">
        <v>3837</v>
      </c>
      <c r="H101" s="16">
        <v>0.08</v>
      </c>
      <c r="I101" t="s">
        <v>4764</v>
      </c>
      <c r="J101" t="s">
        <v>4614</v>
      </c>
    </row>
    <row r="102" spans="1:10">
      <c r="A102" t="s">
        <v>159</v>
      </c>
      <c r="B102" s="2">
        <v>41016</v>
      </c>
      <c r="C102">
        <v>2012</v>
      </c>
      <c r="D102" t="s">
        <v>12</v>
      </c>
      <c r="E102" t="s">
        <v>72</v>
      </c>
      <c r="F102" t="s">
        <v>4628</v>
      </c>
      <c r="G102" t="s">
        <v>3912</v>
      </c>
      <c r="H102" s="16">
        <v>0.67</v>
      </c>
      <c r="I102" t="s">
        <v>4764</v>
      </c>
      <c r="J102" t="s">
        <v>4614</v>
      </c>
    </row>
    <row r="103" spans="1:10">
      <c r="A103" t="s">
        <v>160</v>
      </c>
      <c r="B103" s="2">
        <v>41032</v>
      </c>
      <c r="C103">
        <v>2012</v>
      </c>
      <c r="D103" t="s">
        <v>25</v>
      </c>
      <c r="E103" t="s">
        <v>19</v>
      </c>
      <c r="F103" t="s">
        <v>4630</v>
      </c>
      <c r="G103" t="s">
        <v>3907</v>
      </c>
      <c r="H103" s="16">
        <v>0.04</v>
      </c>
      <c r="I103" t="s">
        <v>4764</v>
      </c>
      <c r="J103" t="s">
        <v>4614</v>
      </c>
    </row>
    <row r="104" spans="1:10">
      <c r="A104" t="s">
        <v>161</v>
      </c>
      <c r="B104" s="2">
        <v>41041</v>
      </c>
      <c r="C104">
        <v>2012</v>
      </c>
      <c r="D104" t="s">
        <v>12</v>
      </c>
      <c r="E104" t="s">
        <v>49</v>
      </c>
      <c r="F104" t="s">
        <v>4628</v>
      </c>
      <c r="G104" t="s">
        <v>3913</v>
      </c>
      <c r="H104" s="16">
        <v>0.49</v>
      </c>
      <c r="I104" t="s">
        <v>4764</v>
      </c>
      <c r="J104" t="s">
        <v>4614</v>
      </c>
    </row>
    <row r="105" spans="1:10">
      <c r="A105" t="s">
        <v>162</v>
      </c>
      <c r="B105" s="2">
        <v>41043</v>
      </c>
      <c r="C105">
        <v>2012</v>
      </c>
      <c r="D105" t="s">
        <v>25</v>
      </c>
      <c r="E105" t="s">
        <v>3862</v>
      </c>
      <c r="F105" t="s">
        <v>4630</v>
      </c>
      <c r="G105" t="s">
        <v>3914</v>
      </c>
      <c r="H105" s="16">
        <v>0.1</v>
      </c>
      <c r="I105" t="s">
        <v>4764</v>
      </c>
      <c r="J105" t="s">
        <v>4614</v>
      </c>
    </row>
    <row r="106" spans="1:10">
      <c r="A106" t="s">
        <v>163</v>
      </c>
      <c r="B106" s="2">
        <v>41046</v>
      </c>
      <c r="C106">
        <v>2012</v>
      </c>
      <c r="D106" t="s">
        <v>33</v>
      </c>
      <c r="E106" t="s">
        <v>3862</v>
      </c>
      <c r="F106" t="s">
        <v>4633</v>
      </c>
      <c r="G106" t="s">
        <v>3915</v>
      </c>
      <c r="H106" s="16">
        <v>0.4</v>
      </c>
      <c r="I106" t="s">
        <v>4764</v>
      </c>
      <c r="J106" t="s">
        <v>4614</v>
      </c>
    </row>
    <row r="107" spans="1:10">
      <c r="A107" t="s">
        <v>164</v>
      </c>
      <c r="B107" s="2">
        <v>41046</v>
      </c>
      <c r="C107">
        <v>2012</v>
      </c>
      <c r="D107" t="s">
        <v>33</v>
      </c>
      <c r="E107" t="s">
        <v>3862</v>
      </c>
      <c r="F107" t="s">
        <v>4633</v>
      </c>
      <c r="G107" t="s">
        <v>3916</v>
      </c>
      <c r="H107" s="16">
        <v>0.08</v>
      </c>
      <c r="I107" t="s">
        <v>4764</v>
      </c>
      <c r="J107" t="s">
        <v>4614</v>
      </c>
    </row>
    <row r="108" spans="1:10">
      <c r="A108" t="s">
        <v>165</v>
      </c>
      <c r="B108" s="2">
        <v>41046</v>
      </c>
      <c r="C108">
        <v>2012</v>
      </c>
      <c r="D108" t="s">
        <v>25</v>
      </c>
      <c r="E108" t="s">
        <v>3870</v>
      </c>
      <c r="F108" t="s">
        <v>4630</v>
      </c>
      <c r="G108" t="s">
        <v>3917</v>
      </c>
      <c r="H108" s="16">
        <v>0.06</v>
      </c>
      <c r="I108" t="s">
        <v>4764</v>
      </c>
      <c r="J108" t="s">
        <v>4614</v>
      </c>
    </row>
    <row r="109" spans="1:10">
      <c r="A109" t="s">
        <v>166</v>
      </c>
      <c r="B109" s="2">
        <v>41051</v>
      </c>
      <c r="C109">
        <v>2012</v>
      </c>
      <c r="D109" t="s">
        <v>12</v>
      </c>
      <c r="E109" t="s">
        <v>13</v>
      </c>
      <c r="F109" t="s">
        <v>4628</v>
      </c>
      <c r="G109" t="s">
        <v>167</v>
      </c>
      <c r="H109" s="16">
        <v>0.52</v>
      </c>
      <c r="I109" t="s">
        <v>4764</v>
      </c>
      <c r="J109" t="s">
        <v>4614</v>
      </c>
    </row>
    <row r="110" spans="1:10">
      <c r="A110" t="s">
        <v>168</v>
      </c>
      <c r="B110" s="2">
        <v>41053</v>
      </c>
      <c r="C110">
        <v>2012</v>
      </c>
      <c r="D110" t="s">
        <v>21</v>
      </c>
      <c r="E110" t="s">
        <v>29</v>
      </c>
      <c r="F110" t="s">
        <v>4632</v>
      </c>
      <c r="G110" t="s">
        <v>3918</v>
      </c>
      <c r="H110" s="16">
        <v>0.65</v>
      </c>
      <c r="I110" t="s">
        <v>4764</v>
      </c>
      <c r="J110" t="s">
        <v>4614</v>
      </c>
    </row>
    <row r="111" spans="1:10">
      <c r="A111" t="s">
        <v>169</v>
      </c>
      <c r="B111" s="2">
        <v>41064</v>
      </c>
      <c r="C111">
        <v>2012</v>
      </c>
      <c r="D111" t="s">
        <v>15</v>
      </c>
      <c r="E111" t="s">
        <v>3832</v>
      </c>
      <c r="F111" t="s">
        <v>4631</v>
      </c>
      <c r="G111" t="s">
        <v>3919</v>
      </c>
      <c r="H111" s="16">
        <v>0.2</v>
      </c>
      <c r="I111" t="s">
        <v>4764</v>
      </c>
      <c r="J111" t="s">
        <v>4614</v>
      </c>
    </row>
    <row r="112" spans="1:10">
      <c r="A112" t="s">
        <v>170</v>
      </c>
      <c r="B112" s="2">
        <v>41086</v>
      </c>
      <c r="C112">
        <v>2012</v>
      </c>
      <c r="D112" t="s">
        <v>25</v>
      </c>
      <c r="E112" t="s">
        <v>3854</v>
      </c>
      <c r="F112" t="s">
        <v>4630</v>
      </c>
      <c r="G112" t="s">
        <v>3920</v>
      </c>
      <c r="H112" s="16">
        <v>0.03</v>
      </c>
      <c r="I112" t="s">
        <v>4764</v>
      </c>
      <c r="J112" t="s">
        <v>4614</v>
      </c>
    </row>
    <row r="113" spans="1:10">
      <c r="A113" t="s">
        <v>171</v>
      </c>
      <c r="B113" s="2">
        <v>41098</v>
      </c>
      <c r="C113">
        <v>2012</v>
      </c>
      <c r="D113" t="s">
        <v>15</v>
      </c>
      <c r="E113" t="s">
        <v>3832</v>
      </c>
      <c r="F113" t="s">
        <v>4631</v>
      </c>
      <c r="G113" t="s">
        <v>172</v>
      </c>
      <c r="H113" s="16">
        <v>0.18</v>
      </c>
      <c r="I113" t="s">
        <v>4764</v>
      </c>
      <c r="J113" t="s">
        <v>4614</v>
      </c>
    </row>
    <row r="114" spans="1:10">
      <c r="A114" t="s">
        <v>173</v>
      </c>
      <c r="B114" s="2">
        <v>41117</v>
      </c>
      <c r="C114">
        <v>2012</v>
      </c>
      <c r="D114" t="s">
        <v>25</v>
      </c>
      <c r="E114" t="s">
        <v>3839</v>
      </c>
      <c r="F114" t="s">
        <v>4630</v>
      </c>
      <c r="G114" t="s">
        <v>3921</v>
      </c>
      <c r="H114" s="16">
        <v>7.0000000000000007E-2</v>
      </c>
      <c r="I114" t="s">
        <v>4764</v>
      </c>
      <c r="J114" t="s">
        <v>4614</v>
      </c>
    </row>
    <row r="115" spans="1:10">
      <c r="A115" t="s">
        <v>174</v>
      </c>
      <c r="B115" s="2">
        <v>41124</v>
      </c>
      <c r="C115">
        <v>2012</v>
      </c>
      <c r="D115" t="s">
        <v>25</v>
      </c>
      <c r="E115" t="s">
        <v>19</v>
      </c>
      <c r="F115" t="s">
        <v>4630</v>
      </c>
      <c r="G115" t="s">
        <v>175</v>
      </c>
      <c r="H115" s="16">
        <v>0.08</v>
      </c>
      <c r="I115" t="s">
        <v>4764</v>
      </c>
      <c r="J115" t="s">
        <v>4614</v>
      </c>
    </row>
    <row r="116" spans="1:10">
      <c r="A116" t="s">
        <v>176</v>
      </c>
      <c r="B116" s="2">
        <v>41134</v>
      </c>
      <c r="C116">
        <v>2012</v>
      </c>
      <c r="D116" t="s">
        <v>8</v>
      </c>
      <c r="E116" t="s">
        <v>9</v>
      </c>
      <c r="F116" t="s">
        <v>4629</v>
      </c>
      <c r="G116" t="s">
        <v>3922</v>
      </c>
      <c r="H116" s="16">
        <v>0.03</v>
      </c>
      <c r="I116" t="s">
        <v>4764</v>
      </c>
      <c r="J116" t="s">
        <v>4614</v>
      </c>
    </row>
    <row r="117" spans="1:10">
      <c r="A117" t="s">
        <v>177</v>
      </c>
      <c r="B117" s="2">
        <v>41137</v>
      </c>
      <c r="C117">
        <v>2012</v>
      </c>
      <c r="D117" t="s">
        <v>33</v>
      </c>
      <c r="E117" t="s">
        <v>29</v>
      </c>
      <c r="F117" t="s">
        <v>4633</v>
      </c>
      <c r="G117" t="s">
        <v>178</v>
      </c>
      <c r="H117" s="16">
        <v>0.12</v>
      </c>
      <c r="I117" t="s">
        <v>4764</v>
      </c>
      <c r="J117" t="s">
        <v>4614</v>
      </c>
    </row>
    <row r="118" spans="1:10">
      <c r="A118" t="s">
        <v>179</v>
      </c>
      <c r="B118" s="2">
        <v>41161</v>
      </c>
      <c r="C118">
        <v>2012</v>
      </c>
      <c r="D118" t="s">
        <v>15</v>
      </c>
      <c r="E118" t="s">
        <v>3832</v>
      </c>
      <c r="F118" t="s">
        <v>4631</v>
      </c>
      <c r="G118" t="s">
        <v>180</v>
      </c>
      <c r="H118" s="16">
        <v>0.45</v>
      </c>
      <c r="I118" t="s">
        <v>4764</v>
      </c>
      <c r="J118" t="s">
        <v>4614</v>
      </c>
    </row>
    <row r="119" spans="1:10">
      <c r="A119" t="s">
        <v>181</v>
      </c>
      <c r="B119" s="2">
        <v>41186</v>
      </c>
      <c r="C119">
        <v>2012</v>
      </c>
      <c r="D119" t="s">
        <v>25</v>
      </c>
      <c r="E119" t="s">
        <v>49</v>
      </c>
      <c r="F119" t="s">
        <v>4630</v>
      </c>
      <c r="G119" t="s">
        <v>3923</v>
      </c>
      <c r="H119" s="16">
        <v>0.03</v>
      </c>
      <c r="I119" t="s">
        <v>4764</v>
      </c>
      <c r="J119" t="s">
        <v>4614</v>
      </c>
    </row>
    <row r="120" spans="1:10">
      <c r="A120" t="s">
        <v>182</v>
      </c>
      <c r="B120" s="2">
        <v>41189</v>
      </c>
      <c r="C120">
        <v>2012</v>
      </c>
      <c r="D120" t="s">
        <v>25</v>
      </c>
      <c r="E120" t="s">
        <v>13</v>
      </c>
      <c r="F120" t="s">
        <v>4630</v>
      </c>
      <c r="G120" t="s">
        <v>183</v>
      </c>
      <c r="H120" s="16">
        <v>1.1200000000000001</v>
      </c>
      <c r="I120" t="s">
        <v>4764</v>
      </c>
      <c r="J120" t="s">
        <v>4614</v>
      </c>
    </row>
    <row r="121" spans="1:10">
      <c r="A121" t="s">
        <v>184</v>
      </c>
      <c r="B121" s="2">
        <v>41197</v>
      </c>
      <c r="C121">
        <v>2012</v>
      </c>
      <c r="D121" t="s">
        <v>21</v>
      </c>
      <c r="E121" t="s">
        <v>3839</v>
      </c>
      <c r="F121" t="s">
        <v>4632</v>
      </c>
      <c r="G121" t="s">
        <v>3924</v>
      </c>
      <c r="H121" s="16">
        <v>0.14000000000000001</v>
      </c>
      <c r="I121" t="s">
        <v>4764</v>
      </c>
      <c r="J121" t="s">
        <v>4614</v>
      </c>
    </row>
    <row r="122" spans="1:10">
      <c r="A122" t="s">
        <v>185</v>
      </c>
      <c r="B122" s="2">
        <v>41217</v>
      </c>
      <c r="C122">
        <v>2012</v>
      </c>
      <c r="D122" t="s">
        <v>12</v>
      </c>
      <c r="E122" t="s">
        <v>72</v>
      </c>
      <c r="F122" t="s">
        <v>4628</v>
      </c>
      <c r="G122" t="s">
        <v>3925</v>
      </c>
      <c r="H122" s="16">
        <v>0.17</v>
      </c>
      <c r="I122" t="s">
        <v>4764</v>
      </c>
      <c r="J122" t="s">
        <v>4614</v>
      </c>
    </row>
    <row r="123" spans="1:10">
      <c r="A123" t="s">
        <v>186</v>
      </c>
      <c r="B123" s="2">
        <v>41220</v>
      </c>
      <c r="C123">
        <v>2012</v>
      </c>
      <c r="D123" t="s">
        <v>25</v>
      </c>
      <c r="E123" t="s">
        <v>13</v>
      </c>
      <c r="F123" t="s">
        <v>4630</v>
      </c>
      <c r="G123" t="s">
        <v>3926</v>
      </c>
      <c r="H123" s="16">
        <v>0.04</v>
      </c>
      <c r="I123" t="s">
        <v>4764</v>
      </c>
      <c r="J123" t="s">
        <v>4614</v>
      </c>
    </row>
    <row r="124" spans="1:10">
      <c r="A124" t="s">
        <v>187</v>
      </c>
      <c r="B124" s="2">
        <v>41222</v>
      </c>
      <c r="C124">
        <v>2012</v>
      </c>
      <c r="D124" t="s">
        <v>12</v>
      </c>
      <c r="E124" t="s">
        <v>3862</v>
      </c>
      <c r="F124" t="s">
        <v>4628</v>
      </c>
      <c r="G124" t="s">
        <v>3927</v>
      </c>
      <c r="H124" s="16">
        <v>0.2</v>
      </c>
      <c r="I124" t="s">
        <v>4764</v>
      </c>
      <c r="J124" t="s">
        <v>4614</v>
      </c>
    </row>
    <row r="125" spans="1:10">
      <c r="A125" t="s">
        <v>188</v>
      </c>
      <c r="B125" s="2">
        <v>41232</v>
      </c>
      <c r="C125">
        <v>2012</v>
      </c>
      <c r="D125" t="s">
        <v>25</v>
      </c>
      <c r="E125" t="s">
        <v>72</v>
      </c>
      <c r="F125" t="s">
        <v>4630</v>
      </c>
      <c r="G125" t="s">
        <v>3928</v>
      </c>
      <c r="H125" s="16">
        <v>0.12</v>
      </c>
      <c r="I125" t="s">
        <v>4764</v>
      </c>
      <c r="J125" t="s">
        <v>4614</v>
      </c>
    </row>
    <row r="126" spans="1:10">
      <c r="A126" t="s">
        <v>189</v>
      </c>
      <c r="B126" s="2">
        <v>41236</v>
      </c>
      <c r="C126">
        <v>2012</v>
      </c>
      <c r="D126" t="s">
        <v>25</v>
      </c>
      <c r="E126" t="s">
        <v>13</v>
      </c>
      <c r="F126" t="s">
        <v>4630</v>
      </c>
      <c r="G126" t="s">
        <v>190</v>
      </c>
      <c r="H126" s="16">
        <v>0.08</v>
      </c>
      <c r="I126" t="s">
        <v>4764</v>
      </c>
      <c r="J126" t="s">
        <v>4614</v>
      </c>
    </row>
    <row r="127" spans="1:10">
      <c r="A127" t="s">
        <v>191</v>
      </c>
      <c r="B127" s="2">
        <v>41247</v>
      </c>
      <c r="C127">
        <v>2012</v>
      </c>
      <c r="D127" t="s">
        <v>8</v>
      </c>
      <c r="E127" t="s">
        <v>23</v>
      </c>
      <c r="F127" t="s">
        <v>4629</v>
      </c>
      <c r="G127" t="s">
        <v>192</v>
      </c>
      <c r="H127" s="16">
        <v>50</v>
      </c>
      <c r="I127" t="s">
        <v>4763</v>
      </c>
      <c r="J127" t="s">
        <v>4614</v>
      </c>
    </row>
    <row r="128" spans="1:10">
      <c r="A128" t="s">
        <v>193</v>
      </c>
      <c r="B128" s="2">
        <v>41258</v>
      </c>
      <c r="C128">
        <v>2012</v>
      </c>
      <c r="D128" t="s">
        <v>25</v>
      </c>
      <c r="E128" t="s">
        <v>45</v>
      </c>
      <c r="F128" t="s">
        <v>4630</v>
      </c>
      <c r="G128" t="s">
        <v>194</v>
      </c>
      <c r="H128" s="16">
        <v>0.28000000000000003</v>
      </c>
      <c r="I128" t="s">
        <v>4764</v>
      </c>
      <c r="J128" t="s">
        <v>4614</v>
      </c>
    </row>
    <row r="129" spans="1:10">
      <c r="A129" t="s">
        <v>195</v>
      </c>
      <c r="B129" s="2">
        <v>41261</v>
      </c>
      <c r="C129">
        <v>2012</v>
      </c>
      <c r="D129" t="s">
        <v>8</v>
      </c>
      <c r="E129" t="s">
        <v>3860</v>
      </c>
      <c r="F129" t="s">
        <v>4629</v>
      </c>
      <c r="G129" t="s">
        <v>3929</v>
      </c>
      <c r="H129" s="16">
        <v>1.24</v>
      </c>
      <c r="I129" t="s">
        <v>4764</v>
      </c>
      <c r="J129" t="s">
        <v>4614</v>
      </c>
    </row>
    <row r="130" spans="1:10">
      <c r="A130" t="s">
        <v>196</v>
      </c>
      <c r="B130" s="2">
        <v>41262</v>
      </c>
      <c r="C130">
        <v>2012</v>
      </c>
      <c r="D130" t="s">
        <v>33</v>
      </c>
      <c r="E130" t="s">
        <v>49</v>
      </c>
      <c r="F130" t="s">
        <v>4633</v>
      </c>
      <c r="G130" t="s">
        <v>3930</v>
      </c>
      <c r="H130" s="16">
        <v>0.18</v>
      </c>
      <c r="I130" t="s">
        <v>4764</v>
      </c>
      <c r="J130" t="s">
        <v>4614</v>
      </c>
    </row>
    <row r="131" spans="1:10">
      <c r="A131" t="s">
        <v>197</v>
      </c>
      <c r="B131" s="2">
        <v>41265</v>
      </c>
      <c r="C131">
        <v>2012</v>
      </c>
      <c r="D131" t="s">
        <v>33</v>
      </c>
      <c r="E131" t="s">
        <v>45</v>
      </c>
      <c r="F131" t="s">
        <v>4633</v>
      </c>
      <c r="G131" t="s">
        <v>3931</v>
      </c>
      <c r="H131" s="16">
        <v>0.04</v>
      </c>
      <c r="I131" t="s">
        <v>4764</v>
      </c>
      <c r="J131" t="s">
        <v>4614</v>
      </c>
    </row>
    <row r="132" spans="1:10">
      <c r="A132" t="s">
        <v>198</v>
      </c>
      <c r="B132" s="2">
        <v>41266</v>
      </c>
      <c r="C132">
        <v>2012</v>
      </c>
      <c r="D132" t="s">
        <v>12</v>
      </c>
      <c r="E132" t="s">
        <v>45</v>
      </c>
      <c r="F132" t="s">
        <v>4628</v>
      </c>
      <c r="G132" t="s">
        <v>199</v>
      </c>
      <c r="H132" s="16">
        <v>0.13</v>
      </c>
      <c r="I132" t="s">
        <v>4764</v>
      </c>
      <c r="J132" t="s">
        <v>4614</v>
      </c>
    </row>
    <row r="133" spans="1:10">
      <c r="A133" t="s">
        <v>200</v>
      </c>
      <c r="B133" s="2">
        <v>41288</v>
      </c>
      <c r="C133">
        <v>2013</v>
      </c>
      <c r="D133" t="s">
        <v>25</v>
      </c>
      <c r="E133" t="s">
        <v>3839</v>
      </c>
      <c r="F133" t="s">
        <v>4634</v>
      </c>
      <c r="G133" t="s">
        <v>3932</v>
      </c>
      <c r="H133" s="16">
        <v>0.09</v>
      </c>
      <c r="I133" t="s">
        <v>4764</v>
      </c>
      <c r="J133" t="s">
        <v>4614</v>
      </c>
    </row>
    <row r="134" spans="1:10">
      <c r="A134" t="s">
        <v>201</v>
      </c>
      <c r="B134" s="2">
        <v>41292</v>
      </c>
      <c r="C134">
        <v>2013</v>
      </c>
      <c r="D134" t="s">
        <v>25</v>
      </c>
      <c r="E134" t="s">
        <v>29</v>
      </c>
      <c r="F134" t="s">
        <v>4634</v>
      </c>
      <c r="G134" t="s">
        <v>3933</v>
      </c>
      <c r="H134" s="16">
        <v>0.21</v>
      </c>
      <c r="I134" t="s">
        <v>4764</v>
      </c>
      <c r="J134" t="s">
        <v>4614</v>
      </c>
    </row>
    <row r="135" spans="1:10">
      <c r="A135" t="s">
        <v>202</v>
      </c>
      <c r="B135" s="2">
        <v>41301</v>
      </c>
      <c r="C135">
        <v>2013</v>
      </c>
      <c r="D135" t="s">
        <v>25</v>
      </c>
      <c r="E135" t="s">
        <v>45</v>
      </c>
      <c r="F135" t="s">
        <v>4634</v>
      </c>
      <c r="G135" t="s">
        <v>3934</v>
      </c>
      <c r="H135" s="16">
        <v>0.01</v>
      </c>
      <c r="I135" t="s">
        <v>4764</v>
      </c>
      <c r="J135" t="s">
        <v>4614</v>
      </c>
    </row>
    <row r="136" spans="1:10">
      <c r="A136" t="s">
        <v>203</v>
      </c>
      <c r="B136" s="2">
        <v>41311</v>
      </c>
      <c r="C136">
        <v>2013</v>
      </c>
      <c r="D136" t="s">
        <v>12</v>
      </c>
      <c r="E136" t="s">
        <v>45</v>
      </c>
      <c r="F136" t="s">
        <v>4635</v>
      </c>
      <c r="G136" t="s">
        <v>3935</v>
      </c>
      <c r="H136" s="16">
        <v>0.18</v>
      </c>
      <c r="I136" t="s">
        <v>4764</v>
      </c>
      <c r="J136" t="s">
        <v>4614</v>
      </c>
    </row>
    <row r="137" spans="1:10">
      <c r="A137" t="s">
        <v>204</v>
      </c>
      <c r="B137" s="2">
        <v>41312</v>
      </c>
      <c r="C137">
        <v>2013</v>
      </c>
      <c r="D137" t="s">
        <v>8</v>
      </c>
      <c r="E137" t="s">
        <v>3850</v>
      </c>
      <c r="F137" t="s">
        <v>4636</v>
      </c>
      <c r="G137" t="s">
        <v>3936</v>
      </c>
      <c r="H137" s="16">
        <v>16.82</v>
      </c>
      <c r="I137" t="s">
        <v>4763</v>
      </c>
      <c r="J137" t="s">
        <v>4614</v>
      </c>
    </row>
    <row r="138" spans="1:10">
      <c r="A138" t="s">
        <v>205</v>
      </c>
      <c r="B138" s="2">
        <v>41320</v>
      </c>
      <c r="C138">
        <v>2013</v>
      </c>
      <c r="D138" t="s">
        <v>12</v>
      </c>
      <c r="E138" t="s">
        <v>3839</v>
      </c>
      <c r="F138" t="s">
        <v>4635</v>
      </c>
      <c r="G138" t="s">
        <v>206</v>
      </c>
      <c r="H138" s="16">
        <v>0.12</v>
      </c>
      <c r="I138" t="s">
        <v>4764</v>
      </c>
      <c r="J138" t="s">
        <v>4614</v>
      </c>
    </row>
    <row r="139" spans="1:10">
      <c r="A139" t="s">
        <v>207</v>
      </c>
      <c r="B139" s="2">
        <v>41323</v>
      </c>
      <c r="C139">
        <v>2013</v>
      </c>
      <c r="D139" t="s">
        <v>25</v>
      </c>
      <c r="E139" t="s">
        <v>45</v>
      </c>
      <c r="F139" t="s">
        <v>4634</v>
      </c>
      <c r="G139" t="s">
        <v>208</v>
      </c>
      <c r="H139" s="16">
        <v>0.04</v>
      </c>
      <c r="I139" t="s">
        <v>4764</v>
      </c>
      <c r="J139" t="s">
        <v>4614</v>
      </c>
    </row>
    <row r="140" spans="1:10">
      <c r="A140" t="s">
        <v>209</v>
      </c>
      <c r="B140" s="2">
        <v>41326</v>
      </c>
      <c r="C140">
        <v>2013</v>
      </c>
      <c r="D140" t="s">
        <v>25</v>
      </c>
      <c r="E140" t="s">
        <v>3836</v>
      </c>
      <c r="F140" t="s">
        <v>4634</v>
      </c>
      <c r="G140" t="s">
        <v>210</v>
      </c>
      <c r="H140" s="16">
        <v>0.57999999999999996</v>
      </c>
      <c r="I140" t="s">
        <v>4764</v>
      </c>
      <c r="J140" t="s">
        <v>4614</v>
      </c>
    </row>
    <row r="141" spans="1:10">
      <c r="A141" t="s">
        <v>211</v>
      </c>
      <c r="B141" s="2">
        <v>41332</v>
      </c>
      <c r="C141">
        <v>2013</v>
      </c>
      <c r="D141" t="s">
        <v>33</v>
      </c>
      <c r="E141" t="s">
        <v>29</v>
      </c>
      <c r="F141" t="s">
        <v>4637</v>
      </c>
      <c r="G141" t="s">
        <v>3937</v>
      </c>
      <c r="H141" s="16">
        <v>1.08</v>
      </c>
      <c r="I141" t="s">
        <v>4764</v>
      </c>
      <c r="J141" t="s">
        <v>4614</v>
      </c>
    </row>
    <row r="142" spans="1:10">
      <c r="A142" t="s">
        <v>212</v>
      </c>
      <c r="B142" s="2">
        <v>41338</v>
      </c>
      <c r="C142">
        <v>2013</v>
      </c>
      <c r="D142" t="s">
        <v>8</v>
      </c>
      <c r="E142" t="s">
        <v>31</v>
      </c>
      <c r="F142" t="s">
        <v>4636</v>
      </c>
      <c r="G142" t="s">
        <v>213</v>
      </c>
      <c r="H142" s="16">
        <v>0.91</v>
      </c>
      <c r="I142" t="s">
        <v>4764</v>
      </c>
      <c r="J142" t="s">
        <v>4614</v>
      </c>
    </row>
    <row r="143" spans="1:10">
      <c r="A143" t="s">
        <v>214</v>
      </c>
      <c r="B143" s="2">
        <v>41341</v>
      </c>
      <c r="C143">
        <v>2013</v>
      </c>
      <c r="D143" t="s">
        <v>8</v>
      </c>
      <c r="E143" t="s">
        <v>215</v>
      </c>
      <c r="F143" t="s">
        <v>4636</v>
      </c>
      <c r="G143" t="s">
        <v>3938</v>
      </c>
      <c r="H143" s="16">
        <v>3.06</v>
      </c>
      <c r="I143" t="s">
        <v>4764</v>
      </c>
      <c r="J143" t="s">
        <v>4614</v>
      </c>
    </row>
    <row r="144" spans="1:10">
      <c r="A144" t="s">
        <v>216</v>
      </c>
      <c r="B144" s="2">
        <v>41344</v>
      </c>
      <c r="C144">
        <v>2013</v>
      </c>
      <c r="D144" t="s">
        <v>25</v>
      </c>
      <c r="E144" t="s">
        <v>13</v>
      </c>
      <c r="F144" t="s">
        <v>4634</v>
      </c>
      <c r="G144" t="s">
        <v>217</v>
      </c>
      <c r="H144" s="16">
        <v>0.28999999999999998</v>
      </c>
      <c r="I144" t="s">
        <v>4764</v>
      </c>
      <c r="J144" t="s">
        <v>4614</v>
      </c>
    </row>
    <row r="145" spans="1:10">
      <c r="A145" t="s">
        <v>218</v>
      </c>
      <c r="B145" s="2">
        <v>41350</v>
      </c>
      <c r="C145">
        <v>2013</v>
      </c>
      <c r="D145" t="s">
        <v>8</v>
      </c>
      <c r="E145" t="s">
        <v>3903</v>
      </c>
      <c r="F145" t="s">
        <v>4636</v>
      </c>
      <c r="G145" t="s">
        <v>219</v>
      </c>
      <c r="H145" s="16">
        <v>0.13</v>
      </c>
      <c r="I145" t="s">
        <v>4764</v>
      </c>
      <c r="J145" t="s">
        <v>4614</v>
      </c>
    </row>
    <row r="146" spans="1:10">
      <c r="A146" t="s">
        <v>220</v>
      </c>
      <c r="B146" s="2">
        <v>41355</v>
      </c>
      <c r="C146">
        <v>2013</v>
      </c>
      <c r="D146" t="s">
        <v>25</v>
      </c>
      <c r="E146" t="s">
        <v>19</v>
      </c>
      <c r="F146" t="s">
        <v>4634</v>
      </c>
      <c r="G146" t="s">
        <v>3939</v>
      </c>
      <c r="H146" s="16">
        <v>0.38</v>
      </c>
      <c r="I146" t="s">
        <v>4764</v>
      </c>
      <c r="J146" t="s">
        <v>4614</v>
      </c>
    </row>
    <row r="147" spans="1:10">
      <c r="A147" t="s">
        <v>221</v>
      </c>
      <c r="B147" s="2">
        <v>41368</v>
      </c>
      <c r="C147">
        <v>2013</v>
      </c>
      <c r="D147" t="s">
        <v>8</v>
      </c>
      <c r="E147" t="s">
        <v>125</v>
      </c>
      <c r="F147" t="s">
        <v>4636</v>
      </c>
      <c r="G147" t="s">
        <v>3940</v>
      </c>
      <c r="H147" s="16">
        <v>23.03</v>
      </c>
      <c r="I147" t="s">
        <v>4763</v>
      </c>
      <c r="J147" t="s">
        <v>4614</v>
      </c>
    </row>
    <row r="148" spans="1:10">
      <c r="A148" t="s">
        <v>222</v>
      </c>
      <c r="B148" s="2">
        <v>41373</v>
      </c>
      <c r="C148">
        <v>2013</v>
      </c>
      <c r="D148" t="s">
        <v>25</v>
      </c>
      <c r="E148" t="s">
        <v>47</v>
      </c>
      <c r="F148" t="s">
        <v>4634</v>
      </c>
      <c r="G148" t="s">
        <v>3941</v>
      </c>
      <c r="H148" s="16">
        <v>0.22</v>
      </c>
      <c r="I148" t="s">
        <v>4764</v>
      </c>
      <c r="J148" t="s">
        <v>4614</v>
      </c>
    </row>
    <row r="149" spans="1:10">
      <c r="A149" t="s">
        <v>223</v>
      </c>
      <c r="B149" s="2">
        <v>41385</v>
      </c>
      <c r="C149">
        <v>2013</v>
      </c>
      <c r="D149" t="s">
        <v>15</v>
      </c>
      <c r="E149" t="s">
        <v>3832</v>
      </c>
      <c r="F149" t="s">
        <v>4638</v>
      </c>
      <c r="G149" t="s">
        <v>3942</v>
      </c>
      <c r="H149" s="16">
        <v>0.21</v>
      </c>
      <c r="I149" t="s">
        <v>4764</v>
      </c>
      <c r="J149" t="s">
        <v>4614</v>
      </c>
    </row>
    <row r="150" spans="1:10">
      <c r="A150" t="s">
        <v>224</v>
      </c>
      <c r="B150" s="2">
        <v>41396</v>
      </c>
      <c r="C150">
        <v>2013</v>
      </c>
      <c r="D150" t="s">
        <v>25</v>
      </c>
      <c r="E150" t="s">
        <v>29</v>
      </c>
      <c r="F150" t="s">
        <v>4634</v>
      </c>
      <c r="G150" t="s">
        <v>3943</v>
      </c>
      <c r="H150" s="16">
        <v>0.03</v>
      </c>
      <c r="I150" t="s">
        <v>4764</v>
      </c>
      <c r="J150" t="s">
        <v>4614</v>
      </c>
    </row>
    <row r="151" spans="1:10">
      <c r="A151" t="s">
        <v>225</v>
      </c>
      <c r="B151" s="2">
        <v>41434</v>
      </c>
      <c r="C151">
        <v>2013</v>
      </c>
      <c r="D151" t="s">
        <v>12</v>
      </c>
      <c r="E151" t="s">
        <v>3854</v>
      </c>
      <c r="F151" t="s">
        <v>4635</v>
      </c>
      <c r="G151" t="s">
        <v>3944</v>
      </c>
      <c r="H151" s="16">
        <v>0.1</v>
      </c>
      <c r="I151" t="s">
        <v>4764</v>
      </c>
      <c r="J151" t="s">
        <v>4614</v>
      </c>
    </row>
    <row r="152" spans="1:10">
      <c r="A152" t="s">
        <v>226</v>
      </c>
      <c r="B152" s="2">
        <v>41438</v>
      </c>
      <c r="C152">
        <v>2013</v>
      </c>
      <c r="D152" t="s">
        <v>25</v>
      </c>
      <c r="E152" t="s">
        <v>13</v>
      </c>
      <c r="F152" t="s">
        <v>4634</v>
      </c>
      <c r="G152" t="s">
        <v>3945</v>
      </c>
      <c r="H152" s="16">
        <v>0.08</v>
      </c>
      <c r="I152" t="s">
        <v>4764</v>
      </c>
      <c r="J152" t="s">
        <v>4614</v>
      </c>
    </row>
    <row r="153" spans="1:10">
      <c r="A153" t="s">
        <v>227</v>
      </c>
      <c r="B153" s="2">
        <v>41448</v>
      </c>
      <c r="C153">
        <v>2013</v>
      </c>
      <c r="D153" t="s">
        <v>8</v>
      </c>
      <c r="E153" t="s">
        <v>125</v>
      </c>
      <c r="F153" t="s">
        <v>4636</v>
      </c>
      <c r="G153" t="s">
        <v>228</v>
      </c>
      <c r="H153" s="16">
        <v>0.88</v>
      </c>
      <c r="I153" t="s">
        <v>4764</v>
      </c>
      <c r="J153" t="s">
        <v>4614</v>
      </c>
    </row>
    <row r="154" spans="1:10">
      <c r="A154" t="s">
        <v>229</v>
      </c>
      <c r="B154" s="2">
        <v>41469</v>
      </c>
      <c r="C154">
        <v>2013</v>
      </c>
      <c r="D154" t="s">
        <v>33</v>
      </c>
      <c r="E154" t="s">
        <v>3862</v>
      </c>
      <c r="F154" t="s">
        <v>4637</v>
      </c>
      <c r="G154" t="s">
        <v>3946</v>
      </c>
      <c r="H154" s="16">
        <v>0.04</v>
      </c>
      <c r="I154" t="s">
        <v>4764</v>
      </c>
      <c r="J154" t="s">
        <v>4614</v>
      </c>
    </row>
    <row r="155" spans="1:10">
      <c r="A155" t="s">
        <v>230</v>
      </c>
      <c r="B155" s="2">
        <v>41473</v>
      </c>
      <c r="C155">
        <v>2013</v>
      </c>
      <c r="D155" t="s">
        <v>12</v>
      </c>
      <c r="E155" t="s">
        <v>3839</v>
      </c>
      <c r="F155" t="s">
        <v>4635</v>
      </c>
      <c r="G155" t="s">
        <v>231</v>
      </c>
      <c r="H155" s="16">
        <v>0.11</v>
      </c>
      <c r="I155" t="s">
        <v>4764</v>
      </c>
      <c r="J155" t="s">
        <v>4614</v>
      </c>
    </row>
    <row r="156" spans="1:10">
      <c r="A156" t="s">
        <v>232</v>
      </c>
      <c r="B156" s="2">
        <v>41475</v>
      </c>
      <c r="C156">
        <v>2013</v>
      </c>
      <c r="D156" t="s">
        <v>25</v>
      </c>
      <c r="E156" t="s">
        <v>3870</v>
      </c>
      <c r="F156" t="s">
        <v>4634</v>
      </c>
      <c r="G156" t="s">
        <v>233</v>
      </c>
      <c r="H156" s="16">
        <v>0.24</v>
      </c>
      <c r="I156" t="s">
        <v>4764</v>
      </c>
      <c r="J156" t="s">
        <v>4614</v>
      </c>
    </row>
    <row r="157" spans="1:10">
      <c r="A157" t="s">
        <v>234</v>
      </c>
      <c r="B157" s="2">
        <v>41477</v>
      </c>
      <c r="C157">
        <v>2013</v>
      </c>
      <c r="D157" t="s">
        <v>12</v>
      </c>
      <c r="E157" t="s">
        <v>19</v>
      </c>
      <c r="F157" t="s">
        <v>4635</v>
      </c>
      <c r="G157" t="s">
        <v>3947</v>
      </c>
      <c r="H157" s="16">
        <v>0.03</v>
      </c>
      <c r="I157" t="s">
        <v>4764</v>
      </c>
      <c r="J157" t="s">
        <v>4614</v>
      </c>
    </row>
    <row r="158" spans="1:10">
      <c r="A158" t="s">
        <v>235</v>
      </c>
      <c r="B158" s="2">
        <v>41481</v>
      </c>
      <c r="C158">
        <v>2013</v>
      </c>
      <c r="D158" t="s">
        <v>15</v>
      </c>
      <c r="E158" t="s">
        <v>3832</v>
      </c>
      <c r="F158" t="s">
        <v>4638</v>
      </c>
      <c r="G158" t="s">
        <v>236</v>
      </c>
      <c r="H158" s="16">
        <v>0.3</v>
      </c>
      <c r="I158" t="s">
        <v>4764</v>
      </c>
      <c r="J158" t="s">
        <v>4614</v>
      </c>
    </row>
    <row r="159" spans="1:10">
      <c r="A159" t="s">
        <v>237</v>
      </c>
      <c r="B159" s="2">
        <v>41490</v>
      </c>
      <c r="C159">
        <v>2013</v>
      </c>
      <c r="D159" t="s">
        <v>25</v>
      </c>
      <c r="E159" t="s">
        <v>3839</v>
      </c>
      <c r="F159" t="s">
        <v>4634</v>
      </c>
      <c r="G159" t="s">
        <v>3948</v>
      </c>
      <c r="H159" s="16">
        <v>0.02</v>
      </c>
      <c r="I159" t="s">
        <v>4764</v>
      </c>
      <c r="J159" t="s">
        <v>4614</v>
      </c>
    </row>
    <row r="160" spans="1:10">
      <c r="A160" t="s">
        <v>238</v>
      </c>
      <c r="B160" s="2">
        <v>41492</v>
      </c>
      <c r="C160">
        <v>2013</v>
      </c>
      <c r="D160" t="s">
        <v>25</v>
      </c>
      <c r="E160" t="s">
        <v>72</v>
      </c>
      <c r="F160" t="s">
        <v>4634</v>
      </c>
      <c r="G160" t="s">
        <v>3949</v>
      </c>
      <c r="H160" s="16">
        <v>0.06</v>
      </c>
      <c r="I160" t="s">
        <v>4764</v>
      </c>
      <c r="J160" t="s">
        <v>4614</v>
      </c>
    </row>
    <row r="161" spans="1:10">
      <c r="A161" t="s">
        <v>239</v>
      </c>
      <c r="B161" s="2">
        <v>41494</v>
      </c>
      <c r="C161">
        <v>2013</v>
      </c>
      <c r="D161" t="s">
        <v>25</v>
      </c>
      <c r="E161" t="s">
        <v>29</v>
      </c>
      <c r="F161" t="s">
        <v>4634</v>
      </c>
      <c r="G161" t="s">
        <v>51</v>
      </c>
      <c r="H161" s="16">
        <v>0.46</v>
      </c>
      <c r="I161" t="s">
        <v>4764</v>
      </c>
      <c r="J161" t="s">
        <v>4614</v>
      </c>
    </row>
    <row r="162" spans="1:10">
      <c r="A162" t="s">
        <v>240</v>
      </c>
      <c r="B162" s="2">
        <v>41495</v>
      </c>
      <c r="C162">
        <v>2013</v>
      </c>
      <c r="D162" t="s">
        <v>21</v>
      </c>
      <c r="E162" t="s">
        <v>3854</v>
      </c>
      <c r="F162" t="s">
        <v>4639</v>
      </c>
      <c r="G162" t="s">
        <v>3950</v>
      </c>
      <c r="H162" s="16">
        <v>7.0000000000000007E-2</v>
      </c>
      <c r="I162" t="s">
        <v>4764</v>
      </c>
      <c r="J162" t="s">
        <v>4614</v>
      </c>
    </row>
    <row r="163" spans="1:10">
      <c r="A163" t="s">
        <v>241</v>
      </c>
      <c r="B163" s="2">
        <v>41503</v>
      </c>
      <c r="C163">
        <v>2013</v>
      </c>
      <c r="D163" t="s">
        <v>33</v>
      </c>
      <c r="E163" t="s">
        <v>49</v>
      </c>
      <c r="F163" t="s">
        <v>4637</v>
      </c>
      <c r="G163" t="s">
        <v>3951</v>
      </c>
      <c r="H163" s="16">
        <v>0.35</v>
      </c>
      <c r="I163" t="s">
        <v>4764</v>
      </c>
      <c r="J163" t="s">
        <v>4614</v>
      </c>
    </row>
    <row r="164" spans="1:10">
      <c r="A164" t="s">
        <v>242</v>
      </c>
      <c r="B164" s="2">
        <v>41505</v>
      </c>
      <c r="C164">
        <v>2013</v>
      </c>
      <c r="D164" t="s">
        <v>15</v>
      </c>
      <c r="E164" t="s">
        <v>3832</v>
      </c>
      <c r="F164" t="s">
        <v>4638</v>
      </c>
      <c r="G164" t="s">
        <v>3952</v>
      </c>
      <c r="H164" s="16">
        <v>0.49</v>
      </c>
      <c r="I164" t="s">
        <v>4764</v>
      </c>
      <c r="J164" t="s">
        <v>4614</v>
      </c>
    </row>
    <row r="165" spans="1:10">
      <c r="A165" t="s">
        <v>243</v>
      </c>
      <c r="B165" s="2">
        <v>41507</v>
      </c>
      <c r="C165">
        <v>2013</v>
      </c>
      <c r="D165" t="s">
        <v>15</v>
      </c>
      <c r="E165" t="s">
        <v>3832</v>
      </c>
      <c r="F165" t="s">
        <v>4638</v>
      </c>
      <c r="G165" t="s">
        <v>244</v>
      </c>
      <c r="H165" s="16">
        <v>0.11</v>
      </c>
      <c r="I165" t="s">
        <v>4764</v>
      </c>
      <c r="J165" t="s">
        <v>4614</v>
      </c>
    </row>
    <row r="166" spans="1:10">
      <c r="A166" t="s">
        <v>245</v>
      </c>
      <c r="B166" s="2">
        <v>41511</v>
      </c>
      <c r="C166">
        <v>2013</v>
      </c>
      <c r="D166" t="s">
        <v>33</v>
      </c>
      <c r="E166" t="s">
        <v>3854</v>
      </c>
      <c r="F166" t="s">
        <v>4637</v>
      </c>
      <c r="G166" t="s">
        <v>3953</v>
      </c>
      <c r="H166" s="16">
        <v>1.62</v>
      </c>
      <c r="I166" t="s">
        <v>4764</v>
      </c>
      <c r="J166" t="s">
        <v>4614</v>
      </c>
    </row>
    <row r="167" spans="1:10">
      <c r="A167" t="s">
        <v>246</v>
      </c>
      <c r="B167" s="2">
        <v>41513</v>
      </c>
      <c r="C167">
        <v>2013</v>
      </c>
      <c r="D167" t="s">
        <v>25</v>
      </c>
      <c r="E167" t="s">
        <v>72</v>
      </c>
      <c r="F167" t="s">
        <v>4634</v>
      </c>
      <c r="G167" t="s">
        <v>3954</v>
      </c>
      <c r="H167" s="16">
        <v>0.2</v>
      </c>
      <c r="I167" t="s">
        <v>4764</v>
      </c>
      <c r="J167" t="s">
        <v>4614</v>
      </c>
    </row>
    <row r="168" spans="1:10">
      <c r="A168" t="s">
        <v>247</v>
      </c>
      <c r="B168" s="2">
        <v>41519</v>
      </c>
      <c r="C168">
        <v>2013</v>
      </c>
      <c r="D168" t="s">
        <v>25</v>
      </c>
      <c r="E168" t="s">
        <v>3854</v>
      </c>
      <c r="F168" t="s">
        <v>4634</v>
      </c>
      <c r="G168" t="s">
        <v>248</v>
      </c>
      <c r="H168" s="16">
        <v>0.44</v>
      </c>
      <c r="I168" t="s">
        <v>4764</v>
      </c>
      <c r="J168" t="s">
        <v>4614</v>
      </c>
    </row>
    <row r="169" spans="1:10">
      <c r="A169" t="s">
        <v>249</v>
      </c>
      <c r="B169" s="2">
        <v>41523</v>
      </c>
      <c r="C169">
        <v>2013</v>
      </c>
      <c r="D169" t="s">
        <v>25</v>
      </c>
      <c r="E169" t="s">
        <v>34</v>
      </c>
      <c r="F169" t="s">
        <v>4634</v>
      </c>
      <c r="G169" t="s">
        <v>3955</v>
      </c>
      <c r="H169" s="16">
        <v>0.14000000000000001</v>
      </c>
      <c r="I169" t="s">
        <v>4764</v>
      </c>
      <c r="J169" t="s">
        <v>4614</v>
      </c>
    </row>
    <row r="170" spans="1:10">
      <c r="A170" t="s">
        <v>250</v>
      </c>
      <c r="B170" s="2">
        <v>41525</v>
      </c>
      <c r="C170">
        <v>2013</v>
      </c>
      <c r="D170" t="s">
        <v>25</v>
      </c>
      <c r="E170" t="s">
        <v>3839</v>
      </c>
      <c r="F170" t="s">
        <v>4634</v>
      </c>
      <c r="G170" t="s">
        <v>3956</v>
      </c>
      <c r="H170" s="16">
        <v>0.15</v>
      </c>
      <c r="I170" t="s">
        <v>4764</v>
      </c>
      <c r="J170" t="s">
        <v>4614</v>
      </c>
    </row>
    <row r="171" spans="1:10">
      <c r="A171" t="s">
        <v>251</v>
      </c>
      <c r="B171" s="2">
        <v>41531</v>
      </c>
      <c r="C171">
        <v>2013</v>
      </c>
      <c r="D171" t="s">
        <v>33</v>
      </c>
      <c r="E171" t="s">
        <v>13</v>
      </c>
      <c r="F171" t="s">
        <v>4637</v>
      </c>
      <c r="G171" t="s">
        <v>252</v>
      </c>
      <c r="H171" s="16">
        <v>0.1</v>
      </c>
      <c r="I171" t="s">
        <v>4764</v>
      </c>
      <c r="J171" t="s">
        <v>4614</v>
      </c>
    </row>
    <row r="172" spans="1:10">
      <c r="A172" t="s">
        <v>253</v>
      </c>
      <c r="B172" s="2">
        <v>41531</v>
      </c>
      <c r="C172">
        <v>2013</v>
      </c>
      <c r="D172" t="s">
        <v>33</v>
      </c>
      <c r="E172" t="s">
        <v>34</v>
      </c>
      <c r="F172" t="s">
        <v>4637</v>
      </c>
      <c r="G172" t="s">
        <v>3957</v>
      </c>
      <c r="H172" s="16">
        <v>0.1</v>
      </c>
      <c r="I172" t="s">
        <v>4764</v>
      </c>
      <c r="J172" t="s">
        <v>4614</v>
      </c>
    </row>
    <row r="173" spans="1:10">
      <c r="A173" t="s">
        <v>254</v>
      </c>
      <c r="B173" s="2">
        <v>41534</v>
      </c>
      <c r="C173">
        <v>2013</v>
      </c>
      <c r="D173" t="s">
        <v>8</v>
      </c>
      <c r="E173" t="s">
        <v>3850</v>
      </c>
      <c r="F173" t="s">
        <v>4636</v>
      </c>
      <c r="G173" t="s">
        <v>255</v>
      </c>
      <c r="H173" s="16">
        <v>0.23</v>
      </c>
      <c r="I173" t="s">
        <v>4764</v>
      </c>
      <c r="J173" t="s">
        <v>4614</v>
      </c>
    </row>
    <row r="174" spans="1:10">
      <c r="A174" t="s">
        <v>256</v>
      </c>
      <c r="B174" s="2">
        <v>41535</v>
      </c>
      <c r="C174">
        <v>2013</v>
      </c>
      <c r="D174" t="s">
        <v>25</v>
      </c>
      <c r="E174" t="s">
        <v>13</v>
      </c>
      <c r="F174" t="s">
        <v>4634</v>
      </c>
      <c r="G174" t="s">
        <v>3958</v>
      </c>
      <c r="H174" s="16">
        <v>0.14000000000000001</v>
      </c>
      <c r="I174" t="s">
        <v>4764</v>
      </c>
      <c r="J174" t="s">
        <v>4614</v>
      </c>
    </row>
    <row r="175" spans="1:10">
      <c r="A175" t="s">
        <v>257</v>
      </c>
      <c r="B175" s="2">
        <v>41536</v>
      </c>
      <c r="C175">
        <v>2013</v>
      </c>
      <c r="D175" t="s">
        <v>25</v>
      </c>
      <c r="E175" t="s">
        <v>19</v>
      </c>
      <c r="F175" t="s">
        <v>4634</v>
      </c>
      <c r="G175" t="s">
        <v>3959</v>
      </c>
      <c r="H175" s="16">
        <v>0.04</v>
      </c>
      <c r="I175" t="s">
        <v>4764</v>
      </c>
      <c r="J175" t="s">
        <v>4614</v>
      </c>
    </row>
    <row r="176" spans="1:10">
      <c r="A176" t="s">
        <v>258</v>
      </c>
      <c r="B176" s="2">
        <v>41540</v>
      </c>
      <c r="C176">
        <v>2013</v>
      </c>
      <c r="D176" t="s">
        <v>25</v>
      </c>
      <c r="E176" t="s">
        <v>19</v>
      </c>
      <c r="F176" t="s">
        <v>4634</v>
      </c>
      <c r="G176" t="s">
        <v>259</v>
      </c>
      <c r="H176" s="16">
        <v>0.08</v>
      </c>
      <c r="I176" t="s">
        <v>4764</v>
      </c>
      <c r="J176" t="s">
        <v>4614</v>
      </c>
    </row>
    <row r="177" spans="1:10">
      <c r="A177" t="s">
        <v>260</v>
      </c>
      <c r="B177" s="2">
        <v>41543</v>
      </c>
      <c r="C177">
        <v>2013</v>
      </c>
      <c r="D177" t="s">
        <v>21</v>
      </c>
      <c r="E177" t="s">
        <v>47</v>
      </c>
      <c r="F177" t="s">
        <v>4639</v>
      </c>
      <c r="G177" t="s">
        <v>3960</v>
      </c>
      <c r="H177" s="16">
        <v>0.11</v>
      </c>
      <c r="I177" t="s">
        <v>4764</v>
      </c>
      <c r="J177" t="s">
        <v>4614</v>
      </c>
    </row>
    <row r="178" spans="1:10">
      <c r="A178" t="s">
        <v>261</v>
      </c>
      <c r="B178" s="2">
        <v>41544</v>
      </c>
      <c r="C178">
        <v>2013</v>
      </c>
      <c r="D178" t="s">
        <v>12</v>
      </c>
      <c r="E178" t="s">
        <v>45</v>
      </c>
      <c r="F178" t="s">
        <v>4635</v>
      </c>
      <c r="G178" t="s">
        <v>3961</v>
      </c>
      <c r="H178" s="16">
        <v>0.15</v>
      </c>
      <c r="I178" t="s">
        <v>4764</v>
      </c>
      <c r="J178" t="s">
        <v>4614</v>
      </c>
    </row>
    <row r="179" spans="1:10">
      <c r="A179" t="s">
        <v>262</v>
      </c>
      <c r="B179" s="2">
        <v>41548</v>
      </c>
      <c r="C179">
        <v>2013</v>
      </c>
      <c r="D179" t="s">
        <v>33</v>
      </c>
      <c r="E179" t="s">
        <v>34</v>
      </c>
      <c r="F179" t="s">
        <v>4637</v>
      </c>
      <c r="G179" t="s">
        <v>263</v>
      </c>
      <c r="H179" s="16">
        <v>0.22</v>
      </c>
      <c r="I179" t="s">
        <v>4764</v>
      </c>
      <c r="J179" t="s">
        <v>4614</v>
      </c>
    </row>
    <row r="180" spans="1:10">
      <c r="A180" t="s">
        <v>264</v>
      </c>
      <c r="B180" s="2">
        <v>41548</v>
      </c>
      <c r="C180">
        <v>2013</v>
      </c>
      <c r="D180" t="s">
        <v>25</v>
      </c>
      <c r="E180" t="s">
        <v>49</v>
      </c>
      <c r="F180" t="s">
        <v>4634</v>
      </c>
      <c r="G180" t="s">
        <v>265</v>
      </c>
      <c r="H180" s="16">
        <v>0.1</v>
      </c>
      <c r="I180" t="s">
        <v>4764</v>
      </c>
      <c r="J180" t="s">
        <v>4614</v>
      </c>
    </row>
    <row r="181" spans="1:10">
      <c r="A181" t="s">
        <v>266</v>
      </c>
      <c r="B181" s="2">
        <v>41554</v>
      </c>
      <c r="C181">
        <v>2013</v>
      </c>
      <c r="D181" t="s">
        <v>8</v>
      </c>
      <c r="E181" t="s">
        <v>130</v>
      </c>
      <c r="F181" t="s">
        <v>4636</v>
      </c>
      <c r="G181" t="s">
        <v>267</v>
      </c>
      <c r="H181" s="16">
        <v>1.76</v>
      </c>
      <c r="I181" t="s">
        <v>4764</v>
      </c>
      <c r="J181" t="s">
        <v>4614</v>
      </c>
    </row>
    <row r="182" spans="1:10">
      <c r="A182" t="s">
        <v>268</v>
      </c>
      <c r="B182" s="2">
        <v>41590</v>
      </c>
      <c r="C182">
        <v>2013</v>
      </c>
      <c r="D182" t="s">
        <v>8</v>
      </c>
      <c r="E182" t="s">
        <v>215</v>
      </c>
      <c r="F182" t="s">
        <v>4636</v>
      </c>
      <c r="G182" t="s">
        <v>3962</v>
      </c>
      <c r="H182" s="16">
        <v>7.0000000000000007E-2</v>
      </c>
      <c r="I182" t="s">
        <v>4764</v>
      </c>
      <c r="J182" t="s">
        <v>4614</v>
      </c>
    </row>
    <row r="183" spans="1:10">
      <c r="A183" t="s">
        <v>269</v>
      </c>
      <c r="B183" s="2">
        <v>41599</v>
      </c>
      <c r="C183">
        <v>2013</v>
      </c>
      <c r="D183" t="s">
        <v>25</v>
      </c>
      <c r="E183" t="s">
        <v>19</v>
      </c>
      <c r="F183" t="s">
        <v>4634</v>
      </c>
      <c r="G183" t="s">
        <v>3963</v>
      </c>
      <c r="H183" s="16">
        <v>0.3</v>
      </c>
      <c r="I183" t="s">
        <v>4764</v>
      </c>
      <c r="J183" t="s">
        <v>4614</v>
      </c>
    </row>
    <row r="184" spans="1:10">
      <c r="A184" t="s">
        <v>270</v>
      </c>
      <c r="B184" s="2">
        <v>41609</v>
      </c>
      <c r="C184">
        <v>2013</v>
      </c>
      <c r="D184" t="s">
        <v>8</v>
      </c>
      <c r="E184" t="s">
        <v>130</v>
      </c>
      <c r="F184" t="s">
        <v>4636</v>
      </c>
      <c r="G184" t="s">
        <v>3964</v>
      </c>
      <c r="H184" s="16">
        <v>1.28</v>
      </c>
      <c r="I184" t="s">
        <v>4764</v>
      </c>
      <c r="J184" t="s">
        <v>4614</v>
      </c>
    </row>
    <row r="185" spans="1:10">
      <c r="A185" t="s">
        <v>271</v>
      </c>
      <c r="B185" s="2">
        <v>41614</v>
      </c>
      <c r="C185">
        <v>2013</v>
      </c>
      <c r="D185" t="s">
        <v>15</v>
      </c>
      <c r="E185" t="s">
        <v>3832</v>
      </c>
      <c r="F185" t="s">
        <v>4638</v>
      </c>
      <c r="G185" t="s">
        <v>3965</v>
      </c>
      <c r="H185" s="16">
        <v>0.46</v>
      </c>
      <c r="I185" t="s">
        <v>4764</v>
      </c>
      <c r="J185" t="s">
        <v>4614</v>
      </c>
    </row>
    <row r="186" spans="1:10">
      <c r="A186" t="s">
        <v>272</v>
      </c>
      <c r="B186" s="2">
        <v>41615</v>
      </c>
      <c r="C186">
        <v>2013</v>
      </c>
      <c r="D186" t="s">
        <v>25</v>
      </c>
      <c r="E186" t="s">
        <v>34</v>
      </c>
      <c r="F186" t="s">
        <v>4634</v>
      </c>
      <c r="G186" t="s">
        <v>3966</v>
      </c>
      <c r="H186" s="16">
        <v>0.14000000000000001</v>
      </c>
      <c r="I186" t="s">
        <v>4764</v>
      </c>
      <c r="J186" t="s">
        <v>4614</v>
      </c>
    </row>
    <row r="187" spans="1:10">
      <c r="A187" t="s">
        <v>273</v>
      </c>
      <c r="B187" s="2">
        <v>41628</v>
      </c>
      <c r="C187">
        <v>2013</v>
      </c>
      <c r="D187" t="s">
        <v>33</v>
      </c>
      <c r="E187" t="s">
        <v>45</v>
      </c>
      <c r="F187" t="s">
        <v>4637</v>
      </c>
      <c r="G187" t="s">
        <v>274</v>
      </c>
      <c r="H187" s="16">
        <v>0.06</v>
      </c>
      <c r="I187" t="s">
        <v>4764</v>
      </c>
      <c r="J187" t="s">
        <v>4614</v>
      </c>
    </row>
    <row r="188" spans="1:10">
      <c r="A188" t="s">
        <v>275</v>
      </c>
      <c r="B188" s="2">
        <v>41643</v>
      </c>
      <c r="C188">
        <v>2014</v>
      </c>
      <c r="D188" t="s">
        <v>21</v>
      </c>
      <c r="E188" t="s">
        <v>47</v>
      </c>
      <c r="F188" t="s">
        <v>4640</v>
      </c>
      <c r="G188" t="s">
        <v>3967</v>
      </c>
      <c r="H188" s="16">
        <v>0.33</v>
      </c>
      <c r="I188" t="s">
        <v>4764</v>
      </c>
      <c r="J188" t="s">
        <v>4614</v>
      </c>
    </row>
    <row r="189" spans="1:10">
      <c r="A189" t="s">
        <v>276</v>
      </c>
      <c r="B189" s="2">
        <v>41656</v>
      </c>
      <c r="C189">
        <v>2014</v>
      </c>
      <c r="D189" t="s">
        <v>25</v>
      </c>
      <c r="E189" t="s">
        <v>3839</v>
      </c>
      <c r="F189" t="s">
        <v>4641</v>
      </c>
      <c r="G189" t="s">
        <v>277</v>
      </c>
      <c r="H189" s="16">
        <v>0.08</v>
      </c>
      <c r="I189" t="s">
        <v>4764</v>
      </c>
      <c r="J189" t="s">
        <v>4614</v>
      </c>
    </row>
    <row r="190" spans="1:10">
      <c r="A190" t="s">
        <v>278</v>
      </c>
      <c r="B190" s="2">
        <v>41657</v>
      </c>
      <c r="C190">
        <v>2014</v>
      </c>
      <c r="D190" t="s">
        <v>25</v>
      </c>
      <c r="E190" t="s">
        <v>3870</v>
      </c>
      <c r="F190" t="s">
        <v>4641</v>
      </c>
      <c r="G190" t="s">
        <v>279</v>
      </c>
      <c r="H190" s="16">
        <v>0.51</v>
      </c>
      <c r="I190" t="s">
        <v>4764</v>
      </c>
      <c r="J190" t="s">
        <v>4614</v>
      </c>
    </row>
    <row r="191" spans="1:10">
      <c r="A191" t="s">
        <v>280</v>
      </c>
      <c r="B191" s="2">
        <v>41658</v>
      </c>
      <c r="C191">
        <v>2014</v>
      </c>
      <c r="D191" t="s">
        <v>25</v>
      </c>
      <c r="E191" t="s">
        <v>72</v>
      </c>
      <c r="F191" t="s">
        <v>4641</v>
      </c>
      <c r="G191" t="s">
        <v>3968</v>
      </c>
      <c r="H191" s="16">
        <v>0.06</v>
      </c>
      <c r="I191" t="s">
        <v>4764</v>
      </c>
      <c r="J191" t="s">
        <v>4614</v>
      </c>
    </row>
    <row r="192" spans="1:10">
      <c r="A192" t="s">
        <v>281</v>
      </c>
      <c r="B192" s="2">
        <v>41686</v>
      </c>
      <c r="C192">
        <v>2014</v>
      </c>
      <c r="D192" t="s">
        <v>25</v>
      </c>
      <c r="E192" t="s">
        <v>19</v>
      </c>
      <c r="F192" t="s">
        <v>4641</v>
      </c>
      <c r="G192" t="s">
        <v>3969</v>
      </c>
      <c r="H192" s="16">
        <v>0.06</v>
      </c>
      <c r="I192" t="s">
        <v>4764</v>
      </c>
      <c r="J192" t="s">
        <v>4614</v>
      </c>
    </row>
    <row r="193" spans="1:10">
      <c r="A193" t="s">
        <v>282</v>
      </c>
      <c r="B193" s="2">
        <v>41687</v>
      </c>
      <c r="C193">
        <v>2014</v>
      </c>
      <c r="D193" t="s">
        <v>25</v>
      </c>
      <c r="E193" t="s">
        <v>34</v>
      </c>
      <c r="F193" t="s">
        <v>4641</v>
      </c>
      <c r="G193" t="s">
        <v>3970</v>
      </c>
      <c r="H193" s="16">
        <v>0.12</v>
      </c>
      <c r="I193" t="s">
        <v>4764</v>
      </c>
      <c r="J193" t="s">
        <v>4614</v>
      </c>
    </row>
    <row r="194" spans="1:10">
      <c r="A194" t="s">
        <v>283</v>
      </c>
      <c r="B194" s="2">
        <v>41691</v>
      </c>
      <c r="C194">
        <v>2014</v>
      </c>
      <c r="D194" t="s">
        <v>8</v>
      </c>
      <c r="E194" t="s">
        <v>53</v>
      </c>
      <c r="F194" t="s">
        <v>4642</v>
      </c>
      <c r="G194" t="s">
        <v>284</v>
      </c>
      <c r="H194" s="16">
        <v>50</v>
      </c>
      <c r="I194" t="s">
        <v>4763</v>
      </c>
      <c r="J194" t="s">
        <v>4614</v>
      </c>
    </row>
    <row r="195" spans="1:10">
      <c r="A195" t="s">
        <v>285</v>
      </c>
      <c r="B195" s="2">
        <v>41692</v>
      </c>
      <c r="C195">
        <v>2014</v>
      </c>
      <c r="D195" t="s">
        <v>33</v>
      </c>
      <c r="E195" t="s">
        <v>19</v>
      </c>
      <c r="F195" t="s">
        <v>4643</v>
      </c>
      <c r="G195" t="s">
        <v>3971</v>
      </c>
      <c r="H195" s="16">
        <v>0.4</v>
      </c>
      <c r="I195" t="s">
        <v>4764</v>
      </c>
      <c r="J195" t="s">
        <v>4614</v>
      </c>
    </row>
    <row r="196" spans="1:10">
      <c r="A196" t="s">
        <v>286</v>
      </c>
      <c r="B196" s="2">
        <v>41699</v>
      </c>
      <c r="C196">
        <v>2014</v>
      </c>
      <c r="D196" t="s">
        <v>12</v>
      </c>
      <c r="E196" t="s">
        <v>3839</v>
      </c>
      <c r="F196" t="s">
        <v>4644</v>
      </c>
      <c r="G196" t="s">
        <v>3972</v>
      </c>
      <c r="H196" s="16">
        <v>0.06</v>
      </c>
      <c r="I196" t="s">
        <v>4764</v>
      </c>
      <c r="J196" t="s">
        <v>4614</v>
      </c>
    </row>
    <row r="197" spans="1:10">
      <c r="A197" t="s">
        <v>287</v>
      </c>
      <c r="B197" s="2">
        <v>41701</v>
      </c>
      <c r="C197">
        <v>2014</v>
      </c>
      <c r="D197" t="s">
        <v>25</v>
      </c>
      <c r="E197" t="s">
        <v>19</v>
      </c>
      <c r="F197" t="s">
        <v>4641</v>
      </c>
      <c r="G197" t="s">
        <v>3973</v>
      </c>
      <c r="H197" s="16">
        <v>0.32</v>
      </c>
      <c r="I197" t="s">
        <v>4764</v>
      </c>
      <c r="J197" t="s">
        <v>4614</v>
      </c>
    </row>
    <row r="198" spans="1:10">
      <c r="A198" t="s">
        <v>288</v>
      </c>
      <c r="B198" s="2">
        <v>41707</v>
      </c>
      <c r="C198">
        <v>2014</v>
      </c>
      <c r="D198" t="s">
        <v>25</v>
      </c>
      <c r="E198" t="s">
        <v>72</v>
      </c>
      <c r="F198" t="s">
        <v>4641</v>
      </c>
      <c r="G198" t="s">
        <v>3974</v>
      </c>
      <c r="H198" s="16">
        <v>0.22</v>
      </c>
      <c r="I198" t="s">
        <v>4764</v>
      </c>
      <c r="J198" t="s">
        <v>4614</v>
      </c>
    </row>
    <row r="199" spans="1:10">
      <c r="A199" t="s">
        <v>289</v>
      </c>
      <c r="B199" s="2">
        <v>41715</v>
      </c>
      <c r="C199">
        <v>2014</v>
      </c>
      <c r="D199" t="s">
        <v>25</v>
      </c>
      <c r="E199" t="s">
        <v>3862</v>
      </c>
      <c r="F199" t="s">
        <v>4641</v>
      </c>
      <c r="G199" t="s">
        <v>3975</v>
      </c>
      <c r="H199" s="16">
        <v>0.43</v>
      </c>
      <c r="I199" t="s">
        <v>4764</v>
      </c>
      <c r="J199" t="s">
        <v>4614</v>
      </c>
    </row>
    <row r="200" spans="1:10">
      <c r="A200" t="s">
        <v>290</v>
      </c>
      <c r="B200" s="2">
        <v>41723</v>
      </c>
      <c r="C200">
        <v>2014</v>
      </c>
      <c r="D200" t="s">
        <v>25</v>
      </c>
      <c r="E200" t="s">
        <v>3854</v>
      </c>
      <c r="F200" t="s">
        <v>4641</v>
      </c>
      <c r="G200" t="s">
        <v>3976</v>
      </c>
      <c r="H200" s="16">
        <v>0.03</v>
      </c>
      <c r="I200" t="s">
        <v>4764</v>
      </c>
      <c r="J200" t="s">
        <v>4614</v>
      </c>
    </row>
    <row r="201" spans="1:10">
      <c r="A201" t="s">
        <v>291</v>
      </c>
      <c r="B201" s="2">
        <v>41723</v>
      </c>
      <c r="C201">
        <v>2014</v>
      </c>
      <c r="D201" t="s">
        <v>25</v>
      </c>
      <c r="E201" t="s">
        <v>13</v>
      </c>
      <c r="F201" t="s">
        <v>4641</v>
      </c>
      <c r="G201" t="s">
        <v>3977</v>
      </c>
      <c r="H201" s="16">
        <v>0.22</v>
      </c>
      <c r="I201" t="s">
        <v>4764</v>
      </c>
      <c r="J201" t="s">
        <v>4614</v>
      </c>
    </row>
    <row r="202" spans="1:10">
      <c r="A202" t="s">
        <v>292</v>
      </c>
      <c r="B202" s="2">
        <v>41730</v>
      </c>
      <c r="C202">
        <v>2014</v>
      </c>
      <c r="D202" t="s">
        <v>12</v>
      </c>
      <c r="E202" t="s">
        <v>3839</v>
      </c>
      <c r="F202" t="s">
        <v>4644</v>
      </c>
      <c r="G202" t="s">
        <v>3978</v>
      </c>
      <c r="H202" s="16">
        <v>0.09</v>
      </c>
      <c r="I202" t="s">
        <v>4764</v>
      </c>
      <c r="J202" t="s">
        <v>4614</v>
      </c>
    </row>
    <row r="203" spans="1:10">
      <c r="A203" t="s">
        <v>293</v>
      </c>
      <c r="B203" s="2">
        <v>41749</v>
      </c>
      <c r="C203">
        <v>2014</v>
      </c>
      <c r="D203" t="s">
        <v>12</v>
      </c>
      <c r="E203" t="s">
        <v>47</v>
      </c>
      <c r="F203" t="s">
        <v>4644</v>
      </c>
      <c r="G203" t="s">
        <v>3979</v>
      </c>
      <c r="H203" s="16">
        <v>0.11</v>
      </c>
      <c r="I203" t="s">
        <v>4764</v>
      </c>
      <c r="J203" t="s">
        <v>4614</v>
      </c>
    </row>
    <row r="204" spans="1:10">
      <c r="A204" t="s">
        <v>294</v>
      </c>
      <c r="B204" s="2">
        <v>41770</v>
      </c>
      <c r="C204">
        <v>2014</v>
      </c>
      <c r="D204" t="s">
        <v>25</v>
      </c>
      <c r="E204" t="s">
        <v>34</v>
      </c>
      <c r="F204" t="s">
        <v>4641</v>
      </c>
      <c r="G204" t="s">
        <v>3980</v>
      </c>
      <c r="H204" s="16">
        <v>7.0000000000000007E-2</v>
      </c>
      <c r="I204" t="s">
        <v>4764</v>
      </c>
      <c r="J204" t="s">
        <v>4614</v>
      </c>
    </row>
    <row r="205" spans="1:10">
      <c r="A205" t="s">
        <v>295</v>
      </c>
      <c r="B205" s="2">
        <v>41774</v>
      </c>
      <c r="C205">
        <v>2014</v>
      </c>
      <c r="D205" t="s">
        <v>25</v>
      </c>
      <c r="E205" t="s">
        <v>34</v>
      </c>
      <c r="F205" t="s">
        <v>4641</v>
      </c>
      <c r="G205" t="s">
        <v>296</v>
      </c>
      <c r="H205" s="16">
        <v>0.03</v>
      </c>
      <c r="I205" t="s">
        <v>4764</v>
      </c>
      <c r="J205" t="s">
        <v>4614</v>
      </c>
    </row>
    <row r="206" spans="1:10">
      <c r="A206" t="s">
        <v>297</v>
      </c>
      <c r="B206" s="2">
        <v>41776</v>
      </c>
      <c r="C206">
        <v>2014</v>
      </c>
      <c r="D206" t="s">
        <v>25</v>
      </c>
      <c r="E206" t="s">
        <v>13</v>
      </c>
      <c r="F206" t="s">
        <v>4641</v>
      </c>
      <c r="G206" t="s">
        <v>298</v>
      </c>
      <c r="H206" s="16">
        <v>0.3</v>
      </c>
      <c r="I206" t="s">
        <v>4764</v>
      </c>
      <c r="J206" t="s">
        <v>4614</v>
      </c>
    </row>
    <row r="207" spans="1:10">
      <c r="A207" t="s">
        <v>299</v>
      </c>
      <c r="B207" s="2">
        <v>41778</v>
      </c>
      <c r="C207">
        <v>2014</v>
      </c>
      <c r="D207" t="s">
        <v>8</v>
      </c>
      <c r="E207" t="s">
        <v>23</v>
      </c>
      <c r="F207" t="s">
        <v>4642</v>
      </c>
      <c r="G207" t="s">
        <v>3981</v>
      </c>
      <c r="H207" s="16">
        <v>8.24</v>
      </c>
      <c r="I207" t="s">
        <v>4764</v>
      </c>
      <c r="J207" t="s">
        <v>4614</v>
      </c>
    </row>
    <row r="208" spans="1:10">
      <c r="A208" t="s">
        <v>300</v>
      </c>
      <c r="B208" s="2">
        <v>41780</v>
      </c>
      <c r="C208">
        <v>2014</v>
      </c>
      <c r="D208" t="s">
        <v>12</v>
      </c>
      <c r="E208" t="s">
        <v>72</v>
      </c>
      <c r="F208" t="s">
        <v>4644</v>
      </c>
      <c r="G208" t="s">
        <v>301</v>
      </c>
      <c r="H208" s="16">
        <v>0.95</v>
      </c>
      <c r="I208" t="s">
        <v>4764</v>
      </c>
      <c r="J208" t="s">
        <v>4614</v>
      </c>
    </row>
    <row r="209" spans="1:10">
      <c r="A209" t="s">
        <v>302</v>
      </c>
      <c r="B209" s="2">
        <v>41783</v>
      </c>
      <c r="C209">
        <v>2014</v>
      </c>
      <c r="D209" t="s">
        <v>25</v>
      </c>
      <c r="E209" t="s">
        <v>34</v>
      </c>
      <c r="F209" t="s">
        <v>4641</v>
      </c>
      <c r="G209" t="s">
        <v>3982</v>
      </c>
      <c r="H209" s="16">
        <v>0.05</v>
      </c>
      <c r="I209" t="s">
        <v>4764</v>
      </c>
      <c r="J209" t="s">
        <v>4614</v>
      </c>
    </row>
    <row r="210" spans="1:10">
      <c r="A210" t="s">
        <v>303</v>
      </c>
      <c r="B210" s="2">
        <v>41785</v>
      </c>
      <c r="C210">
        <v>2014</v>
      </c>
      <c r="D210" t="s">
        <v>8</v>
      </c>
      <c r="E210" t="s">
        <v>304</v>
      </c>
      <c r="F210" t="s">
        <v>4645</v>
      </c>
      <c r="G210" t="s">
        <v>305</v>
      </c>
      <c r="H210" s="16">
        <v>14.2</v>
      </c>
      <c r="I210" t="s">
        <v>4763</v>
      </c>
      <c r="J210" t="s">
        <v>4613</v>
      </c>
    </row>
    <row r="211" spans="1:10">
      <c r="A211" t="s">
        <v>306</v>
      </c>
      <c r="B211" s="2">
        <v>41798</v>
      </c>
      <c r="C211">
        <v>2014</v>
      </c>
      <c r="D211" t="s">
        <v>33</v>
      </c>
      <c r="E211" t="s">
        <v>45</v>
      </c>
      <c r="F211" t="s">
        <v>4643</v>
      </c>
      <c r="G211" t="s">
        <v>3983</v>
      </c>
      <c r="H211" s="16">
        <v>0.12</v>
      </c>
      <c r="I211" t="s">
        <v>4764</v>
      </c>
      <c r="J211" t="s">
        <v>4614</v>
      </c>
    </row>
    <row r="212" spans="1:10">
      <c r="A212" t="s">
        <v>307</v>
      </c>
      <c r="B212" s="2">
        <v>41800</v>
      </c>
      <c r="C212">
        <v>2014</v>
      </c>
      <c r="D212" t="s">
        <v>25</v>
      </c>
      <c r="E212" t="s">
        <v>3836</v>
      </c>
      <c r="F212" t="s">
        <v>4641</v>
      </c>
      <c r="G212" t="s">
        <v>3984</v>
      </c>
      <c r="H212" s="16">
        <v>0.11</v>
      </c>
      <c r="I212" t="s">
        <v>4764</v>
      </c>
      <c r="J212" t="s">
        <v>4614</v>
      </c>
    </row>
    <row r="213" spans="1:10">
      <c r="A213" t="s">
        <v>308</v>
      </c>
      <c r="B213" s="2">
        <v>41802</v>
      </c>
      <c r="C213">
        <v>2014</v>
      </c>
      <c r="D213" t="s">
        <v>25</v>
      </c>
      <c r="E213" t="s">
        <v>72</v>
      </c>
      <c r="F213" t="s">
        <v>4641</v>
      </c>
      <c r="G213" t="s">
        <v>3985</v>
      </c>
      <c r="H213" s="16">
        <v>0.31</v>
      </c>
      <c r="I213" t="s">
        <v>4764</v>
      </c>
      <c r="J213" t="s">
        <v>4614</v>
      </c>
    </row>
    <row r="214" spans="1:10">
      <c r="A214" t="s">
        <v>309</v>
      </c>
      <c r="B214" s="2">
        <v>41806</v>
      </c>
      <c r="C214">
        <v>2014</v>
      </c>
      <c r="D214" t="s">
        <v>25</v>
      </c>
      <c r="E214" t="s">
        <v>47</v>
      </c>
      <c r="F214" t="s">
        <v>4641</v>
      </c>
      <c r="G214" t="s">
        <v>3986</v>
      </c>
      <c r="H214" s="16">
        <v>0.1</v>
      </c>
      <c r="I214" t="s">
        <v>4764</v>
      </c>
      <c r="J214" t="s">
        <v>4614</v>
      </c>
    </row>
    <row r="215" spans="1:10">
      <c r="A215" t="s">
        <v>310</v>
      </c>
      <c r="B215" s="2">
        <v>41808</v>
      </c>
      <c r="C215">
        <v>2014</v>
      </c>
      <c r="D215" t="s">
        <v>25</v>
      </c>
      <c r="E215" t="s">
        <v>19</v>
      </c>
      <c r="F215" t="s">
        <v>4641</v>
      </c>
      <c r="G215" t="s">
        <v>3987</v>
      </c>
      <c r="H215" s="16">
        <v>0.04</v>
      </c>
      <c r="I215" t="s">
        <v>4764</v>
      </c>
      <c r="J215" t="s">
        <v>4614</v>
      </c>
    </row>
    <row r="216" spans="1:10">
      <c r="A216" t="s">
        <v>311</v>
      </c>
      <c r="B216" s="2">
        <v>41815</v>
      </c>
      <c r="C216">
        <v>2014</v>
      </c>
      <c r="D216" t="s">
        <v>8</v>
      </c>
      <c r="E216" t="s">
        <v>3903</v>
      </c>
      <c r="F216" t="s">
        <v>4642</v>
      </c>
      <c r="G216" t="s">
        <v>3988</v>
      </c>
      <c r="H216" s="16">
        <v>2.94</v>
      </c>
      <c r="I216" t="s">
        <v>4764</v>
      </c>
      <c r="J216" t="s">
        <v>4614</v>
      </c>
    </row>
    <row r="217" spans="1:10">
      <c r="A217" t="s">
        <v>312</v>
      </c>
      <c r="B217" s="2">
        <v>41836</v>
      </c>
      <c r="C217">
        <v>2014</v>
      </c>
      <c r="D217" t="s">
        <v>33</v>
      </c>
      <c r="E217" t="s">
        <v>49</v>
      </c>
      <c r="F217" t="s">
        <v>4643</v>
      </c>
      <c r="G217" t="s">
        <v>313</v>
      </c>
      <c r="H217" s="16">
        <v>0.28999999999999998</v>
      </c>
      <c r="I217" t="s">
        <v>4764</v>
      </c>
      <c r="J217" t="s">
        <v>4614</v>
      </c>
    </row>
    <row r="218" spans="1:10">
      <c r="A218" t="s">
        <v>314</v>
      </c>
      <c r="B218" s="2">
        <v>41838</v>
      </c>
      <c r="C218">
        <v>2014</v>
      </c>
      <c r="D218" t="s">
        <v>15</v>
      </c>
      <c r="E218" t="s">
        <v>3832</v>
      </c>
      <c r="F218" t="s">
        <v>4646</v>
      </c>
      <c r="G218" t="s">
        <v>3989</v>
      </c>
      <c r="H218" s="16">
        <v>0.49</v>
      </c>
      <c r="I218" t="s">
        <v>4764</v>
      </c>
      <c r="J218" t="s">
        <v>4614</v>
      </c>
    </row>
    <row r="219" spans="1:10">
      <c r="A219" t="s">
        <v>315</v>
      </c>
      <c r="B219" s="2">
        <v>41839</v>
      </c>
      <c r="C219">
        <v>2014</v>
      </c>
      <c r="D219" t="s">
        <v>12</v>
      </c>
      <c r="E219" t="s">
        <v>49</v>
      </c>
      <c r="F219" t="s">
        <v>4644</v>
      </c>
      <c r="G219" t="s">
        <v>3990</v>
      </c>
      <c r="H219" s="16">
        <v>0.08</v>
      </c>
      <c r="I219" t="s">
        <v>4764</v>
      </c>
      <c r="J219" t="s">
        <v>4614</v>
      </c>
    </row>
    <row r="220" spans="1:10">
      <c r="A220" t="s">
        <v>316</v>
      </c>
      <c r="B220" s="2">
        <v>41841</v>
      </c>
      <c r="C220">
        <v>2014</v>
      </c>
      <c r="D220" t="s">
        <v>33</v>
      </c>
      <c r="E220" t="s">
        <v>45</v>
      </c>
      <c r="F220" t="s">
        <v>4643</v>
      </c>
      <c r="G220" t="s">
        <v>317</v>
      </c>
      <c r="H220" s="16">
        <v>0.17</v>
      </c>
      <c r="I220" t="s">
        <v>4764</v>
      </c>
      <c r="J220" t="s">
        <v>4614</v>
      </c>
    </row>
    <row r="221" spans="1:10">
      <c r="A221" t="s">
        <v>318</v>
      </c>
      <c r="B221" s="2">
        <v>41852</v>
      </c>
      <c r="C221">
        <v>2014</v>
      </c>
      <c r="D221" t="s">
        <v>25</v>
      </c>
      <c r="E221" t="s">
        <v>45</v>
      </c>
      <c r="F221" t="s">
        <v>4641</v>
      </c>
      <c r="G221" t="s">
        <v>319</v>
      </c>
      <c r="H221" s="16">
        <v>0.1</v>
      </c>
      <c r="I221" t="s">
        <v>4764</v>
      </c>
      <c r="J221" t="s">
        <v>4614</v>
      </c>
    </row>
    <row r="222" spans="1:10">
      <c r="A222" t="s">
        <v>320</v>
      </c>
      <c r="B222" s="2">
        <v>41854</v>
      </c>
      <c r="C222">
        <v>2014</v>
      </c>
      <c r="D222" t="s">
        <v>12</v>
      </c>
      <c r="E222" t="s">
        <v>3836</v>
      </c>
      <c r="F222" t="s">
        <v>4644</v>
      </c>
      <c r="G222" t="s">
        <v>3991</v>
      </c>
      <c r="H222" s="16">
        <v>0.09</v>
      </c>
      <c r="I222" t="s">
        <v>4764</v>
      </c>
      <c r="J222" t="s">
        <v>4614</v>
      </c>
    </row>
    <row r="223" spans="1:10">
      <c r="A223" t="s">
        <v>321</v>
      </c>
      <c r="B223" s="2">
        <v>41864</v>
      </c>
      <c r="C223">
        <v>2014</v>
      </c>
      <c r="D223" t="s">
        <v>15</v>
      </c>
      <c r="E223" t="s">
        <v>3832</v>
      </c>
      <c r="F223" t="s">
        <v>4646</v>
      </c>
      <c r="G223" t="s">
        <v>322</v>
      </c>
      <c r="H223" s="16">
        <v>0.28000000000000003</v>
      </c>
      <c r="I223" t="s">
        <v>4764</v>
      </c>
      <c r="J223" t="s">
        <v>4614</v>
      </c>
    </row>
    <row r="224" spans="1:10">
      <c r="A224" t="s">
        <v>323</v>
      </c>
      <c r="B224" s="2">
        <v>41867</v>
      </c>
      <c r="C224">
        <v>2014</v>
      </c>
      <c r="D224" t="s">
        <v>12</v>
      </c>
      <c r="E224" t="s">
        <v>34</v>
      </c>
      <c r="F224" t="s">
        <v>4644</v>
      </c>
      <c r="G224" t="s">
        <v>3992</v>
      </c>
      <c r="H224" s="16">
        <v>0.54</v>
      </c>
      <c r="I224" t="s">
        <v>4764</v>
      </c>
      <c r="J224" t="s">
        <v>4614</v>
      </c>
    </row>
    <row r="225" spans="1:10">
      <c r="A225" t="s">
        <v>324</v>
      </c>
      <c r="B225" s="2">
        <v>41870</v>
      </c>
      <c r="C225">
        <v>2014</v>
      </c>
      <c r="D225" t="s">
        <v>15</v>
      </c>
      <c r="E225" t="s">
        <v>3832</v>
      </c>
      <c r="F225" t="s">
        <v>4646</v>
      </c>
      <c r="G225" t="s">
        <v>3993</v>
      </c>
      <c r="H225" s="16">
        <v>2.1800000000000002</v>
      </c>
      <c r="I225" t="s">
        <v>4764</v>
      </c>
      <c r="J225" t="s">
        <v>4614</v>
      </c>
    </row>
    <row r="226" spans="1:10">
      <c r="A226" t="s">
        <v>325</v>
      </c>
      <c r="B226" s="2">
        <v>41870</v>
      </c>
      <c r="C226">
        <v>2014</v>
      </c>
      <c r="D226" t="s">
        <v>12</v>
      </c>
      <c r="E226" t="s">
        <v>29</v>
      </c>
      <c r="F226" t="s">
        <v>4644</v>
      </c>
      <c r="G226" t="s">
        <v>3983</v>
      </c>
      <c r="H226" s="16">
        <v>0.06</v>
      </c>
      <c r="I226" t="s">
        <v>4764</v>
      </c>
      <c r="J226" t="s">
        <v>4614</v>
      </c>
    </row>
    <row r="227" spans="1:10">
      <c r="A227" t="s">
        <v>326</v>
      </c>
      <c r="B227" s="2">
        <v>41871</v>
      </c>
      <c r="C227">
        <v>2014</v>
      </c>
      <c r="D227" t="s">
        <v>8</v>
      </c>
      <c r="E227" t="s">
        <v>9</v>
      </c>
      <c r="F227" t="s">
        <v>4642</v>
      </c>
      <c r="G227" t="s">
        <v>3994</v>
      </c>
      <c r="H227" s="16">
        <v>0.13</v>
      </c>
      <c r="I227" t="s">
        <v>4764</v>
      </c>
      <c r="J227" t="s">
        <v>4614</v>
      </c>
    </row>
    <row r="228" spans="1:10">
      <c r="A228" t="s">
        <v>327</v>
      </c>
      <c r="B228" s="2">
        <v>41872</v>
      </c>
      <c r="C228">
        <v>2014</v>
      </c>
      <c r="D228" t="s">
        <v>25</v>
      </c>
      <c r="E228" t="s">
        <v>29</v>
      </c>
      <c r="F228" t="s">
        <v>4641</v>
      </c>
      <c r="G228" t="s">
        <v>3995</v>
      </c>
      <c r="H228" s="16">
        <v>0.04</v>
      </c>
      <c r="I228" t="s">
        <v>4764</v>
      </c>
      <c r="J228" t="s">
        <v>4614</v>
      </c>
    </row>
    <row r="229" spans="1:10">
      <c r="A229" t="s">
        <v>328</v>
      </c>
      <c r="B229" s="2">
        <v>41874</v>
      </c>
      <c r="C229">
        <v>2014</v>
      </c>
      <c r="D229" t="s">
        <v>15</v>
      </c>
      <c r="E229" t="s">
        <v>3832</v>
      </c>
      <c r="F229" t="s">
        <v>4646</v>
      </c>
      <c r="G229" t="s">
        <v>329</v>
      </c>
      <c r="H229" s="16">
        <v>0.54</v>
      </c>
      <c r="I229" t="s">
        <v>4764</v>
      </c>
      <c r="J229" t="s">
        <v>4614</v>
      </c>
    </row>
    <row r="230" spans="1:10">
      <c r="A230" t="s">
        <v>330</v>
      </c>
      <c r="B230" s="2">
        <v>41890</v>
      </c>
      <c r="C230">
        <v>2014</v>
      </c>
      <c r="D230" t="s">
        <v>15</v>
      </c>
      <c r="E230" t="s">
        <v>3832</v>
      </c>
      <c r="F230" t="s">
        <v>4646</v>
      </c>
      <c r="G230" t="s">
        <v>3996</v>
      </c>
      <c r="H230" s="16">
        <v>0.16</v>
      </c>
      <c r="I230" t="s">
        <v>4764</v>
      </c>
      <c r="J230" t="s">
        <v>4614</v>
      </c>
    </row>
    <row r="231" spans="1:10">
      <c r="A231" t="s">
        <v>331</v>
      </c>
      <c r="B231" s="2">
        <v>41890</v>
      </c>
      <c r="C231">
        <v>2014</v>
      </c>
      <c r="D231" t="s">
        <v>12</v>
      </c>
      <c r="E231" t="s">
        <v>47</v>
      </c>
      <c r="F231" t="s">
        <v>4644</v>
      </c>
      <c r="G231" t="s">
        <v>3997</v>
      </c>
      <c r="H231" s="16">
        <v>0.12</v>
      </c>
      <c r="I231" t="s">
        <v>4764</v>
      </c>
      <c r="J231" t="s">
        <v>4614</v>
      </c>
    </row>
    <row r="232" spans="1:10">
      <c r="A232" t="s">
        <v>332</v>
      </c>
      <c r="B232" s="2">
        <v>41909</v>
      </c>
      <c r="C232">
        <v>2014</v>
      </c>
      <c r="D232" t="s">
        <v>8</v>
      </c>
      <c r="E232" t="s">
        <v>17</v>
      </c>
      <c r="F232" t="s">
        <v>4642</v>
      </c>
      <c r="G232" t="s">
        <v>3998</v>
      </c>
      <c r="H232" s="16">
        <v>12.27</v>
      </c>
      <c r="I232" t="s">
        <v>4763</v>
      </c>
      <c r="J232" t="s">
        <v>4614</v>
      </c>
    </row>
    <row r="233" spans="1:10">
      <c r="A233" t="s">
        <v>333</v>
      </c>
      <c r="B233" s="2">
        <v>41918</v>
      </c>
      <c r="C233">
        <v>2014</v>
      </c>
      <c r="D233" t="s">
        <v>15</v>
      </c>
      <c r="E233" t="s">
        <v>3832</v>
      </c>
      <c r="F233" t="s">
        <v>4646</v>
      </c>
      <c r="G233" t="s">
        <v>334</v>
      </c>
      <c r="H233" s="16">
        <v>1.39</v>
      </c>
      <c r="I233" t="s">
        <v>4764</v>
      </c>
      <c r="J233" t="s">
        <v>4614</v>
      </c>
    </row>
    <row r="234" spans="1:10">
      <c r="A234" t="s">
        <v>335</v>
      </c>
      <c r="B234" s="2">
        <v>41921</v>
      </c>
      <c r="C234">
        <v>2014</v>
      </c>
      <c r="D234" t="s">
        <v>25</v>
      </c>
      <c r="E234" t="s">
        <v>3836</v>
      </c>
      <c r="F234" t="s">
        <v>4641</v>
      </c>
      <c r="G234" t="s">
        <v>3999</v>
      </c>
      <c r="H234" s="16">
        <v>0.63</v>
      </c>
      <c r="I234" t="s">
        <v>4764</v>
      </c>
      <c r="J234" t="s">
        <v>4614</v>
      </c>
    </row>
    <row r="235" spans="1:10">
      <c r="A235" t="s">
        <v>336</v>
      </c>
      <c r="B235" s="2">
        <v>41924</v>
      </c>
      <c r="C235">
        <v>2014</v>
      </c>
      <c r="D235" t="s">
        <v>8</v>
      </c>
      <c r="E235" t="s">
        <v>3850</v>
      </c>
      <c r="F235" t="s">
        <v>4642</v>
      </c>
      <c r="G235" t="s">
        <v>4000</v>
      </c>
      <c r="H235" s="16">
        <v>0.9</v>
      </c>
      <c r="I235" t="s">
        <v>4764</v>
      </c>
      <c r="J235" t="s">
        <v>4614</v>
      </c>
    </row>
    <row r="236" spans="1:10">
      <c r="A236" t="s">
        <v>337</v>
      </c>
      <c r="B236" s="2">
        <v>41926</v>
      </c>
      <c r="C236">
        <v>2014</v>
      </c>
      <c r="D236" t="s">
        <v>25</v>
      </c>
      <c r="E236" t="s">
        <v>49</v>
      </c>
      <c r="F236" t="s">
        <v>4641</v>
      </c>
      <c r="G236" t="s">
        <v>338</v>
      </c>
      <c r="H236" s="16">
        <v>0.4</v>
      </c>
      <c r="I236" t="s">
        <v>4764</v>
      </c>
      <c r="J236" t="s">
        <v>4614</v>
      </c>
    </row>
    <row r="237" spans="1:10">
      <c r="A237" t="s">
        <v>339</v>
      </c>
      <c r="B237" s="2">
        <v>41928</v>
      </c>
      <c r="C237">
        <v>2014</v>
      </c>
      <c r="D237" t="s">
        <v>33</v>
      </c>
      <c r="E237" t="s">
        <v>19</v>
      </c>
      <c r="F237" t="s">
        <v>4643</v>
      </c>
      <c r="G237" t="s">
        <v>4001</v>
      </c>
      <c r="H237" s="16">
        <v>0.23</v>
      </c>
      <c r="I237" t="s">
        <v>4764</v>
      </c>
      <c r="J237" t="s">
        <v>4614</v>
      </c>
    </row>
    <row r="238" spans="1:10">
      <c r="A238" t="s">
        <v>340</v>
      </c>
      <c r="B238" s="2">
        <v>41935</v>
      </c>
      <c r="C238">
        <v>2014</v>
      </c>
      <c r="D238" t="s">
        <v>25</v>
      </c>
      <c r="E238" t="s">
        <v>3862</v>
      </c>
      <c r="F238" t="s">
        <v>4641</v>
      </c>
      <c r="G238" t="s">
        <v>4002</v>
      </c>
      <c r="H238" s="16">
        <v>0.56000000000000005</v>
      </c>
      <c r="I238" t="s">
        <v>4764</v>
      </c>
      <c r="J238" t="s">
        <v>4614</v>
      </c>
    </row>
    <row r="239" spans="1:10">
      <c r="A239" t="s">
        <v>341</v>
      </c>
      <c r="B239" s="2">
        <v>41939</v>
      </c>
      <c r="C239">
        <v>2014</v>
      </c>
      <c r="D239" t="s">
        <v>12</v>
      </c>
      <c r="E239" t="s">
        <v>3839</v>
      </c>
      <c r="F239" t="s">
        <v>4644</v>
      </c>
      <c r="G239" t="s">
        <v>342</v>
      </c>
      <c r="H239" s="16">
        <v>0.13</v>
      </c>
      <c r="I239" t="s">
        <v>4764</v>
      </c>
      <c r="J239" t="s">
        <v>4614</v>
      </c>
    </row>
    <row r="240" spans="1:10">
      <c r="A240" t="s">
        <v>343</v>
      </c>
      <c r="B240" s="2">
        <v>41944</v>
      </c>
      <c r="C240">
        <v>2014</v>
      </c>
      <c r="D240" t="s">
        <v>15</v>
      </c>
      <c r="E240" t="s">
        <v>3832</v>
      </c>
      <c r="F240" t="s">
        <v>4646</v>
      </c>
      <c r="G240" t="s">
        <v>4003</v>
      </c>
      <c r="H240" s="16">
        <v>0.2</v>
      </c>
      <c r="I240" t="s">
        <v>4764</v>
      </c>
      <c r="J240" t="s">
        <v>4614</v>
      </c>
    </row>
    <row r="241" spans="1:10">
      <c r="A241" t="s">
        <v>344</v>
      </c>
      <c r="B241" s="2">
        <v>41956</v>
      </c>
      <c r="C241">
        <v>2014</v>
      </c>
      <c r="D241" t="s">
        <v>25</v>
      </c>
      <c r="E241" t="s">
        <v>34</v>
      </c>
      <c r="F241" t="s">
        <v>4641</v>
      </c>
      <c r="G241" t="s">
        <v>345</v>
      </c>
      <c r="H241" s="16">
        <v>0.32</v>
      </c>
      <c r="I241" t="s">
        <v>4764</v>
      </c>
      <c r="J241" t="s">
        <v>4614</v>
      </c>
    </row>
    <row r="242" spans="1:10">
      <c r="A242" t="s">
        <v>346</v>
      </c>
      <c r="B242" s="2">
        <v>41957</v>
      </c>
      <c r="C242">
        <v>2014</v>
      </c>
      <c r="D242" t="s">
        <v>25</v>
      </c>
      <c r="E242" t="s">
        <v>3854</v>
      </c>
      <c r="F242" t="s">
        <v>4641</v>
      </c>
      <c r="G242" t="s">
        <v>347</v>
      </c>
      <c r="H242" s="16">
        <v>7.0000000000000007E-2</v>
      </c>
      <c r="I242" t="s">
        <v>4764</v>
      </c>
      <c r="J242" t="s">
        <v>4614</v>
      </c>
    </row>
    <row r="243" spans="1:10">
      <c r="A243" t="s">
        <v>348</v>
      </c>
      <c r="B243" s="2">
        <v>41960</v>
      </c>
      <c r="C243">
        <v>2014</v>
      </c>
      <c r="D243" t="s">
        <v>25</v>
      </c>
      <c r="E243" t="s">
        <v>45</v>
      </c>
      <c r="F243" t="s">
        <v>4641</v>
      </c>
      <c r="G243" t="s">
        <v>3848</v>
      </c>
      <c r="H243" s="16">
        <v>0.59</v>
      </c>
      <c r="I243" t="s">
        <v>4764</v>
      </c>
      <c r="J243" t="s">
        <v>4614</v>
      </c>
    </row>
    <row r="244" spans="1:10">
      <c r="A244" t="s">
        <v>349</v>
      </c>
      <c r="B244" s="2">
        <v>41960</v>
      </c>
      <c r="C244">
        <v>2014</v>
      </c>
      <c r="D244" t="s">
        <v>8</v>
      </c>
      <c r="E244" t="s">
        <v>350</v>
      </c>
      <c r="F244" t="s">
        <v>4647</v>
      </c>
      <c r="G244" t="s">
        <v>351</v>
      </c>
      <c r="H244" s="16">
        <v>70.5</v>
      </c>
      <c r="I244" t="s">
        <v>4763</v>
      </c>
      <c r="J244" t="s">
        <v>4613</v>
      </c>
    </row>
    <row r="245" spans="1:10">
      <c r="A245" t="s">
        <v>352</v>
      </c>
      <c r="B245" s="2">
        <v>41961</v>
      </c>
      <c r="C245">
        <v>2014</v>
      </c>
      <c r="D245" t="s">
        <v>12</v>
      </c>
      <c r="E245" t="s">
        <v>19</v>
      </c>
      <c r="F245" t="s">
        <v>4644</v>
      </c>
      <c r="G245" t="s">
        <v>4004</v>
      </c>
      <c r="H245" s="16">
        <v>0.2</v>
      </c>
      <c r="I245" t="s">
        <v>4764</v>
      </c>
      <c r="J245" t="s">
        <v>4614</v>
      </c>
    </row>
    <row r="246" spans="1:10">
      <c r="A246" t="s">
        <v>353</v>
      </c>
      <c r="B246" s="2">
        <v>41982</v>
      </c>
      <c r="C246">
        <v>2014</v>
      </c>
      <c r="D246" t="s">
        <v>8</v>
      </c>
      <c r="E246" t="s">
        <v>215</v>
      </c>
      <c r="F246" t="s">
        <v>4642</v>
      </c>
      <c r="G246" t="s">
        <v>354</v>
      </c>
      <c r="H246" s="16">
        <v>0.47</v>
      </c>
      <c r="I246" t="s">
        <v>4764</v>
      </c>
      <c r="J246" t="s">
        <v>4614</v>
      </c>
    </row>
    <row r="247" spans="1:10">
      <c r="A247" t="s">
        <v>355</v>
      </c>
      <c r="B247" s="2">
        <v>41987</v>
      </c>
      <c r="C247">
        <v>2014</v>
      </c>
      <c r="D247" t="s">
        <v>25</v>
      </c>
      <c r="E247" t="s">
        <v>13</v>
      </c>
      <c r="F247" t="s">
        <v>4641</v>
      </c>
      <c r="G247" t="s">
        <v>356</v>
      </c>
      <c r="H247" s="16">
        <v>0.12</v>
      </c>
      <c r="I247" t="s">
        <v>4764</v>
      </c>
      <c r="J247" t="s">
        <v>4614</v>
      </c>
    </row>
    <row r="248" spans="1:10">
      <c r="A248" t="s">
        <v>357</v>
      </c>
      <c r="B248" s="2">
        <v>41996</v>
      </c>
      <c r="C248">
        <v>2014</v>
      </c>
      <c r="D248" t="s">
        <v>25</v>
      </c>
      <c r="E248" t="s">
        <v>13</v>
      </c>
      <c r="F248" t="s">
        <v>4641</v>
      </c>
      <c r="G248" t="s">
        <v>358</v>
      </c>
      <c r="H248" s="16">
        <v>0.05</v>
      </c>
      <c r="I248" t="s">
        <v>4764</v>
      </c>
      <c r="J248" t="s">
        <v>4614</v>
      </c>
    </row>
    <row r="249" spans="1:10">
      <c r="A249" t="s">
        <v>359</v>
      </c>
      <c r="B249" s="2">
        <v>42000</v>
      </c>
      <c r="C249">
        <v>2014</v>
      </c>
      <c r="D249" t="s">
        <v>25</v>
      </c>
      <c r="E249" t="s">
        <v>19</v>
      </c>
      <c r="F249" t="s">
        <v>4641</v>
      </c>
      <c r="G249" t="s">
        <v>4005</v>
      </c>
      <c r="H249" s="16">
        <v>7.0000000000000007E-2</v>
      </c>
      <c r="I249" t="s">
        <v>4764</v>
      </c>
      <c r="J249" t="s">
        <v>4614</v>
      </c>
    </row>
    <row r="250" spans="1:10">
      <c r="A250" t="s">
        <v>360</v>
      </c>
      <c r="B250" s="2">
        <v>42013</v>
      </c>
      <c r="C250">
        <v>2015</v>
      </c>
      <c r="D250" t="s">
        <v>25</v>
      </c>
      <c r="E250" t="s">
        <v>45</v>
      </c>
      <c r="F250" t="s">
        <v>4648</v>
      </c>
      <c r="G250" t="s">
        <v>4006</v>
      </c>
      <c r="H250" s="16">
        <v>0.13</v>
      </c>
      <c r="I250" t="s">
        <v>4764</v>
      </c>
      <c r="J250" t="s">
        <v>4614</v>
      </c>
    </row>
    <row r="251" spans="1:10">
      <c r="A251" t="s">
        <v>361</v>
      </c>
      <c r="B251" s="2">
        <v>42016</v>
      </c>
      <c r="C251">
        <v>2015</v>
      </c>
      <c r="D251" t="s">
        <v>25</v>
      </c>
      <c r="E251" t="s">
        <v>3854</v>
      </c>
      <c r="F251" t="s">
        <v>4648</v>
      </c>
      <c r="G251" t="s">
        <v>362</v>
      </c>
      <c r="H251" s="16">
        <v>0.18</v>
      </c>
      <c r="I251" t="s">
        <v>4764</v>
      </c>
      <c r="J251" t="s">
        <v>4614</v>
      </c>
    </row>
    <row r="252" spans="1:10">
      <c r="A252" t="s">
        <v>363</v>
      </c>
      <c r="B252" s="2">
        <v>42018</v>
      </c>
      <c r="C252">
        <v>2015</v>
      </c>
      <c r="D252" t="s">
        <v>8</v>
      </c>
      <c r="E252" t="s">
        <v>3846</v>
      </c>
      <c r="F252" t="s">
        <v>4649</v>
      </c>
      <c r="G252" t="s">
        <v>4007</v>
      </c>
      <c r="H252" s="16">
        <v>2.56</v>
      </c>
      <c r="I252" t="s">
        <v>4764</v>
      </c>
      <c r="J252" t="s">
        <v>4614</v>
      </c>
    </row>
    <row r="253" spans="1:10">
      <c r="A253" t="s">
        <v>364</v>
      </c>
      <c r="B253" s="2">
        <v>42019</v>
      </c>
      <c r="C253">
        <v>2015</v>
      </c>
      <c r="D253" t="s">
        <v>8</v>
      </c>
      <c r="E253" t="s">
        <v>130</v>
      </c>
      <c r="F253" t="s">
        <v>4649</v>
      </c>
      <c r="G253" t="s">
        <v>4008</v>
      </c>
      <c r="H253" s="16">
        <v>10.01</v>
      </c>
      <c r="I253" t="s">
        <v>4763</v>
      </c>
      <c r="J253" t="s">
        <v>4614</v>
      </c>
    </row>
    <row r="254" spans="1:10">
      <c r="A254" t="s">
        <v>365</v>
      </c>
      <c r="B254" s="2">
        <v>42024</v>
      </c>
      <c r="C254">
        <v>2015</v>
      </c>
      <c r="D254" t="s">
        <v>33</v>
      </c>
      <c r="E254" t="s">
        <v>3854</v>
      </c>
      <c r="F254" t="s">
        <v>4650</v>
      </c>
      <c r="G254" t="s">
        <v>4009</v>
      </c>
      <c r="H254" s="16">
        <v>0.21</v>
      </c>
      <c r="I254" t="s">
        <v>4764</v>
      </c>
      <c r="J254" t="s">
        <v>4614</v>
      </c>
    </row>
    <row r="255" spans="1:10">
      <c r="A255" t="s">
        <v>366</v>
      </c>
      <c r="B255" s="2">
        <v>42024</v>
      </c>
      <c r="C255">
        <v>2015</v>
      </c>
      <c r="D255" t="s">
        <v>15</v>
      </c>
      <c r="E255" t="s">
        <v>3832</v>
      </c>
      <c r="F255" t="s">
        <v>4651</v>
      </c>
      <c r="G255" t="s">
        <v>4010</v>
      </c>
      <c r="H255" s="16">
        <v>0.26</v>
      </c>
      <c r="I255" t="s">
        <v>4764</v>
      </c>
      <c r="J255" t="s">
        <v>4614</v>
      </c>
    </row>
    <row r="256" spans="1:10">
      <c r="A256" t="s">
        <v>367</v>
      </c>
      <c r="B256" s="2">
        <v>42026</v>
      </c>
      <c r="C256">
        <v>2015</v>
      </c>
      <c r="D256" t="s">
        <v>25</v>
      </c>
      <c r="E256" t="s">
        <v>3836</v>
      </c>
      <c r="F256" t="s">
        <v>4648</v>
      </c>
      <c r="G256" t="s">
        <v>4011</v>
      </c>
      <c r="H256" s="16">
        <v>0.28000000000000003</v>
      </c>
      <c r="I256" t="s">
        <v>4764</v>
      </c>
      <c r="J256" t="s">
        <v>4614</v>
      </c>
    </row>
    <row r="257" spans="1:10">
      <c r="A257" t="s">
        <v>368</v>
      </c>
      <c r="B257" s="2">
        <v>42051</v>
      </c>
      <c r="C257">
        <v>2015</v>
      </c>
      <c r="D257" t="s">
        <v>25</v>
      </c>
      <c r="E257" t="s">
        <v>29</v>
      </c>
      <c r="F257" t="s">
        <v>4648</v>
      </c>
      <c r="G257" t="s">
        <v>4012</v>
      </c>
      <c r="H257" s="16">
        <v>0.44</v>
      </c>
      <c r="I257" t="s">
        <v>4764</v>
      </c>
      <c r="J257" t="s">
        <v>4614</v>
      </c>
    </row>
    <row r="258" spans="1:10">
      <c r="A258" t="s">
        <v>369</v>
      </c>
      <c r="B258" s="2">
        <v>42057</v>
      </c>
      <c r="C258">
        <v>2015</v>
      </c>
      <c r="D258" t="s">
        <v>12</v>
      </c>
      <c r="E258" t="s">
        <v>3854</v>
      </c>
      <c r="F258" t="s">
        <v>4652</v>
      </c>
      <c r="G258" t="s">
        <v>4013</v>
      </c>
      <c r="H258" s="16">
        <v>0.2</v>
      </c>
      <c r="I258" t="s">
        <v>4764</v>
      </c>
      <c r="J258" t="s">
        <v>4614</v>
      </c>
    </row>
    <row r="259" spans="1:10">
      <c r="A259" t="s">
        <v>370</v>
      </c>
      <c r="B259" s="2">
        <v>42061</v>
      </c>
      <c r="C259">
        <v>2015</v>
      </c>
      <c r="D259" t="s">
        <v>21</v>
      </c>
      <c r="E259" t="s">
        <v>3870</v>
      </c>
      <c r="F259" t="s">
        <v>4653</v>
      </c>
      <c r="G259" t="s">
        <v>371</v>
      </c>
      <c r="H259" s="16">
        <v>0.06</v>
      </c>
      <c r="I259" t="s">
        <v>4764</v>
      </c>
      <c r="J259" t="s">
        <v>4614</v>
      </c>
    </row>
    <row r="260" spans="1:10">
      <c r="A260" t="s">
        <v>372</v>
      </c>
      <c r="B260" s="2">
        <v>42069</v>
      </c>
      <c r="C260">
        <v>2015</v>
      </c>
      <c r="D260" t="s">
        <v>12</v>
      </c>
      <c r="E260" t="s">
        <v>3854</v>
      </c>
      <c r="F260" t="s">
        <v>4652</v>
      </c>
      <c r="G260" t="s">
        <v>4014</v>
      </c>
      <c r="H260" s="16">
        <v>0.03</v>
      </c>
      <c r="I260" t="s">
        <v>4764</v>
      </c>
      <c r="J260" t="s">
        <v>4614</v>
      </c>
    </row>
    <row r="261" spans="1:10">
      <c r="A261" t="s">
        <v>373</v>
      </c>
      <c r="B261" s="2">
        <v>42070</v>
      </c>
      <c r="C261">
        <v>2015</v>
      </c>
      <c r="D261" t="s">
        <v>8</v>
      </c>
      <c r="E261" t="s">
        <v>125</v>
      </c>
      <c r="F261" t="s">
        <v>4649</v>
      </c>
      <c r="G261" t="s">
        <v>4015</v>
      </c>
      <c r="H261" s="16">
        <v>1.03</v>
      </c>
      <c r="I261" t="s">
        <v>4764</v>
      </c>
      <c r="J261" t="s">
        <v>4614</v>
      </c>
    </row>
    <row r="262" spans="1:10">
      <c r="A262" t="s">
        <v>374</v>
      </c>
      <c r="B262" s="2">
        <v>42070</v>
      </c>
      <c r="C262">
        <v>2015</v>
      </c>
      <c r="D262" t="s">
        <v>15</v>
      </c>
      <c r="E262" t="s">
        <v>3832</v>
      </c>
      <c r="F262" t="s">
        <v>4651</v>
      </c>
      <c r="G262" t="s">
        <v>4016</v>
      </c>
      <c r="H262" s="16">
        <v>0.32</v>
      </c>
      <c r="I262" t="s">
        <v>4764</v>
      </c>
      <c r="J262" t="s">
        <v>4614</v>
      </c>
    </row>
    <row r="263" spans="1:10">
      <c r="A263" t="s">
        <v>375</v>
      </c>
      <c r="B263" s="2">
        <v>42081</v>
      </c>
      <c r="C263">
        <v>2015</v>
      </c>
      <c r="D263" t="s">
        <v>8</v>
      </c>
      <c r="E263" t="s">
        <v>376</v>
      </c>
      <c r="F263" t="s">
        <v>4649</v>
      </c>
      <c r="G263" t="s">
        <v>377</v>
      </c>
      <c r="H263" s="16">
        <v>50</v>
      </c>
      <c r="I263" t="s">
        <v>4763</v>
      </c>
      <c r="J263" t="s">
        <v>4614</v>
      </c>
    </row>
    <row r="264" spans="1:10">
      <c r="A264" t="s">
        <v>378</v>
      </c>
      <c r="B264" s="2">
        <v>42086</v>
      </c>
      <c r="C264">
        <v>2015</v>
      </c>
      <c r="D264" t="s">
        <v>8</v>
      </c>
      <c r="E264" t="s">
        <v>3850</v>
      </c>
      <c r="F264" t="s">
        <v>4649</v>
      </c>
      <c r="G264" t="s">
        <v>4017</v>
      </c>
      <c r="H264" s="16">
        <v>1.66</v>
      </c>
      <c r="I264" t="s">
        <v>4764</v>
      </c>
      <c r="J264" t="s">
        <v>4614</v>
      </c>
    </row>
    <row r="265" spans="1:10">
      <c r="A265" t="s">
        <v>379</v>
      </c>
      <c r="B265" s="2">
        <v>42087</v>
      </c>
      <c r="C265">
        <v>2015</v>
      </c>
      <c r="D265" t="s">
        <v>25</v>
      </c>
      <c r="E265" t="s">
        <v>13</v>
      </c>
      <c r="F265" t="s">
        <v>4648</v>
      </c>
      <c r="G265" t="s">
        <v>4018</v>
      </c>
      <c r="H265" s="16">
        <v>0.02</v>
      </c>
      <c r="I265" t="s">
        <v>4764</v>
      </c>
      <c r="J265" t="s">
        <v>4614</v>
      </c>
    </row>
    <row r="266" spans="1:10">
      <c r="A266" t="s">
        <v>380</v>
      </c>
      <c r="B266" s="2">
        <v>42089</v>
      </c>
      <c r="C266">
        <v>2015</v>
      </c>
      <c r="D266" t="s">
        <v>15</v>
      </c>
      <c r="E266" t="s">
        <v>3832</v>
      </c>
      <c r="F266" t="s">
        <v>4651</v>
      </c>
      <c r="G266" t="s">
        <v>4019</v>
      </c>
      <c r="H266" s="16">
        <v>0.41</v>
      </c>
      <c r="I266" t="s">
        <v>4764</v>
      </c>
      <c r="J266" t="s">
        <v>4614</v>
      </c>
    </row>
    <row r="267" spans="1:10">
      <c r="A267" t="s">
        <v>381</v>
      </c>
      <c r="B267" s="2">
        <v>42093</v>
      </c>
      <c r="C267">
        <v>2015</v>
      </c>
      <c r="D267" t="s">
        <v>8</v>
      </c>
      <c r="E267" t="s">
        <v>382</v>
      </c>
      <c r="F267" t="s">
        <v>4647</v>
      </c>
      <c r="G267" t="s">
        <v>383</v>
      </c>
      <c r="H267" s="16">
        <v>40.5</v>
      </c>
      <c r="I267" t="s">
        <v>4763</v>
      </c>
      <c r="J267" t="s">
        <v>4613</v>
      </c>
    </row>
    <row r="268" spans="1:10">
      <c r="A268" t="s">
        <v>384</v>
      </c>
      <c r="B268" s="2">
        <v>42103</v>
      </c>
      <c r="C268">
        <v>2015</v>
      </c>
      <c r="D268" t="s">
        <v>25</v>
      </c>
      <c r="E268" t="s">
        <v>3870</v>
      </c>
      <c r="F268" t="s">
        <v>4648</v>
      </c>
      <c r="G268" t="s">
        <v>4020</v>
      </c>
      <c r="H268" s="16">
        <v>7.0000000000000007E-2</v>
      </c>
      <c r="I268" t="s">
        <v>4764</v>
      </c>
      <c r="J268" t="s">
        <v>4614</v>
      </c>
    </row>
    <row r="269" spans="1:10">
      <c r="A269" t="s">
        <v>385</v>
      </c>
      <c r="B269" s="2">
        <v>42105</v>
      </c>
      <c r="C269">
        <v>2015</v>
      </c>
      <c r="D269" t="s">
        <v>25</v>
      </c>
      <c r="E269" t="s">
        <v>3836</v>
      </c>
      <c r="F269" t="s">
        <v>4648</v>
      </c>
      <c r="G269" t="s">
        <v>4021</v>
      </c>
      <c r="H269" s="16">
        <v>0.32</v>
      </c>
      <c r="I269" t="s">
        <v>4764</v>
      </c>
      <c r="J269" t="s">
        <v>4614</v>
      </c>
    </row>
    <row r="270" spans="1:10">
      <c r="A270" t="s">
        <v>386</v>
      </c>
      <c r="B270" s="2">
        <v>42106</v>
      </c>
      <c r="C270">
        <v>2015</v>
      </c>
      <c r="D270" t="s">
        <v>25</v>
      </c>
      <c r="E270" t="s">
        <v>3836</v>
      </c>
      <c r="F270" t="s">
        <v>4648</v>
      </c>
      <c r="G270" t="s">
        <v>387</v>
      </c>
      <c r="H270" s="16">
        <v>0.04</v>
      </c>
      <c r="I270" t="s">
        <v>4764</v>
      </c>
      <c r="J270" t="s">
        <v>4614</v>
      </c>
    </row>
    <row r="271" spans="1:10">
      <c r="A271" t="s">
        <v>388</v>
      </c>
      <c r="B271" s="2">
        <v>42107</v>
      </c>
      <c r="C271">
        <v>2015</v>
      </c>
      <c r="D271" t="s">
        <v>25</v>
      </c>
      <c r="E271" t="s">
        <v>34</v>
      </c>
      <c r="F271" t="s">
        <v>4648</v>
      </c>
      <c r="G271" t="s">
        <v>334</v>
      </c>
      <c r="H271" s="16">
        <v>0.38</v>
      </c>
      <c r="I271" t="s">
        <v>4764</v>
      </c>
      <c r="J271" t="s">
        <v>4614</v>
      </c>
    </row>
    <row r="272" spans="1:10">
      <c r="A272" t="s">
        <v>389</v>
      </c>
      <c r="B272" s="2">
        <v>42112</v>
      </c>
      <c r="C272">
        <v>2015</v>
      </c>
      <c r="D272" t="s">
        <v>21</v>
      </c>
      <c r="E272" t="s">
        <v>45</v>
      </c>
      <c r="F272" t="s">
        <v>4653</v>
      </c>
      <c r="G272" t="s">
        <v>4022</v>
      </c>
      <c r="H272" s="16">
        <v>0.56000000000000005</v>
      </c>
      <c r="I272" t="s">
        <v>4764</v>
      </c>
      <c r="J272" t="s">
        <v>4614</v>
      </c>
    </row>
    <row r="273" spans="1:10">
      <c r="A273" t="s">
        <v>390</v>
      </c>
      <c r="B273" s="2">
        <v>42112</v>
      </c>
      <c r="C273">
        <v>2015</v>
      </c>
      <c r="D273" t="s">
        <v>33</v>
      </c>
      <c r="E273" t="s">
        <v>72</v>
      </c>
      <c r="F273" t="s">
        <v>4650</v>
      </c>
      <c r="G273" t="s">
        <v>4023</v>
      </c>
      <c r="H273" s="16">
        <v>0.05</v>
      </c>
      <c r="I273" t="s">
        <v>4764</v>
      </c>
      <c r="J273" t="s">
        <v>4614</v>
      </c>
    </row>
    <row r="274" spans="1:10">
      <c r="A274" t="s">
        <v>391</v>
      </c>
      <c r="B274" s="2">
        <v>42115</v>
      </c>
      <c r="C274">
        <v>2015</v>
      </c>
      <c r="D274" t="s">
        <v>25</v>
      </c>
      <c r="E274" t="s">
        <v>34</v>
      </c>
      <c r="F274" t="s">
        <v>4648</v>
      </c>
      <c r="G274" t="s">
        <v>4024</v>
      </c>
      <c r="H274" s="16">
        <v>0.79</v>
      </c>
      <c r="I274" t="s">
        <v>4764</v>
      </c>
      <c r="J274" t="s">
        <v>4614</v>
      </c>
    </row>
    <row r="275" spans="1:10">
      <c r="A275" t="s">
        <v>392</v>
      </c>
      <c r="B275" s="2">
        <v>42121</v>
      </c>
      <c r="C275">
        <v>2015</v>
      </c>
      <c r="D275" t="s">
        <v>12</v>
      </c>
      <c r="E275" t="s">
        <v>29</v>
      </c>
      <c r="F275" t="s">
        <v>4652</v>
      </c>
      <c r="G275" t="s">
        <v>4020</v>
      </c>
      <c r="H275" s="16">
        <v>0.67</v>
      </c>
      <c r="I275" t="s">
        <v>4764</v>
      </c>
      <c r="J275" t="s">
        <v>4614</v>
      </c>
    </row>
    <row r="276" spans="1:10">
      <c r="A276" t="s">
        <v>393</v>
      </c>
      <c r="B276" s="2">
        <v>42126</v>
      </c>
      <c r="C276">
        <v>2015</v>
      </c>
      <c r="D276" t="s">
        <v>12</v>
      </c>
      <c r="E276" t="s">
        <v>49</v>
      </c>
      <c r="F276" t="s">
        <v>4652</v>
      </c>
      <c r="G276" t="s">
        <v>394</v>
      </c>
      <c r="H276" s="16">
        <v>0.04</v>
      </c>
      <c r="I276" t="s">
        <v>4764</v>
      </c>
      <c r="J276" t="s">
        <v>4614</v>
      </c>
    </row>
    <row r="277" spans="1:10">
      <c r="A277" t="s">
        <v>395</v>
      </c>
      <c r="B277" s="2">
        <v>42130</v>
      </c>
      <c r="C277">
        <v>2015</v>
      </c>
      <c r="D277" t="s">
        <v>33</v>
      </c>
      <c r="E277" t="s">
        <v>13</v>
      </c>
      <c r="F277" t="s">
        <v>4650</v>
      </c>
      <c r="G277" t="s">
        <v>396</v>
      </c>
      <c r="H277" s="16">
        <v>0.25</v>
      </c>
      <c r="I277" t="s">
        <v>4764</v>
      </c>
      <c r="J277" t="s">
        <v>4614</v>
      </c>
    </row>
    <row r="278" spans="1:10">
      <c r="A278" t="s">
        <v>397</v>
      </c>
      <c r="B278" s="2">
        <v>42144</v>
      </c>
      <c r="C278">
        <v>2015</v>
      </c>
      <c r="D278" t="s">
        <v>21</v>
      </c>
      <c r="E278" t="s">
        <v>13</v>
      </c>
      <c r="F278" t="s">
        <v>4653</v>
      </c>
      <c r="G278" t="s">
        <v>4025</v>
      </c>
      <c r="H278" s="16">
        <v>0.04</v>
      </c>
      <c r="I278" t="s">
        <v>4764</v>
      </c>
      <c r="J278" t="s">
        <v>4614</v>
      </c>
    </row>
    <row r="279" spans="1:10">
      <c r="A279" t="s">
        <v>398</v>
      </c>
      <c r="B279" s="2">
        <v>42146</v>
      </c>
      <c r="C279">
        <v>2015</v>
      </c>
      <c r="D279" t="s">
        <v>15</v>
      </c>
      <c r="E279" t="s">
        <v>3832</v>
      </c>
      <c r="F279" t="s">
        <v>4651</v>
      </c>
      <c r="G279" t="s">
        <v>4026</v>
      </c>
      <c r="H279" s="16">
        <v>0.4</v>
      </c>
      <c r="I279" t="s">
        <v>4764</v>
      </c>
      <c r="J279" t="s">
        <v>4614</v>
      </c>
    </row>
    <row r="280" spans="1:10">
      <c r="A280" t="s">
        <v>399</v>
      </c>
      <c r="B280" s="2">
        <v>42149</v>
      </c>
      <c r="C280">
        <v>2015</v>
      </c>
      <c r="D280" t="s">
        <v>33</v>
      </c>
      <c r="E280" t="s">
        <v>49</v>
      </c>
      <c r="F280" t="s">
        <v>4650</v>
      </c>
      <c r="G280" t="s">
        <v>400</v>
      </c>
      <c r="H280" s="16">
        <v>7.0000000000000007E-2</v>
      </c>
      <c r="I280" t="s">
        <v>4764</v>
      </c>
      <c r="J280" t="s">
        <v>4614</v>
      </c>
    </row>
    <row r="281" spans="1:10">
      <c r="A281" t="s">
        <v>401</v>
      </c>
      <c r="B281" s="2">
        <v>42149</v>
      </c>
      <c r="C281">
        <v>2015</v>
      </c>
      <c r="D281" t="s">
        <v>15</v>
      </c>
      <c r="E281" t="s">
        <v>3832</v>
      </c>
      <c r="F281" t="s">
        <v>4651</v>
      </c>
      <c r="G281" t="s">
        <v>4027</v>
      </c>
      <c r="H281" s="16">
        <v>0.16</v>
      </c>
      <c r="I281" t="s">
        <v>4764</v>
      </c>
      <c r="J281" t="s">
        <v>4614</v>
      </c>
    </row>
    <row r="282" spans="1:10">
      <c r="A282" t="s">
        <v>402</v>
      </c>
      <c r="B282" s="2">
        <v>42156</v>
      </c>
      <c r="C282">
        <v>2015</v>
      </c>
      <c r="D282" t="s">
        <v>33</v>
      </c>
      <c r="E282" t="s">
        <v>34</v>
      </c>
      <c r="F282" t="s">
        <v>4650</v>
      </c>
      <c r="G282" t="s">
        <v>3912</v>
      </c>
      <c r="H282" s="16">
        <v>0.19</v>
      </c>
      <c r="I282" t="s">
        <v>4764</v>
      </c>
      <c r="J282" t="s">
        <v>4614</v>
      </c>
    </row>
    <row r="283" spans="1:10">
      <c r="A283" t="s">
        <v>403</v>
      </c>
      <c r="B283" s="2">
        <v>42157</v>
      </c>
      <c r="C283">
        <v>2015</v>
      </c>
      <c r="D283" t="s">
        <v>15</v>
      </c>
      <c r="E283" t="s">
        <v>3832</v>
      </c>
      <c r="F283" t="s">
        <v>4651</v>
      </c>
      <c r="G283" t="s">
        <v>404</v>
      </c>
      <c r="H283" s="16">
        <v>0.28000000000000003</v>
      </c>
      <c r="I283" t="s">
        <v>4764</v>
      </c>
      <c r="J283" t="s">
        <v>4614</v>
      </c>
    </row>
    <row r="284" spans="1:10">
      <c r="A284" t="s">
        <v>405</v>
      </c>
      <c r="B284" s="2">
        <v>42157</v>
      </c>
      <c r="C284">
        <v>2015</v>
      </c>
      <c r="D284" t="s">
        <v>12</v>
      </c>
      <c r="E284" t="s">
        <v>3854</v>
      </c>
      <c r="F284" t="s">
        <v>4652</v>
      </c>
      <c r="G284" t="s">
        <v>4028</v>
      </c>
      <c r="H284" s="16">
        <v>0.03</v>
      </c>
      <c r="I284" t="s">
        <v>4764</v>
      </c>
      <c r="J284" t="s">
        <v>4614</v>
      </c>
    </row>
    <row r="285" spans="1:10">
      <c r="A285" t="s">
        <v>406</v>
      </c>
      <c r="B285" s="2">
        <v>42164</v>
      </c>
      <c r="C285">
        <v>2015</v>
      </c>
      <c r="D285" t="s">
        <v>25</v>
      </c>
      <c r="E285" t="s">
        <v>19</v>
      </c>
      <c r="F285" t="s">
        <v>4648</v>
      </c>
      <c r="G285" t="s">
        <v>3917</v>
      </c>
      <c r="H285" s="16">
        <v>0.23</v>
      </c>
      <c r="I285" t="s">
        <v>4764</v>
      </c>
      <c r="J285" t="s">
        <v>4614</v>
      </c>
    </row>
    <row r="286" spans="1:10">
      <c r="A286" t="s">
        <v>407</v>
      </c>
      <c r="B286" s="2">
        <v>42173</v>
      </c>
      <c r="C286">
        <v>2015</v>
      </c>
      <c r="D286" t="s">
        <v>12</v>
      </c>
      <c r="E286" t="s">
        <v>19</v>
      </c>
      <c r="F286" t="s">
        <v>4652</v>
      </c>
      <c r="G286" t="s">
        <v>4029</v>
      </c>
      <c r="H286" s="16">
        <v>0.13</v>
      </c>
      <c r="I286" t="s">
        <v>4764</v>
      </c>
      <c r="J286" t="s">
        <v>4614</v>
      </c>
    </row>
    <row r="287" spans="1:10">
      <c r="A287" t="s">
        <v>408</v>
      </c>
      <c r="B287" s="2">
        <v>42175</v>
      </c>
      <c r="C287">
        <v>2015</v>
      </c>
      <c r="D287" t="s">
        <v>25</v>
      </c>
      <c r="E287" t="s">
        <v>13</v>
      </c>
      <c r="F287" t="s">
        <v>4648</v>
      </c>
      <c r="G287" t="s">
        <v>4030</v>
      </c>
      <c r="H287" s="16">
        <v>7.0000000000000007E-2</v>
      </c>
      <c r="I287" t="s">
        <v>4764</v>
      </c>
      <c r="J287" t="s">
        <v>4614</v>
      </c>
    </row>
    <row r="288" spans="1:10">
      <c r="A288" t="s">
        <v>409</v>
      </c>
      <c r="B288" s="2">
        <v>42178</v>
      </c>
      <c r="C288">
        <v>2015</v>
      </c>
      <c r="D288" t="s">
        <v>25</v>
      </c>
      <c r="E288" t="s">
        <v>13</v>
      </c>
      <c r="F288" t="s">
        <v>4648</v>
      </c>
      <c r="G288" t="s">
        <v>4031</v>
      </c>
      <c r="H288" s="16">
        <v>0.52</v>
      </c>
      <c r="I288" t="s">
        <v>4764</v>
      </c>
      <c r="J288" t="s">
        <v>4614</v>
      </c>
    </row>
    <row r="289" spans="1:10">
      <c r="A289" t="s">
        <v>410</v>
      </c>
      <c r="B289" s="2">
        <v>42178</v>
      </c>
      <c r="C289">
        <v>2015</v>
      </c>
      <c r="D289" t="s">
        <v>25</v>
      </c>
      <c r="E289" t="s">
        <v>3839</v>
      </c>
      <c r="F289" t="s">
        <v>4648</v>
      </c>
      <c r="G289" t="s">
        <v>4032</v>
      </c>
      <c r="H289" s="16">
        <v>0.06</v>
      </c>
      <c r="I289" t="s">
        <v>4764</v>
      </c>
      <c r="J289" t="s">
        <v>4614</v>
      </c>
    </row>
    <row r="290" spans="1:10">
      <c r="A290" t="s">
        <v>411</v>
      </c>
      <c r="B290" s="2">
        <v>42201</v>
      </c>
      <c r="C290">
        <v>2015</v>
      </c>
      <c r="D290" t="s">
        <v>33</v>
      </c>
      <c r="E290" t="s">
        <v>3839</v>
      </c>
      <c r="F290" t="s">
        <v>4650</v>
      </c>
      <c r="G290" t="s">
        <v>412</v>
      </c>
      <c r="H290" s="16">
        <v>0.8</v>
      </c>
      <c r="I290" t="s">
        <v>4764</v>
      </c>
      <c r="J290" t="s">
        <v>4614</v>
      </c>
    </row>
    <row r="291" spans="1:10">
      <c r="A291" t="s">
        <v>413</v>
      </c>
      <c r="B291" s="2">
        <v>42225</v>
      </c>
      <c r="C291">
        <v>2015</v>
      </c>
      <c r="D291" t="s">
        <v>33</v>
      </c>
      <c r="E291" t="s">
        <v>29</v>
      </c>
      <c r="F291" t="s">
        <v>4650</v>
      </c>
      <c r="G291" t="s">
        <v>414</v>
      </c>
      <c r="H291" s="16">
        <v>0.06</v>
      </c>
      <c r="I291" t="s">
        <v>4764</v>
      </c>
      <c r="J291" t="s">
        <v>4614</v>
      </c>
    </row>
    <row r="292" spans="1:10">
      <c r="A292" t="s">
        <v>415</v>
      </c>
      <c r="B292" s="2">
        <v>42234</v>
      </c>
      <c r="C292">
        <v>2015</v>
      </c>
      <c r="D292" t="s">
        <v>25</v>
      </c>
      <c r="E292" t="s">
        <v>13</v>
      </c>
      <c r="F292" t="s">
        <v>4648</v>
      </c>
      <c r="G292" t="s">
        <v>4033</v>
      </c>
      <c r="H292" s="16">
        <v>0.12</v>
      </c>
      <c r="I292" t="s">
        <v>4764</v>
      </c>
      <c r="J292" t="s">
        <v>4614</v>
      </c>
    </row>
    <row r="293" spans="1:10">
      <c r="A293" t="s">
        <v>416</v>
      </c>
      <c r="B293" s="2">
        <v>42235</v>
      </c>
      <c r="C293">
        <v>2015</v>
      </c>
      <c r="D293" t="s">
        <v>8</v>
      </c>
      <c r="E293" t="s">
        <v>215</v>
      </c>
      <c r="F293" t="s">
        <v>4649</v>
      </c>
      <c r="G293" t="s">
        <v>4034</v>
      </c>
      <c r="H293" s="16">
        <v>0.56000000000000005</v>
      </c>
      <c r="I293" t="s">
        <v>4764</v>
      </c>
      <c r="J293" t="s">
        <v>4614</v>
      </c>
    </row>
    <row r="294" spans="1:10">
      <c r="A294" t="s">
        <v>417</v>
      </c>
      <c r="B294" s="2">
        <v>42238</v>
      </c>
      <c r="C294">
        <v>2015</v>
      </c>
      <c r="D294" t="s">
        <v>12</v>
      </c>
      <c r="E294" t="s">
        <v>34</v>
      </c>
      <c r="F294" t="s">
        <v>4652</v>
      </c>
      <c r="G294" t="s">
        <v>418</v>
      </c>
      <c r="H294" s="16">
        <v>1.1399999999999999</v>
      </c>
      <c r="I294" t="s">
        <v>4764</v>
      </c>
      <c r="J294" t="s">
        <v>4614</v>
      </c>
    </row>
    <row r="295" spans="1:10">
      <c r="A295" t="s">
        <v>419</v>
      </c>
      <c r="B295" s="2">
        <v>42242</v>
      </c>
      <c r="C295">
        <v>2015</v>
      </c>
      <c r="D295" t="s">
        <v>25</v>
      </c>
      <c r="E295" t="s">
        <v>3870</v>
      </c>
      <c r="F295" t="s">
        <v>4648</v>
      </c>
      <c r="G295" t="s">
        <v>4035</v>
      </c>
      <c r="H295" s="16">
        <v>0.23</v>
      </c>
      <c r="I295" t="s">
        <v>4764</v>
      </c>
      <c r="J295" t="s">
        <v>4614</v>
      </c>
    </row>
    <row r="296" spans="1:10">
      <c r="A296" t="s">
        <v>420</v>
      </c>
      <c r="B296" s="2">
        <v>42249</v>
      </c>
      <c r="C296">
        <v>2015</v>
      </c>
      <c r="D296" t="s">
        <v>25</v>
      </c>
      <c r="E296" t="s">
        <v>19</v>
      </c>
      <c r="F296" t="s">
        <v>4648</v>
      </c>
      <c r="G296" t="s">
        <v>4036</v>
      </c>
      <c r="H296" s="16">
        <v>0.14000000000000001</v>
      </c>
      <c r="I296" t="s">
        <v>4764</v>
      </c>
      <c r="J296" t="s">
        <v>4614</v>
      </c>
    </row>
    <row r="297" spans="1:10">
      <c r="A297" t="s">
        <v>421</v>
      </c>
      <c r="B297" s="2">
        <v>42249</v>
      </c>
      <c r="C297">
        <v>2015</v>
      </c>
      <c r="D297" t="s">
        <v>12</v>
      </c>
      <c r="E297" t="s">
        <v>72</v>
      </c>
      <c r="F297" t="s">
        <v>4652</v>
      </c>
      <c r="G297" t="s">
        <v>4037</v>
      </c>
      <c r="H297" s="16">
        <v>0.14000000000000001</v>
      </c>
      <c r="I297" t="s">
        <v>4764</v>
      </c>
      <c r="J297" t="s">
        <v>4614</v>
      </c>
    </row>
    <row r="298" spans="1:10">
      <c r="A298" t="s">
        <v>422</v>
      </c>
      <c r="B298" s="2">
        <v>42256</v>
      </c>
      <c r="C298">
        <v>2015</v>
      </c>
      <c r="D298" t="s">
        <v>12</v>
      </c>
      <c r="E298" t="s">
        <v>3854</v>
      </c>
      <c r="F298" t="s">
        <v>4652</v>
      </c>
      <c r="G298" t="s">
        <v>4038</v>
      </c>
      <c r="H298" s="16">
        <v>0.14000000000000001</v>
      </c>
      <c r="I298" t="s">
        <v>4764</v>
      </c>
      <c r="J298" t="s">
        <v>4614</v>
      </c>
    </row>
    <row r="299" spans="1:10">
      <c r="A299" t="s">
        <v>423</v>
      </c>
      <c r="B299" s="2">
        <v>42261</v>
      </c>
      <c r="C299">
        <v>2015</v>
      </c>
      <c r="D299" t="s">
        <v>15</v>
      </c>
      <c r="E299" t="s">
        <v>3832</v>
      </c>
      <c r="F299" t="s">
        <v>4651</v>
      </c>
      <c r="G299" t="s">
        <v>4039</v>
      </c>
      <c r="H299" s="16">
        <v>0.51</v>
      </c>
      <c r="I299" t="s">
        <v>4764</v>
      </c>
      <c r="J299" t="s">
        <v>4614</v>
      </c>
    </row>
    <row r="300" spans="1:10">
      <c r="A300" t="s">
        <v>424</v>
      </c>
      <c r="B300" s="2">
        <v>42266</v>
      </c>
      <c r="C300">
        <v>2015</v>
      </c>
      <c r="D300" t="s">
        <v>25</v>
      </c>
      <c r="E300" t="s">
        <v>34</v>
      </c>
      <c r="F300" t="s">
        <v>4648</v>
      </c>
      <c r="G300" t="s">
        <v>425</v>
      </c>
      <c r="H300" s="16">
        <v>0.04</v>
      </c>
      <c r="I300" t="s">
        <v>4764</v>
      </c>
      <c r="J300" t="s">
        <v>4614</v>
      </c>
    </row>
    <row r="301" spans="1:10">
      <c r="A301" t="s">
        <v>426</v>
      </c>
      <c r="B301" s="2">
        <v>42268</v>
      </c>
      <c r="C301">
        <v>2015</v>
      </c>
      <c r="D301" t="s">
        <v>25</v>
      </c>
      <c r="E301" t="s">
        <v>72</v>
      </c>
      <c r="F301" t="s">
        <v>4648</v>
      </c>
      <c r="G301" t="s">
        <v>183</v>
      </c>
      <c r="H301" s="16">
        <v>0.01</v>
      </c>
      <c r="I301" t="s">
        <v>4764</v>
      </c>
      <c r="J301" t="s">
        <v>4614</v>
      </c>
    </row>
    <row r="302" spans="1:10">
      <c r="A302" t="s">
        <v>427</v>
      </c>
      <c r="B302" s="2">
        <v>42271</v>
      </c>
      <c r="C302">
        <v>2015</v>
      </c>
      <c r="D302" t="s">
        <v>25</v>
      </c>
      <c r="E302" t="s">
        <v>34</v>
      </c>
      <c r="F302" t="s">
        <v>4648</v>
      </c>
      <c r="G302" t="s">
        <v>428</v>
      </c>
      <c r="H302" s="16">
        <v>0.13</v>
      </c>
      <c r="I302" t="s">
        <v>4764</v>
      </c>
      <c r="J302" t="s">
        <v>4614</v>
      </c>
    </row>
    <row r="303" spans="1:10">
      <c r="A303" t="s">
        <v>429</v>
      </c>
      <c r="B303" s="2">
        <v>42271</v>
      </c>
      <c r="C303">
        <v>2015</v>
      </c>
      <c r="D303" t="s">
        <v>12</v>
      </c>
      <c r="E303" t="s">
        <v>13</v>
      </c>
      <c r="F303" t="s">
        <v>4652</v>
      </c>
      <c r="G303" t="s">
        <v>4040</v>
      </c>
      <c r="H303" s="16">
        <v>0.14000000000000001</v>
      </c>
      <c r="I303" t="s">
        <v>4764</v>
      </c>
      <c r="J303" t="s">
        <v>4614</v>
      </c>
    </row>
    <row r="304" spans="1:10">
      <c r="A304" t="s">
        <v>430</v>
      </c>
      <c r="B304" s="2">
        <v>42279</v>
      </c>
      <c r="C304">
        <v>2015</v>
      </c>
      <c r="D304" t="s">
        <v>8</v>
      </c>
      <c r="E304" t="s">
        <v>17</v>
      </c>
      <c r="F304" t="s">
        <v>4649</v>
      </c>
      <c r="G304" t="s">
        <v>4041</v>
      </c>
      <c r="H304" s="16">
        <v>10.039999999999999</v>
      </c>
      <c r="I304" t="s">
        <v>4763</v>
      </c>
      <c r="J304" t="s">
        <v>4614</v>
      </c>
    </row>
    <row r="305" spans="1:10">
      <c r="A305" t="s">
        <v>431</v>
      </c>
      <c r="B305" s="2">
        <v>42281</v>
      </c>
      <c r="C305">
        <v>2015</v>
      </c>
      <c r="D305" t="s">
        <v>8</v>
      </c>
      <c r="E305" t="s">
        <v>17</v>
      </c>
      <c r="F305" t="s">
        <v>4649</v>
      </c>
      <c r="G305" t="s">
        <v>432</v>
      </c>
      <c r="H305" s="16">
        <v>20.38</v>
      </c>
      <c r="I305" t="s">
        <v>4763</v>
      </c>
      <c r="J305" t="s">
        <v>4614</v>
      </c>
    </row>
    <row r="306" spans="1:10">
      <c r="A306" t="s">
        <v>433</v>
      </c>
      <c r="B306" s="2">
        <v>42282</v>
      </c>
      <c r="C306">
        <v>2015</v>
      </c>
      <c r="D306" t="s">
        <v>8</v>
      </c>
      <c r="E306" t="s">
        <v>376</v>
      </c>
      <c r="F306" t="s">
        <v>4649</v>
      </c>
      <c r="G306" t="s">
        <v>434</v>
      </c>
      <c r="H306" s="16">
        <v>1.06</v>
      </c>
      <c r="I306" t="s">
        <v>4764</v>
      </c>
      <c r="J306" t="s">
        <v>4614</v>
      </c>
    </row>
    <row r="307" spans="1:10">
      <c r="A307" t="s">
        <v>435</v>
      </c>
      <c r="B307" s="2">
        <v>42282</v>
      </c>
      <c r="C307">
        <v>2015</v>
      </c>
      <c r="D307" t="s">
        <v>33</v>
      </c>
      <c r="E307" t="s">
        <v>72</v>
      </c>
      <c r="F307" t="s">
        <v>4650</v>
      </c>
      <c r="G307" t="s">
        <v>436</v>
      </c>
      <c r="H307" s="16">
        <v>1.1200000000000001</v>
      </c>
      <c r="I307" t="s">
        <v>4764</v>
      </c>
      <c r="J307" t="s">
        <v>4614</v>
      </c>
    </row>
    <row r="308" spans="1:10">
      <c r="A308" t="s">
        <v>437</v>
      </c>
      <c r="B308" s="2">
        <v>42293</v>
      </c>
      <c r="C308">
        <v>2015</v>
      </c>
      <c r="D308" t="s">
        <v>25</v>
      </c>
      <c r="E308" t="s">
        <v>3870</v>
      </c>
      <c r="F308" t="s">
        <v>4648</v>
      </c>
      <c r="G308" t="s">
        <v>4042</v>
      </c>
      <c r="H308" s="16">
        <v>0.19</v>
      </c>
      <c r="I308" t="s">
        <v>4764</v>
      </c>
      <c r="J308" t="s">
        <v>4614</v>
      </c>
    </row>
    <row r="309" spans="1:10">
      <c r="A309" t="s">
        <v>438</v>
      </c>
      <c r="B309" s="2">
        <v>42299</v>
      </c>
      <c r="C309">
        <v>2015</v>
      </c>
      <c r="D309" t="s">
        <v>33</v>
      </c>
      <c r="E309" t="s">
        <v>3839</v>
      </c>
      <c r="F309" t="s">
        <v>4650</v>
      </c>
      <c r="G309" t="s">
        <v>4043</v>
      </c>
      <c r="H309" s="16">
        <v>0.06</v>
      </c>
      <c r="I309" t="s">
        <v>4764</v>
      </c>
      <c r="J309" t="s">
        <v>4614</v>
      </c>
    </row>
    <row r="310" spans="1:10">
      <c r="A310" t="s">
        <v>439</v>
      </c>
      <c r="B310" s="2">
        <v>42302</v>
      </c>
      <c r="C310">
        <v>2015</v>
      </c>
      <c r="D310" t="s">
        <v>33</v>
      </c>
      <c r="E310" t="s">
        <v>19</v>
      </c>
      <c r="F310" t="s">
        <v>4650</v>
      </c>
      <c r="G310" t="s">
        <v>4044</v>
      </c>
      <c r="H310" s="16">
        <v>0.12</v>
      </c>
      <c r="I310" t="s">
        <v>4764</v>
      </c>
      <c r="J310" t="s">
        <v>4614</v>
      </c>
    </row>
    <row r="311" spans="1:10">
      <c r="A311" t="s">
        <v>440</v>
      </c>
      <c r="B311" s="2">
        <v>42315</v>
      </c>
      <c r="C311">
        <v>2015</v>
      </c>
      <c r="D311" t="s">
        <v>12</v>
      </c>
      <c r="E311" t="s">
        <v>3854</v>
      </c>
      <c r="F311" t="s">
        <v>4652</v>
      </c>
      <c r="G311" t="s">
        <v>4045</v>
      </c>
      <c r="H311" s="16">
        <v>0.01</v>
      </c>
      <c r="I311" t="s">
        <v>4764</v>
      </c>
      <c r="J311" t="s">
        <v>4614</v>
      </c>
    </row>
    <row r="312" spans="1:10">
      <c r="A312" t="s">
        <v>441</v>
      </c>
      <c r="B312" s="2">
        <v>42316</v>
      </c>
      <c r="C312">
        <v>2015</v>
      </c>
      <c r="D312" t="s">
        <v>12</v>
      </c>
      <c r="E312" t="s">
        <v>45</v>
      </c>
      <c r="F312" t="s">
        <v>4652</v>
      </c>
      <c r="G312" t="s">
        <v>442</v>
      </c>
      <c r="H312" s="16">
        <v>0.78</v>
      </c>
      <c r="I312" t="s">
        <v>4764</v>
      </c>
      <c r="J312" t="s">
        <v>4614</v>
      </c>
    </row>
    <row r="313" spans="1:10">
      <c r="A313" t="s">
        <v>443</v>
      </c>
      <c r="B313" s="2">
        <v>42320</v>
      </c>
      <c r="C313">
        <v>2015</v>
      </c>
      <c r="D313" t="s">
        <v>12</v>
      </c>
      <c r="E313" t="s">
        <v>72</v>
      </c>
      <c r="F313" t="s">
        <v>4652</v>
      </c>
      <c r="G313" t="s">
        <v>4046</v>
      </c>
      <c r="H313" s="16">
        <v>0.14000000000000001</v>
      </c>
      <c r="I313" t="s">
        <v>4764</v>
      </c>
      <c r="J313" t="s">
        <v>4614</v>
      </c>
    </row>
    <row r="314" spans="1:10">
      <c r="A314" t="s">
        <v>444</v>
      </c>
      <c r="B314" s="2">
        <v>42321</v>
      </c>
      <c r="C314">
        <v>2015</v>
      </c>
      <c r="D314" t="s">
        <v>25</v>
      </c>
      <c r="E314" t="s">
        <v>29</v>
      </c>
      <c r="F314" t="s">
        <v>4648</v>
      </c>
      <c r="G314" t="s">
        <v>4047</v>
      </c>
      <c r="H314" s="16">
        <v>0.06</v>
      </c>
      <c r="I314" t="s">
        <v>4764</v>
      </c>
      <c r="J314" t="s">
        <v>4614</v>
      </c>
    </row>
    <row r="315" spans="1:10">
      <c r="A315" t="s">
        <v>445</v>
      </c>
      <c r="B315" s="2">
        <v>42330</v>
      </c>
      <c r="C315">
        <v>2015</v>
      </c>
      <c r="D315" t="s">
        <v>25</v>
      </c>
      <c r="E315" t="s">
        <v>3870</v>
      </c>
      <c r="F315" t="s">
        <v>4648</v>
      </c>
      <c r="G315" t="s">
        <v>446</v>
      </c>
      <c r="H315" s="16">
        <v>0.05</v>
      </c>
      <c r="I315" t="s">
        <v>4764</v>
      </c>
      <c r="J315" t="s">
        <v>4614</v>
      </c>
    </row>
    <row r="316" spans="1:10">
      <c r="A316" t="s">
        <v>447</v>
      </c>
      <c r="B316" s="2">
        <v>42334</v>
      </c>
      <c r="C316">
        <v>2015</v>
      </c>
      <c r="D316" t="s">
        <v>25</v>
      </c>
      <c r="E316" t="s">
        <v>3870</v>
      </c>
      <c r="F316" t="s">
        <v>4648</v>
      </c>
      <c r="G316" t="s">
        <v>448</v>
      </c>
      <c r="H316" s="16">
        <v>0.12</v>
      </c>
      <c r="I316" t="s">
        <v>4764</v>
      </c>
      <c r="J316" t="s">
        <v>4614</v>
      </c>
    </row>
    <row r="317" spans="1:10">
      <c r="A317" t="s">
        <v>449</v>
      </c>
      <c r="B317" s="2">
        <v>42345</v>
      </c>
      <c r="C317">
        <v>2015</v>
      </c>
      <c r="D317" t="s">
        <v>15</v>
      </c>
      <c r="E317" t="s">
        <v>3832</v>
      </c>
      <c r="F317" t="s">
        <v>4651</v>
      </c>
      <c r="G317" t="s">
        <v>4048</v>
      </c>
      <c r="H317" s="16">
        <v>2.2799999999999998</v>
      </c>
      <c r="I317" t="s">
        <v>4764</v>
      </c>
      <c r="J317" t="s">
        <v>4614</v>
      </c>
    </row>
    <row r="318" spans="1:10">
      <c r="A318" t="s">
        <v>450</v>
      </c>
      <c r="B318" s="2">
        <v>42346</v>
      </c>
      <c r="C318">
        <v>2015</v>
      </c>
      <c r="D318" t="s">
        <v>25</v>
      </c>
      <c r="E318" t="s">
        <v>45</v>
      </c>
      <c r="F318" t="s">
        <v>4648</v>
      </c>
      <c r="G318" t="s">
        <v>4049</v>
      </c>
      <c r="H318" s="16">
        <v>7.0000000000000007E-2</v>
      </c>
      <c r="I318" t="s">
        <v>4764</v>
      </c>
      <c r="J318" t="s">
        <v>4614</v>
      </c>
    </row>
    <row r="319" spans="1:10">
      <c r="A319" t="s">
        <v>451</v>
      </c>
      <c r="B319" s="2">
        <v>42349</v>
      </c>
      <c r="C319">
        <v>2015</v>
      </c>
      <c r="D319" t="s">
        <v>8</v>
      </c>
      <c r="E319" t="s">
        <v>125</v>
      </c>
      <c r="F319" t="s">
        <v>4649</v>
      </c>
      <c r="G319" t="s">
        <v>4050</v>
      </c>
      <c r="H319" s="16">
        <v>0.56999999999999995</v>
      </c>
      <c r="I319" t="s">
        <v>4764</v>
      </c>
      <c r="J319" t="s">
        <v>4614</v>
      </c>
    </row>
    <row r="320" spans="1:10">
      <c r="A320" t="s">
        <v>452</v>
      </c>
      <c r="B320" s="2">
        <v>42362</v>
      </c>
      <c r="C320">
        <v>2015</v>
      </c>
      <c r="D320" t="s">
        <v>25</v>
      </c>
      <c r="E320" t="s">
        <v>3870</v>
      </c>
      <c r="F320" t="s">
        <v>4648</v>
      </c>
      <c r="G320" t="s">
        <v>4051</v>
      </c>
      <c r="H320" s="16">
        <v>0.3</v>
      </c>
      <c r="I320" t="s">
        <v>4764</v>
      </c>
      <c r="J320" t="s">
        <v>4614</v>
      </c>
    </row>
    <row r="321" spans="1:10">
      <c r="A321" t="s">
        <v>453</v>
      </c>
      <c r="B321" s="2">
        <v>42372</v>
      </c>
      <c r="C321">
        <v>2016</v>
      </c>
      <c r="D321" t="s">
        <v>12</v>
      </c>
      <c r="E321" t="s">
        <v>3839</v>
      </c>
      <c r="F321" t="s">
        <v>4654</v>
      </c>
      <c r="G321" t="s">
        <v>4052</v>
      </c>
      <c r="H321" s="16">
        <v>0.45</v>
      </c>
      <c r="I321" t="s">
        <v>4764</v>
      </c>
      <c r="J321" t="s">
        <v>4614</v>
      </c>
    </row>
    <row r="322" spans="1:10">
      <c r="A322" t="s">
        <v>454</v>
      </c>
      <c r="B322" s="2">
        <v>42374</v>
      </c>
      <c r="C322">
        <v>2016</v>
      </c>
      <c r="D322" t="s">
        <v>8</v>
      </c>
      <c r="E322" t="s">
        <v>17</v>
      </c>
      <c r="F322" t="s">
        <v>4655</v>
      </c>
      <c r="G322" t="s">
        <v>455</v>
      </c>
      <c r="H322" s="16">
        <v>3.05</v>
      </c>
      <c r="I322" t="s">
        <v>4764</v>
      </c>
      <c r="J322" t="s">
        <v>4614</v>
      </c>
    </row>
    <row r="323" spans="1:10">
      <c r="A323" t="s">
        <v>456</v>
      </c>
      <c r="B323" s="2">
        <v>42376</v>
      </c>
      <c r="C323">
        <v>2016</v>
      </c>
      <c r="D323" t="s">
        <v>25</v>
      </c>
      <c r="E323" t="s">
        <v>72</v>
      </c>
      <c r="F323" t="s">
        <v>4656</v>
      </c>
      <c r="G323" t="s">
        <v>457</v>
      </c>
      <c r="H323" s="16">
        <v>0.12</v>
      </c>
      <c r="I323" t="s">
        <v>4764</v>
      </c>
      <c r="J323" t="s">
        <v>4614</v>
      </c>
    </row>
    <row r="324" spans="1:10">
      <c r="A324" t="s">
        <v>458</v>
      </c>
      <c r="B324" s="2">
        <v>42391</v>
      </c>
      <c r="C324">
        <v>2016</v>
      </c>
      <c r="D324" t="s">
        <v>12</v>
      </c>
      <c r="E324" t="s">
        <v>49</v>
      </c>
      <c r="F324" t="s">
        <v>4654</v>
      </c>
      <c r="G324" t="s">
        <v>459</v>
      </c>
      <c r="H324" s="16">
        <v>0.26</v>
      </c>
      <c r="I324" t="s">
        <v>4764</v>
      </c>
      <c r="J324" t="s">
        <v>4614</v>
      </c>
    </row>
    <row r="325" spans="1:10">
      <c r="A325" t="s">
        <v>460</v>
      </c>
      <c r="B325" s="2">
        <v>42395</v>
      </c>
      <c r="C325">
        <v>2016</v>
      </c>
      <c r="D325" t="s">
        <v>8</v>
      </c>
      <c r="E325" t="s">
        <v>461</v>
      </c>
      <c r="F325" t="s">
        <v>4657</v>
      </c>
      <c r="G325" t="s">
        <v>462</v>
      </c>
      <c r="H325" s="16">
        <v>32</v>
      </c>
      <c r="I325" t="s">
        <v>4763</v>
      </c>
      <c r="J325" t="s">
        <v>4613</v>
      </c>
    </row>
    <row r="326" spans="1:10">
      <c r="A326" t="s">
        <v>463</v>
      </c>
      <c r="B326" s="2">
        <v>42401</v>
      </c>
      <c r="C326">
        <v>2016</v>
      </c>
      <c r="D326" t="s">
        <v>12</v>
      </c>
      <c r="E326" t="s">
        <v>29</v>
      </c>
      <c r="F326" t="s">
        <v>4654</v>
      </c>
      <c r="G326" t="s">
        <v>464</v>
      </c>
      <c r="H326" s="16">
        <v>0.4</v>
      </c>
      <c r="I326" t="s">
        <v>4764</v>
      </c>
      <c r="J326" t="s">
        <v>4614</v>
      </c>
    </row>
    <row r="327" spans="1:10">
      <c r="A327" t="s">
        <v>465</v>
      </c>
      <c r="B327" s="2">
        <v>42402</v>
      </c>
      <c r="C327">
        <v>2016</v>
      </c>
      <c r="D327" t="s">
        <v>12</v>
      </c>
      <c r="E327" t="s">
        <v>49</v>
      </c>
      <c r="F327" t="s">
        <v>4654</v>
      </c>
      <c r="G327" t="s">
        <v>4053</v>
      </c>
      <c r="H327" s="16">
        <v>0.27</v>
      </c>
      <c r="I327" t="s">
        <v>4764</v>
      </c>
      <c r="J327" t="s">
        <v>4614</v>
      </c>
    </row>
    <row r="328" spans="1:10">
      <c r="A328" t="s">
        <v>466</v>
      </c>
      <c r="B328" s="2">
        <v>42409</v>
      </c>
      <c r="C328">
        <v>2016</v>
      </c>
      <c r="D328" t="s">
        <v>12</v>
      </c>
      <c r="E328" t="s">
        <v>3839</v>
      </c>
      <c r="F328" t="s">
        <v>4654</v>
      </c>
      <c r="G328" t="s">
        <v>4054</v>
      </c>
      <c r="H328" s="16">
        <v>0.03</v>
      </c>
      <c r="I328" t="s">
        <v>4764</v>
      </c>
      <c r="J328" t="s">
        <v>4614</v>
      </c>
    </row>
    <row r="329" spans="1:10">
      <c r="A329" t="s">
        <v>467</v>
      </c>
      <c r="B329" s="2">
        <v>42413</v>
      </c>
      <c r="C329">
        <v>2016</v>
      </c>
      <c r="D329" t="s">
        <v>25</v>
      </c>
      <c r="E329" t="s">
        <v>49</v>
      </c>
      <c r="F329" t="s">
        <v>4656</v>
      </c>
      <c r="G329" t="s">
        <v>468</v>
      </c>
      <c r="H329" s="16">
        <v>0.09</v>
      </c>
      <c r="I329" t="s">
        <v>4764</v>
      </c>
      <c r="J329" t="s">
        <v>4614</v>
      </c>
    </row>
    <row r="330" spans="1:10">
      <c r="A330" t="s">
        <v>469</v>
      </c>
      <c r="B330" s="2">
        <v>42418</v>
      </c>
      <c r="C330">
        <v>2016</v>
      </c>
      <c r="D330" t="s">
        <v>25</v>
      </c>
      <c r="E330" t="s">
        <v>3870</v>
      </c>
      <c r="F330" t="s">
        <v>4656</v>
      </c>
      <c r="G330" t="s">
        <v>4055</v>
      </c>
      <c r="H330" s="16">
        <v>0.37</v>
      </c>
      <c r="I330" t="s">
        <v>4764</v>
      </c>
      <c r="J330" t="s">
        <v>4614</v>
      </c>
    </row>
    <row r="331" spans="1:10">
      <c r="A331" t="s">
        <v>470</v>
      </c>
      <c r="B331" s="2">
        <v>42419</v>
      </c>
      <c r="C331">
        <v>2016</v>
      </c>
      <c r="D331" t="s">
        <v>25</v>
      </c>
      <c r="E331" t="s">
        <v>29</v>
      </c>
      <c r="F331" t="s">
        <v>4656</v>
      </c>
      <c r="G331" t="s">
        <v>4056</v>
      </c>
      <c r="H331" s="16">
        <v>0.41</v>
      </c>
      <c r="I331" t="s">
        <v>4764</v>
      </c>
      <c r="J331" t="s">
        <v>4614</v>
      </c>
    </row>
    <row r="332" spans="1:10">
      <c r="A332" t="s">
        <v>471</v>
      </c>
      <c r="B332" s="2">
        <v>42419</v>
      </c>
      <c r="C332">
        <v>2016</v>
      </c>
      <c r="D332" t="s">
        <v>12</v>
      </c>
      <c r="E332" t="s">
        <v>45</v>
      </c>
      <c r="F332" t="s">
        <v>4654</v>
      </c>
      <c r="G332" t="s">
        <v>4057</v>
      </c>
      <c r="H332" s="16">
        <v>0.8</v>
      </c>
      <c r="I332" t="s">
        <v>4764</v>
      </c>
      <c r="J332" t="s">
        <v>4614</v>
      </c>
    </row>
    <row r="333" spans="1:10">
      <c r="A333" t="s">
        <v>472</v>
      </c>
      <c r="B333" s="2">
        <v>42422</v>
      </c>
      <c r="C333">
        <v>2016</v>
      </c>
      <c r="D333" t="s">
        <v>8</v>
      </c>
      <c r="E333" t="s">
        <v>3860</v>
      </c>
      <c r="F333" t="s">
        <v>4655</v>
      </c>
      <c r="G333" t="s">
        <v>4058</v>
      </c>
      <c r="H333" s="16">
        <v>0.15</v>
      </c>
      <c r="I333" t="s">
        <v>4764</v>
      </c>
      <c r="J333" t="s">
        <v>4614</v>
      </c>
    </row>
    <row r="334" spans="1:10">
      <c r="A334" t="s">
        <v>473</v>
      </c>
      <c r="B334" s="2">
        <v>42431</v>
      </c>
      <c r="C334">
        <v>2016</v>
      </c>
      <c r="D334" t="s">
        <v>8</v>
      </c>
      <c r="E334" t="s">
        <v>130</v>
      </c>
      <c r="F334" t="s">
        <v>4655</v>
      </c>
      <c r="G334" t="s">
        <v>4059</v>
      </c>
      <c r="H334" s="16">
        <v>0.79</v>
      </c>
      <c r="I334" t="s">
        <v>4764</v>
      </c>
      <c r="J334" t="s">
        <v>4614</v>
      </c>
    </row>
    <row r="335" spans="1:10">
      <c r="A335" t="s">
        <v>474</v>
      </c>
      <c r="B335" s="2">
        <v>42434</v>
      </c>
      <c r="C335">
        <v>2016</v>
      </c>
      <c r="D335" t="s">
        <v>25</v>
      </c>
      <c r="E335" t="s">
        <v>72</v>
      </c>
      <c r="F335" t="s">
        <v>4656</v>
      </c>
      <c r="G335" t="s">
        <v>475</v>
      </c>
      <c r="H335" s="16">
        <v>0.17</v>
      </c>
      <c r="I335" t="s">
        <v>4764</v>
      </c>
      <c r="J335" t="s">
        <v>4614</v>
      </c>
    </row>
    <row r="336" spans="1:10">
      <c r="A336" t="s">
        <v>476</v>
      </c>
      <c r="B336" s="2">
        <v>42437</v>
      </c>
      <c r="C336">
        <v>2016</v>
      </c>
      <c r="D336" t="s">
        <v>15</v>
      </c>
      <c r="E336" t="s">
        <v>3832</v>
      </c>
      <c r="F336" t="s">
        <v>4658</v>
      </c>
      <c r="G336" t="s">
        <v>4060</v>
      </c>
      <c r="H336" s="16">
        <v>0.12</v>
      </c>
      <c r="I336" t="s">
        <v>4764</v>
      </c>
      <c r="J336" t="s">
        <v>4614</v>
      </c>
    </row>
    <row r="337" spans="1:10">
      <c r="A337" t="s">
        <v>477</v>
      </c>
      <c r="B337" s="2">
        <v>42438</v>
      </c>
      <c r="C337">
        <v>2016</v>
      </c>
      <c r="D337" t="s">
        <v>12</v>
      </c>
      <c r="E337" t="s">
        <v>49</v>
      </c>
      <c r="F337" t="s">
        <v>4654</v>
      </c>
      <c r="G337" t="s">
        <v>478</v>
      </c>
      <c r="H337" s="16">
        <v>0.12</v>
      </c>
      <c r="I337" t="s">
        <v>4764</v>
      </c>
      <c r="J337" t="s">
        <v>4614</v>
      </c>
    </row>
    <row r="338" spans="1:10">
      <c r="A338" t="s">
        <v>479</v>
      </c>
      <c r="B338" s="2">
        <v>42444</v>
      </c>
      <c r="C338">
        <v>2016</v>
      </c>
      <c r="D338" t="s">
        <v>25</v>
      </c>
      <c r="E338" t="s">
        <v>3839</v>
      </c>
      <c r="F338" t="s">
        <v>4656</v>
      </c>
      <c r="G338" t="s">
        <v>4061</v>
      </c>
      <c r="H338" s="16">
        <v>0.02</v>
      </c>
      <c r="I338" t="s">
        <v>4764</v>
      </c>
      <c r="J338" t="s">
        <v>4614</v>
      </c>
    </row>
    <row r="339" spans="1:10">
      <c r="A339" t="s">
        <v>480</v>
      </c>
      <c r="B339" s="2">
        <v>42444</v>
      </c>
      <c r="C339">
        <v>2016</v>
      </c>
      <c r="D339" t="s">
        <v>8</v>
      </c>
      <c r="E339" t="s">
        <v>130</v>
      </c>
      <c r="F339" t="s">
        <v>4655</v>
      </c>
      <c r="G339" t="s">
        <v>4062</v>
      </c>
      <c r="H339" s="16">
        <v>2.8</v>
      </c>
      <c r="I339" t="s">
        <v>4764</v>
      </c>
      <c r="J339" t="s">
        <v>4614</v>
      </c>
    </row>
    <row r="340" spans="1:10">
      <c r="A340" t="s">
        <v>481</v>
      </c>
      <c r="B340" s="2">
        <v>42452</v>
      </c>
      <c r="C340">
        <v>2016</v>
      </c>
      <c r="D340" t="s">
        <v>25</v>
      </c>
      <c r="E340" t="s">
        <v>45</v>
      </c>
      <c r="F340" t="s">
        <v>4656</v>
      </c>
      <c r="G340" t="s">
        <v>4063</v>
      </c>
      <c r="H340" s="16">
        <v>0.15</v>
      </c>
      <c r="I340" t="s">
        <v>4764</v>
      </c>
      <c r="J340" t="s">
        <v>4614</v>
      </c>
    </row>
    <row r="341" spans="1:10">
      <c r="A341" t="s">
        <v>482</v>
      </c>
      <c r="B341" s="2">
        <v>42454</v>
      </c>
      <c r="C341">
        <v>2016</v>
      </c>
      <c r="D341" t="s">
        <v>12</v>
      </c>
      <c r="E341" t="s">
        <v>47</v>
      </c>
      <c r="F341" t="s">
        <v>4654</v>
      </c>
      <c r="G341" t="s">
        <v>4002</v>
      </c>
      <c r="H341" s="16">
        <v>0.28000000000000003</v>
      </c>
      <c r="I341" t="s">
        <v>4764</v>
      </c>
      <c r="J341" t="s">
        <v>4614</v>
      </c>
    </row>
    <row r="342" spans="1:10">
      <c r="A342" t="s">
        <v>483</v>
      </c>
      <c r="B342" s="2">
        <v>42464</v>
      </c>
      <c r="C342">
        <v>2016</v>
      </c>
      <c r="D342" t="s">
        <v>25</v>
      </c>
      <c r="E342" t="s">
        <v>34</v>
      </c>
      <c r="F342" t="s">
        <v>4656</v>
      </c>
      <c r="G342" t="s">
        <v>484</v>
      </c>
      <c r="H342" s="16">
        <v>0.05</v>
      </c>
      <c r="I342" t="s">
        <v>4764</v>
      </c>
      <c r="J342" t="s">
        <v>4614</v>
      </c>
    </row>
    <row r="343" spans="1:10">
      <c r="A343" t="s">
        <v>485</v>
      </c>
      <c r="B343" s="2">
        <v>42473</v>
      </c>
      <c r="C343">
        <v>2016</v>
      </c>
      <c r="D343" t="s">
        <v>25</v>
      </c>
      <c r="E343" t="s">
        <v>19</v>
      </c>
      <c r="F343" t="s">
        <v>4656</v>
      </c>
      <c r="G343" t="s">
        <v>3998</v>
      </c>
      <c r="H343" s="16">
        <v>0.7</v>
      </c>
      <c r="I343" t="s">
        <v>4764</v>
      </c>
      <c r="J343" t="s">
        <v>4614</v>
      </c>
    </row>
    <row r="344" spans="1:10">
      <c r="A344" t="s">
        <v>486</v>
      </c>
      <c r="B344" s="2">
        <v>42476</v>
      </c>
      <c r="C344">
        <v>2016</v>
      </c>
      <c r="D344" t="s">
        <v>25</v>
      </c>
      <c r="E344" t="s">
        <v>47</v>
      </c>
      <c r="F344" t="s">
        <v>4656</v>
      </c>
      <c r="G344" t="s">
        <v>4064</v>
      </c>
      <c r="H344" s="16">
        <v>0.08</v>
      </c>
      <c r="I344" t="s">
        <v>4764</v>
      </c>
      <c r="J344" t="s">
        <v>4614</v>
      </c>
    </row>
    <row r="345" spans="1:10">
      <c r="A345" t="s">
        <v>487</v>
      </c>
      <c r="B345" s="2">
        <v>42478</v>
      </c>
      <c r="C345">
        <v>2016</v>
      </c>
      <c r="D345" t="s">
        <v>12</v>
      </c>
      <c r="E345" t="s">
        <v>3862</v>
      </c>
      <c r="F345" t="s">
        <v>4654</v>
      </c>
      <c r="G345" t="s">
        <v>4065</v>
      </c>
      <c r="H345" s="16">
        <v>0.28000000000000003</v>
      </c>
      <c r="I345" t="s">
        <v>4764</v>
      </c>
      <c r="J345" t="s">
        <v>4614</v>
      </c>
    </row>
    <row r="346" spans="1:10">
      <c r="A346" t="s">
        <v>488</v>
      </c>
      <c r="B346" s="2">
        <v>42487</v>
      </c>
      <c r="C346">
        <v>2016</v>
      </c>
      <c r="D346" t="s">
        <v>25</v>
      </c>
      <c r="E346" t="s">
        <v>47</v>
      </c>
      <c r="F346" t="s">
        <v>4656</v>
      </c>
      <c r="G346" t="s">
        <v>4066</v>
      </c>
      <c r="H346" s="16">
        <v>0.3</v>
      </c>
      <c r="I346" t="s">
        <v>4764</v>
      </c>
      <c r="J346" t="s">
        <v>4614</v>
      </c>
    </row>
    <row r="347" spans="1:10">
      <c r="A347" t="s">
        <v>489</v>
      </c>
      <c r="B347" s="2">
        <v>42491</v>
      </c>
      <c r="C347">
        <v>2016</v>
      </c>
      <c r="D347" t="s">
        <v>25</v>
      </c>
      <c r="E347" t="s">
        <v>34</v>
      </c>
      <c r="F347" t="s">
        <v>4656</v>
      </c>
      <c r="G347" t="s">
        <v>4067</v>
      </c>
      <c r="H347" s="16">
        <v>0.65</v>
      </c>
      <c r="I347" t="s">
        <v>4764</v>
      </c>
      <c r="J347" t="s">
        <v>4614</v>
      </c>
    </row>
    <row r="348" spans="1:10">
      <c r="A348" t="s">
        <v>490</v>
      </c>
      <c r="B348" s="2">
        <v>42498</v>
      </c>
      <c r="C348">
        <v>2016</v>
      </c>
      <c r="D348" t="s">
        <v>25</v>
      </c>
      <c r="E348" t="s">
        <v>3839</v>
      </c>
      <c r="F348" t="s">
        <v>4656</v>
      </c>
      <c r="G348" t="s">
        <v>3960</v>
      </c>
      <c r="H348" s="16">
        <v>0.17</v>
      </c>
      <c r="I348" t="s">
        <v>4764</v>
      </c>
      <c r="J348" t="s">
        <v>4614</v>
      </c>
    </row>
    <row r="349" spans="1:10">
      <c r="A349" t="s">
        <v>491</v>
      </c>
      <c r="B349" s="2">
        <v>42515</v>
      </c>
      <c r="C349">
        <v>2016</v>
      </c>
      <c r="D349" t="s">
        <v>25</v>
      </c>
      <c r="E349" t="s">
        <v>3836</v>
      </c>
      <c r="F349" t="s">
        <v>4656</v>
      </c>
      <c r="G349" t="s">
        <v>468</v>
      </c>
      <c r="H349" s="16">
        <v>0.12</v>
      </c>
      <c r="I349" t="s">
        <v>4764</v>
      </c>
      <c r="J349" t="s">
        <v>4614</v>
      </c>
    </row>
    <row r="350" spans="1:10">
      <c r="A350" t="s">
        <v>492</v>
      </c>
      <c r="B350" s="2">
        <v>42529</v>
      </c>
      <c r="C350">
        <v>2016</v>
      </c>
      <c r="D350" t="s">
        <v>21</v>
      </c>
      <c r="E350" t="s">
        <v>3839</v>
      </c>
      <c r="F350" t="s">
        <v>4659</v>
      </c>
      <c r="G350" t="s">
        <v>493</v>
      </c>
      <c r="H350" s="16">
        <v>0.25</v>
      </c>
      <c r="I350" t="s">
        <v>4764</v>
      </c>
      <c r="J350" t="s">
        <v>4614</v>
      </c>
    </row>
    <row r="351" spans="1:10">
      <c r="A351" t="s">
        <v>494</v>
      </c>
      <c r="B351" s="2">
        <v>42535</v>
      </c>
      <c r="C351">
        <v>2016</v>
      </c>
      <c r="D351" t="s">
        <v>25</v>
      </c>
      <c r="E351" t="s">
        <v>19</v>
      </c>
      <c r="F351" t="s">
        <v>4656</v>
      </c>
      <c r="G351" t="s">
        <v>495</v>
      </c>
      <c r="H351" s="16">
        <v>0.13</v>
      </c>
      <c r="I351" t="s">
        <v>4764</v>
      </c>
      <c r="J351" t="s">
        <v>4614</v>
      </c>
    </row>
    <row r="352" spans="1:10">
      <c r="A352" t="s">
        <v>496</v>
      </c>
      <c r="B352" s="2">
        <v>42560</v>
      </c>
      <c r="C352">
        <v>2016</v>
      </c>
      <c r="D352" t="s">
        <v>25</v>
      </c>
      <c r="E352" t="s">
        <v>34</v>
      </c>
      <c r="F352" t="s">
        <v>4656</v>
      </c>
      <c r="G352" t="s">
        <v>4068</v>
      </c>
      <c r="H352" s="16">
        <v>0.54</v>
      </c>
      <c r="I352" t="s">
        <v>4764</v>
      </c>
      <c r="J352" t="s">
        <v>4614</v>
      </c>
    </row>
    <row r="353" spans="1:10">
      <c r="A353" t="s">
        <v>497</v>
      </c>
      <c r="B353" s="2">
        <v>42564</v>
      </c>
      <c r="C353">
        <v>2016</v>
      </c>
      <c r="D353" t="s">
        <v>25</v>
      </c>
      <c r="E353" t="s">
        <v>3836</v>
      </c>
      <c r="F353" t="s">
        <v>4656</v>
      </c>
      <c r="G353" t="s">
        <v>498</v>
      </c>
      <c r="H353" s="16">
        <v>0.05</v>
      </c>
      <c r="I353" t="s">
        <v>4764</v>
      </c>
      <c r="J353" t="s">
        <v>4614</v>
      </c>
    </row>
    <row r="354" spans="1:10">
      <c r="A354" t="s">
        <v>499</v>
      </c>
      <c r="B354" s="2">
        <v>42565</v>
      </c>
      <c r="C354">
        <v>2016</v>
      </c>
      <c r="D354" t="s">
        <v>25</v>
      </c>
      <c r="E354" t="s">
        <v>45</v>
      </c>
      <c r="F354" t="s">
        <v>4656</v>
      </c>
      <c r="G354" t="s">
        <v>4069</v>
      </c>
      <c r="H354" s="16">
        <v>0.25</v>
      </c>
      <c r="I354" t="s">
        <v>4764</v>
      </c>
      <c r="J354" t="s">
        <v>4614</v>
      </c>
    </row>
    <row r="355" spans="1:10">
      <c r="A355" t="s">
        <v>500</v>
      </c>
      <c r="B355" s="2">
        <v>42567</v>
      </c>
      <c r="C355">
        <v>2016</v>
      </c>
      <c r="D355" t="s">
        <v>12</v>
      </c>
      <c r="E355" t="s">
        <v>13</v>
      </c>
      <c r="F355" t="s">
        <v>4654</v>
      </c>
      <c r="G355" t="s">
        <v>4070</v>
      </c>
      <c r="H355" s="16">
        <v>0.53</v>
      </c>
      <c r="I355" t="s">
        <v>4764</v>
      </c>
      <c r="J355" t="s">
        <v>4614</v>
      </c>
    </row>
    <row r="356" spans="1:10">
      <c r="A356" t="s">
        <v>501</v>
      </c>
      <c r="B356" s="2">
        <v>42569</v>
      </c>
      <c r="C356">
        <v>2016</v>
      </c>
      <c r="D356" t="s">
        <v>25</v>
      </c>
      <c r="E356" t="s">
        <v>13</v>
      </c>
      <c r="F356" t="s">
        <v>4656</v>
      </c>
      <c r="G356" t="s">
        <v>502</v>
      </c>
      <c r="H356" s="16">
        <v>0.03</v>
      </c>
      <c r="I356" t="s">
        <v>4764</v>
      </c>
      <c r="J356" t="s">
        <v>4614</v>
      </c>
    </row>
    <row r="357" spans="1:10">
      <c r="A357" t="s">
        <v>503</v>
      </c>
      <c r="B357" s="2">
        <v>42572</v>
      </c>
      <c r="C357">
        <v>2016</v>
      </c>
      <c r="D357" t="s">
        <v>25</v>
      </c>
      <c r="E357" t="s">
        <v>72</v>
      </c>
      <c r="F357" t="s">
        <v>4656</v>
      </c>
      <c r="G357" t="s">
        <v>4071</v>
      </c>
      <c r="H357" s="16">
        <v>0.5</v>
      </c>
      <c r="I357" t="s">
        <v>4764</v>
      </c>
      <c r="J357" t="s">
        <v>4614</v>
      </c>
    </row>
    <row r="358" spans="1:10">
      <c r="A358" t="s">
        <v>504</v>
      </c>
      <c r="B358" s="2">
        <v>42572</v>
      </c>
      <c r="C358">
        <v>2016</v>
      </c>
      <c r="D358" t="s">
        <v>25</v>
      </c>
      <c r="E358" t="s">
        <v>34</v>
      </c>
      <c r="F358" t="s">
        <v>4656</v>
      </c>
      <c r="G358" t="s">
        <v>4072</v>
      </c>
      <c r="H358" s="16">
        <v>0.06</v>
      </c>
      <c r="I358" t="s">
        <v>4764</v>
      </c>
      <c r="J358" t="s">
        <v>4614</v>
      </c>
    </row>
    <row r="359" spans="1:10">
      <c r="A359" t="s">
        <v>505</v>
      </c>
      <c r="B359" s="2">
        <v>42588</v>
      </c>
      <c r="C359">
        <v>2016</v>
      </c>
      <c r="D359" t="s">
        <v>25</v>
      </c>
      <c r="E359" t="s">
        <v>3839</v>
      </c>
      <c r="F359" t="s">
        <v>4656</v>
      </c>
      <c r="G359" t="s">
        <v>506</v>
      </c>
      <c r="H359" s="16">
        <v>0.05</v>
      </c>
      <c r="I359" t="s">
        <v>4764</v>
      </c>
      <c r="J359" t="s">
        <v>4614</v>
      </c>
    </row>
    <row r="360" spans="1:10">
      <c r="A360" t="s">
        <v>507</v>
      </c>
      <c r="B360" s="2">
        <v>42591</v>
      </c>
      <c r="C360">
        <v>2016</v>
      </c>
      <c r="D360" t="s">
        <v>25</v>
      </c>
      <c r="E360" t="s">
        <v>3862</v>
      </c>
      <c r="F360" t="s">
        <v>4656</v>
      </c>
      <c r="G360" t="s">
        <v>4073</v>
      </c>
      <c r="H360" s="16">
        <v>0.06</v>
      </c>
      <c r="I360" t="s">
        <v>4764</v>
      </c>
      <c r="J360" t="s">
        <v>4614</v>
      </c>
    </row>
    <row r="361" spans="1:10">
      <c r="A361" t="s">
        <v>508</v>
      </c>
      <c r="B361" s="2">
        <v>42598</v>
      </c>
      <c r="C361">
        <v>2016</v>
      </c>
      <c r="D361" t="s">
        <v>15</v>
      </c>
      <c r="E361" t="s">
        <v>3832</v>
      </c>
      <c r="F361" t="s">
        <v>4658</v>
      </c>
      <c r="G361" t="s">
        <v>509</v>
      </c>
      <c r="H361" s="16">
        <v>1.47</v>
      </c>
      <c r="I361" t="s">
        <v>4764</v>
      </c>
      <c r="J361" t="s">
        <v>4614</v>
      </c>
    </row>
    <row r="362" spans="1:10">
      <c r="A362" t="s">
        <v>510</v>
      </c>
      <c r="B362" s="2">
        <v>42601</v>
      </c>
      <c r="C362">
        <v>2016</v>
      </c>
      <c r="D362" t="s">
        <v>12</v>
      </c>
      <c r="E362" t="s">
        <v>19</v>
      </c>
      <c r="F362" t="s">
        <v>4654</v>
      </c>
      <c r="G362" t="s">
        <v>4074</v>
      </c>
      <c r="H362" s="16">
        <v>0.13</v>
      </c>
      <c r="I362" t="s">
        <v>4764</v>
      </c>
      <c r="J362" t="s">
        <v>4614</v>
      </c>
    </row>
    <row r="363" spans="1:10">
      <c r="A363" t="s">
        <v>511</v>
      </c>
      <c r="B363" s="2">
        <v>42604</v>
      </c>
      <c r="C363">
        <v>2016</v>
      </c>
      <c r="D363" t="s">
        <v>25</v>
      </c>
      <c r="E363" t="s">
        <v>34</v>
      </c>
      <c r="F363" t="s">
        <v>4656</v>
      </c>
      <c r="G363" t="s">
        <v>4075</v>
      </c>
      <c r="H363" s="16">
        <v>0.03</v>
      </c>
      <c r="I363" t="s">
        <v>4764</v>
      </c>
      <c r="J363" t="s">
        <v>4614</v>
      </c>
    </row>
    <row r="364" spans="1:10">
      <c r="A364" t="s">
        <v>512</v>
      </c>
      <c r="B364" s="2">
        <v>42618</v>
      </c>
      <c r="C364">
        <v>2016</v>
      </c>
      <c r="D364" t="s">
        <v>25</v>
      </c>
      <c r="E364" t="s">
        <v>3839</v>
      </c>
      <c r="F364" t="s">
        <v>4656</v>
      </c>
      <c r="G364" t="s">
        <v>4076</v>
      </c>
      <c r="H364" s="16">
        <v>0.06</v>
      </c>
      <c r="I364" t="s">
        <v>4764</v>
      </c>
      <c r="J364" t="s">
        <v>4614</v>
      </c>
    </row>
    <row r="365" spans="1:10">
      <c r="A365" t="s">
        <v>513</v>
      </c>
      <c r="B365" s="2">
        <v>42618</v>
      </c>
      <c r="C365">
        <v>2016</v>
      </c>
      <c r="D365" t="s">
        <v>8</v>
      </c>
      <c r="E365" t="s">
        <v>23</v>
      </c>
      <c r="F365" t="s">
        <v>4655</v>
      </c>
      <c r="G365" t="s">
        <v>514</v>
      </c>
      <c r="H365" s="16">
        <v>0.18</v>
      </c>
      <c r="I365" t="s">
        <v>4764</v>
      </c>
      <c r="J365" t="s">
        <v>4614</v>
      </c>
    </row>
    <row r="366" spans="1:10">
      <c r="A366" t="s">
        <v>515</v>
      </c>
      <c r="B366" s="2">
        <v>42619</v>
      </c>
      <c r="C366">
        <v>2016</v>
      </c>
      <c r="D366" t="s">
        <v>33</v>
      </c>
      <c r="E366" t="s">
        <v>3870</v>
      </c>
      <c r="F366" t="s">
        <v>4660</v>
      </c>
      <c r="G366" t="s">
        <v>4077</v>
      </c>
      <c r="H366" s="16">
        <v>0.08</v>
      </c>
      <c r="I366" t="s">
        <v>4764</v>
      </c>
      <c r="J366" t="s">
        <v>4614</v>
      </c>
    </row>
    <row r="367" spans="1:10">
      <c r="A367" t="s">
        <v>516</v>
      </c>
      <c r="B367" s="2">
        <v>42620</v>
      </c>
      <c r="C367">
        <v>2016</v>
      </c>
      <c r="D367" t="s">
        <v>12</v>
      </c>
      <c r="E367" t="s">
        <v>34</v>
      </c>
      <c r="F367" t="s">
        <v>4654</v>
      </c>
      <c r="G367" t="s">
        <v>4078</v>
      </c>
      <c r="H367" s="16">
        <v>0.3</v>
      </c>
      <c r="I367" t="s">
        <v>4764</v>
      </c>
      <c r="J367" t="s">
        <v>4614</v>
      </c>
    </row>
    <row r="368" spans="1:10">
      <c r="A368" t="s">
        <v>517</v>
      </c>
      <c r="B368" s="2">
        <v>42621</v>
      </c>
      <c r="C368">
        <v>2016</v>
      </c>
      <c r="D368" t="s">
        <v>21</v>
      </c>
      <c r="E368" t="s">
        <v>3854</v>
      </c>
      <c r="F368" t="s">
        <v>4659</v>
      </c>
      <c r="G368" t="s">
        <v>4079</v>
      </c>
      <c r="H368" s="16">
        <v>0.21</v>
      </c>
      <c r="I368" t="s">
        <v>4764</v>
      </c>
      <c r="J368" t="s">
        <v>4614</v>
      </c>
    </row>
    <row r="369" spans="1:10">
      <c r="A369" t="s">
        <v>518</v>
      </c>
      <c r="B369" s="2">
        <v>42621</v>
      </c>
      <c r="C369">
        <v>2016</v>
      </c>
      <c r="D369" t="s">
        <v>25</v>
      </c>
      <c r="E369" t="s">
        <v>29</v>
      </c>
      <c r="F369" t="s">
        <v>4656</v>
      </c>
      <c r="G369" t="s">
        <v>519</v>
      </c>
      <c r="H369" s="16">
        <v>7.0000000000000007E-2</v>
      </c>
      <c r="I369" t="s">
        <v>4764</v>
      </c>
      <c r="J369" t="s">
        <v>4614</v>
      </c>
    </row>
    <row r="370" spans="1:10">
      <c r="A370" t="s">
        <v>520</v>
      </c>
      <c r="B370" s="2">
        <v>42628</v>
      </c>
      <c r="C370">
        <v>2016</v>
      </c>
      <c r="D370" t="s">
        <v>12</v>
      </c>
      <c r="E370" t="s">
        <v>19</v>
      </c>
      <c r="F370" t="s">
        <v>4654</v>
      </c>
      <c r="G370" t="s">
        <v>4080</v>
      </c>
      <c r="H370" s="16">
        <v>0.11</v>
      </c>
      <c r="I370" t="s">
        <v>4764</v>
      </c>
      <c r="J370" t="s">
        <v>4614</v>
      </c>
    </row>
    <row r="371" spans="1:10">
      <c r="A371" t="s">
        <v>521</v>
      </c>
      <c r="B371" s="2">
        <v>42631</v>
      </c>
      <c r="C371">
        <v>2016</v>
      </c>
      <c r="D371" t="s">
        <v>25</v>
      </c>
      <c r="E371" t="s">
        <v>72</v>
      </c>
      <c r="F371" t="s">
        <v>4656</v>
      </c>
      <c r="G371" t="s">
        <v>4081</v>
      </c>
      <c r="H371" s="16">
        <v>0.08</v>
      </c>
      <c r="I371" t="s">
        <v>4764</v>
      </c>
      <c r="J371" t="s">
        <v>4614</v>
      </c>
    </row>
    <row r="372" spans="1:10">
      <c r="A372" t="s">
        <v>522</v>
      </c>
      <c r="B372" s="2">
        <v>42635</v>
      </c>
      <c r="C372">
        <v>2016</v>
      </c>
      <c r="D372" t="s">
        <v>8</v>
      </c>
      <c r="E372" t="s">
        <v>53</v>
      </c>
      <c r="F372" t="s">
        <v>4655</v>
      </c>
      <c r="G372" t="s">
        <v>4082</v>
      </c>
      <c r="H372" s="16">
        <v>1.55</v>
      </c>
      <c r="I372" t="s">
        <v>4764</v>
      </c>
      <c r="J372" t="s">
        <v>4614</v>
      </c>
    </row>
    <row r="373" spans="1:10">
      <c r="A373" t="s">
        <v>523</v>
      </c>
      <c r="B373" s="2">
        <v>42638</v>
      </c>
      <c r="C373">
        <v>2016</v>
      </c>
      <c r="D373" t="s">
        <v>12</v>
      </c>
      <c r="E373" t="s">
        <v>3839</v>
      </c>
      <c r="F373" t="s">
        <v>4654</v>
      </c>
      <c r="G373" t="s">
        <v>4083</v>
      </c>
      <c r="H373" s="16">
        <v>0.11</v>
      </c>
      <c r="I373" t="s">
        <v>4764</v>
      </c>
      <c r="J373" t="s">
        <v>4614</v>
      </c>
    </row>
    <row r="374" spans="1:10">
      <c r="A374" t="s">
        <v>524</v>
      </c>
      <c r="B374" s="2">
        <v>42639</v>
      </c>
      <c r="C374">
        <v>2016</v>
      </c>
      <c r="D374" t="s">
        <v>25</v>
      </c>
      <c r="E374" t="s">
        <v>3862</v>
      </c>
      <c r="F374" t="s">
        <v>4656</v>
      </c>
      <c r="G374" t="s">
        <v>525</v>
      </c>
      <c r="H374" s="16">
        <v>0.21</v>
      </c>
      <c r="I374" t="s">
        <v>4764</v>
      </c>
      <c r="J374" t="s">
        <v>4614</v>
      </c>
    </row>
    <row r="375" spans="1:10">
      <c r="A375" t="s">
        <v>526</v>
      </c>
      <c r="B375" s="2">
        <v>42654</v>
      </c>
      <c r="C375">
        <v>2016</v>
      </c>
      <c r="D375" t="s">
        <v>25</v>
      </c>
      <c r="E375" t="s">
        <v>49</v>
      </c>
      <c r="F375" t="s">
        <v>4656</v>
      </c>
      <c r="G375" t="s">
        <v>4084</v>
      </c>
      <c r="H375" s="16">
        <v>0.42</v>
      </c>
      <c r="I375" t="s">
        <v>4764</v>
      </c>
      <c r="J375" t="s">
        <v>4614</v>
      </c>
    </row>
    <row r="376" spans="1:10">
      <c r="A376" t="s">
        <v>527</v>
      </c>
      <c r="B376" s="2">
        <v>42679</v>
      </c>
      <c r="C376">
        <v>2016</v>
      </c>
      <c r="D376" t="s">
        <v>12</v>
      </c>
      <c r="E376" t="s">
        <v>29</v>
      </c>
      <c r="F376" t="s">
        <v>4654</v>
      </c>
      <c r="G376" t="s">
        <v>3998</v>
      </c>
      <c r="H376" s="16">
        <v>0.09</v>
      </c>
      <c r="I376" t="s">
        <v>4764</v>
      </c>
      <c r="J376" t="s">
        <v>4614</v>
      </c>
    </row>
    <row r="377" spans="1:10">
      <c r="A377" t="s">
        <v>528</v>
      </c>
      <c r="B377" s="2">
        <v>42687</v>
      </c>
      <c r="C377">
        <v>2016</v>
      </c>
      <c r="D377" t="s">
        <v>12</v>
      </c>
      <c r="E377" t="s">
        <v>3836</v>
      </c>
      <c r="F377" t="s">
        <v>4654</v>
      </c>
      <c r="G377" t="s">
        <v>529</v>
      </c>
      <c r="H377" s="16">
        <v>0.34</v>
      </c>
      <c r="I377" t="s">
        <v>4764</v>
      </c>
      <c r="J377" t="s">
        <v>4614</v>
      </c>
    </row>
    <row r="378" spans="1:10">
      <c r="A378" t="s">
        <v>530</v>
      </c>
      <c r="B378" s="2">
        <v>42687</v>
      </c>
      <c r="C378">
        <v>2016</v>
      </c>
      <c r="D378" t="s">
        <v>25</v>
      </c>
      <c r="E378" t="s">
        <v>72</v>
      </c>
      <c r="F378" t="s">
        <v>4656</v>
      </c>
      <c r="G378" t="s">
        <v>428</v>
      </c>
      <c r="H378" s="16">
        <v>0.08</v>
      </c>
      <c r="I378" t="s">
        <v>4764</v>
      </c>
      <c r="J378" t="s">
        <v>4614</v>
      </c>
    </row>
    <row r="379" spans="1:10">
      <c r="A379" t="s">
        <v>531</v>
      </c>
      <c r="B379" s="2">
        <v>42695</v>
      </c>
      <c r="C379">
        <v>2016</v>
      </c>
      <c r="D379" t="s">
        <v>25</v>
      </c>
      <c r="E379" t="s">
        <v>3836</v>
      </c>
      <c r="F379" t="s">
        <v>4656</v>
      </c>
      <c r="G379" t="s">
        <v>4085</v>
      </c>
      <c r="H379" s="16">
        <v>0.17</v>
      </c>
      <c r="I379" t="s">
        <v>4764</v>
      </c>
      <c r="J379" t="s">
        <v>4614</v>
      </c>
    </row>
    <row r="380" spans="1:10">
      <c r="A380" t="s">
        <v>532</v>
      </c>
      <c r="B380" s="2">
        <v>42696</v>
      </c>
      <c r="C380">
        <v>2016</v>
      </c>
      <c r="D380" t="s">
        <v>25</v>
      </c>
      <c r="E380" t="s">
        <v>49</v>
      </c>
      <c r="F380" t="s">
        <v>4656</v>
      </c>
      <c r="G380" t="s">
        <v>4086</v>
      </c>
      <c r="H380" s="16">
        <v>0.27</v>
      </c>
      <c r="I380" t="s">
        <v>4764</v>
      </c>
      <c r="J380" t="s">
        <v>4614</v>
      </c>
    </row>
    <row r="381" spans="1:10">
      <c r="A381" t="s">
        <v>533</v>
      </c>
      <c r="B381" s="2">
        <v>42697</v>
      </c>
      <c r="C381">
        <v>2016</v>
      </c>
      <c r="D381" t="s">
        <v>15</v>
      </c>
      <c r="E381" t="s">
        <v>3832</v>
      </c>
      <c r="F381" t="s">
        <v>4658</v>
      </c>
      <c r="G381" t="s">
        <v>534</v>
      </c>
      <c r="H381" s="16">
        <v>0.21</v>
      </c>
      <c r="I381" t="s">
        <v>4764</v>
      </c>
      <c r="J381" t="s">
        <v>4614</v>
      </c>
    </row>
    <row r="382" spans="1:10">
      <c r="A382" t="s">
        <v>535</v>
      </c>
      <c r="B382" s="2">
        <v>42697</v>
      </c>
      <c r="C382">
        <v>2016</v>
      </c>
      <c r="D382" t="s">
        <v>25</v>
      </c>
      <c r="E382" t="s">
        <v>47</v>
      </c>
      <c r="F382" t="s">
        <v>4656</v>
      </c>
      <c r="G382" t="s">
        <v>4087</v>
      </c>
      <c r="H382" s="16">
        <v>0.2</v>
      </c>
      <c r="I382" t="s">
        <v>4764</v>
      </c>
      <c r="J382" t="s">
        <v>4614</v>
      </c>
    </row>
    <row r="383" spans="1:10">
      <c r="A383" t="s">
        <v>536</v>
      </c>
      <c r="B383" s="2">
        <v>42700</v>
      </c>
      <c r="C383">
        <v>2016</v>
      </c>
      <c r="D383" t="s">
        <v>25</v>
      </c>
      <c r="E383" t="s">
        <v>72</v>
      </c>
      <c r="F383" t="s">
        <v>4656</v>
      </c>
      <c r="G383" t="s">
        <v>4088</v>
      </c>
      <c r="H383" s="16">
        <v>0.14000000000000001</v>
      </c>
      <c r="I383" t="s">
        <v>4764</v>
      </c>
      <c r="J383" t="s">
        <v>4614</v>
      </c>
    </row>
    <row r="384" spans="1:10">
      <c r="A384" t="s">
        <v>537</v>
      </c>
      <c r="B384" s="2">
        <v>42707</v>
      </c>
      <c r="C384">
        <v>2016</v>
      </c>
      <c r="D384" t="s">
        <v>15</v>
      </c>
      <c r="E384" t="s">
        <v>3832</v>
      </c>
      <c r="F384" t="s">
        <v>4658</v>
      </c>
      <c r="G384" t="s">
        <v>4089</v>
      </c>
      <c r="H384" s="16">
        <v>0.12</v>
      </c>
      <c r="I384" t="s">
        <v>4764</v>
      </c>
      <c r="J384" t="s">
        <v>4614</v>
      </c>
    </row>
    <row r="385" spans="1:10">
      <c r="A385" t="s">
        <v>538</v>
      </c>
      <c r="B385" s="2">
        <v>42721</v>
      </c>
      <c r="C385">
        <v>2016</v>
      </c>
      <c r="D385" t="s">
        <v>25</v>
      </c>
      <c r="E385" t="s">
        <v>3839</v>
      </c>
      <c r="F385" t="s">
        <v>4656</v>
      </c>
      <c r="G385" t="s">
        <v>4090</v>
      </c>
      <c r="H385" s="16">
        <v>0.43</v>
      </c>
      <c r="I385" t="s">
        <v>4764</v>
      </c>
      <c r="J385" t="s">
        <v>4614</v>
      </c>
    </row>
    <row r="386" spans="1:10">
      <c r="A386" t="s">
        <v>539</v>
      </c>
      <c r="B386" s="2">
        <v>42723</v>
      </c>
      <c r="C386">
        <v>2016</v>
      </c>
      <c r="D386" t="s">
        <v>8</v>
      </c>
      <c r="E386" t="s">
        <v>125</v>
      </c>
      <c r="F386" t="s">
        <v>4655</v>
      </c>
      <c r="G386" t="s">
        <v>540</v>
      </c>
      <c r="H386" s="16">
        <v>0.02</v>
      </c>
      <c r="I386" t="s">
        <v>4764</v>
      </c>
      <c r="J386" t="s">
        <v>4614</v>
      </c>
    </row>
    <row r="387" spans="1:10">
      <c r="A387" t="s">
        <v>541</v>
      </c>
      <c r="B387" s="2">
        <v>42737</v>
      </c>
      <c r="C387">
        <v>2017</v>
      </c>
      <c r="D387" t="s">
        <v>25</v>
      </c>
      <c r="E387" t="s">
        <v>72</v>
      </c>
      <c r="F387" t="s">
        <v>4661</v>
      </c>
      <c r="G387" t="s">
        <v>542</v>
      </c>
      <c r="H387" s="16">
        <v>0.08</v>
      </c>
      <c r="I387" t="s">
        <v>4764</v>
      </c>
      <c r="J387" t="s">
        <v>4614</v>
      </c>
    </row>
    <row r="388" spans="1:10">
      <c r="A388" t="s">
        <v>543</v>
      </c>
      <c r="B388" s="2">
        <v>42742</v>
      </c>
      <c r="C388">
        <v>2017</v>
      </c>
      <c r="D388" t="s">
        <v>8</v>
      </c>
      <c r="E388" t="s">
        <v>130</v>
      </c>
      <c r="F388" t="s">
        <v>4662</v>
      </c>
      <c r="G388" t="s">
        <v>4091</v>
      </c>
      <c r="H388" s="16">
        <v>1.25</v>
      </c>
      <c r="I388" t="s">
        <v>4764</v>
      </c>
      <c r="J388" t="s">
        <v>4614</v>
      </c>
    </row>
    <row r="389" spans="1:10">
      <c r="A389" t="s">
        <v>544</v>
      </c>
      <c r="B389" s="2">
        <v>42748</v>
      </c>
      <c r="C389">
        <v>2017</v>
      </c>
      <c r="D389" t="s">
        <v>25</v>
      </c>
      <c r="E389" t="s">
        <v>34</v>
      </c>
      <c r="F389" t="s">
        <v>4661</v>
      </c>
      <c r="G389" t="s">
        <v>4092</v>
      </c>
      <c r="H389" s="16">
        <v>0.13</v>
      </c>
      <c r="I389" t="s">
        <v>4764</v>
      </c>
      <c r="J389" t="s">
        <v>4614</v>
      </c>
    </row>
    <row r="390" spans="1:10">
      <c r="A390" t="s">
        <v>545</v>
      </c>
      <c r="B390" s="2">
        <v>42757</v>
      </c>
      <c r="C390">
        <v>2017</v>
      </c>
      <c r="D390" t="s">
        <v>25</v>
      </c>
      <c r="E390" t="s">
        <v>3836</v>
      </c>
      <c r="F390" t="s">
        <v>4661</v>
      </c>
      <c r="G390" t="s">
        <v>4093</v>
      </c>
      <c r="H390" s="16">
        <v>0.13</v>
      </c>
      <c r="I390" t="s">
        <v>4764</v>
      </c>
      <c r="J390" t="s">
        <v>4614</v>
      </c>
    </row>
    <row r="391" spans="1:10">
      <c r="A391" t="s">
        <v>546</v>
      </c>
      <c r="B391" s="2">
        <v>42760</v>
      </c>
      <c r="C391">
        <v>2017</v>
      </c>
      <c r="D391" t="s">
        <v>25</v>
      </c>
      <c r="E391" t="s">
        <v>72</v>
      </c>
      <c r="F391" t="s">
        <v>4661</v>
      </c>
      <c r="G391" t="s">
        <v>4094</v>
      </c>
      <c r="H391" s="16">
        <v>0.38</v>
      </c>
      <c r="I391" t="s">
        <v>4764</v>
      </c>
      <c r="J391" t="s">
        <v>4614</v>
      </c>
    </row>
    <row r="392" spans="1:10">
      <c r="A392" t="s">
        <v>547</v>
      </c>
      <c r="B392" s="2">
        <v>42760</v>
      </c>
      <c r="C392">
        <v>2017</v>
      </c>
      <c r="D392" t="s">
        <v>12</v>
      </c>
      <c r="E392" t="s">
        <v>29</v>
      </c>
      <c r="F392" t="s">
        <v>4663</v>
      </c>
      <c r="G392" t="s">
        <v>4095</v>
      </c>
      <c r="H392" s="16">
        <v>0.04</v>
      </c>
      <c r="I392" t="s">
        <v>4764</v>
      </c>
      <c r="J392" t="s">
        <v>4614</v>
      </c>
    </row>
    <row r="393" spans="1:10">
      <c r="A393" t="s">
        <v>548</v>
      </c>
      <c r="B393" s="2">
        <v>42782</v>
      </c>
      <c r="C393">
        <v>2017</v>
      </c>
      <c r="D393" t="s">
        <v>25</v>
      </c>
      <c r="E393" t="s">
        <v>13</v>
      </c>
      <c r="F393" t="s">
        <v>4661</v>
      </c>
      <c r="G393" t="s">
        <v>549</v>
      </c>
      <c r="H393" s="16">
        <v>0.05</v>
      </c>
      <c r="I393" t="s">
        <v>4764</v>
      </c>
      <c r="J393" t="s">
        <v>4614</v>
      </c>
    </row>
    <row r="394" spans="1:10">
      <c r="A394" t="s">
        <v>550</v>
      </c>
      <c r="B394" s="2">
        <v>42787</v>
      </c>
      <c r="C394">
        <v>2017</v>
      </c>
      <c r="D394" t="s">
        <v>25</v>
      </c>
      <c r="E394" t="s">
        <v>45</v>
      </c>
      <c r="F394" t="s">
        <v>4661</v>
      </c>
      <c r="G394" t="s">
        <v>4096</v>
      </c>
      <c r="H394" s="16">
        <v>0.11</v>
      </c>
      <c r="I394" t="s">
        <v>4764</v>
      </c>
      <c r="J394" t="s">
        <v>4614</v>
      </c>
    </row>
    <row r="395" spans="1:10">
      <c r="A395" t="s">
        <v>551</v>
      </c>
      <c r="B395" s="2">
        <v>42787</v>
      </c>
      <c r="C395">
        <v>2017</v>
      </c>
      <c r="D395" t="s">
        <v>12</v>
      </c>
      <c r="E395" t="s">
        <v>3870</v>
      </c>
      <c r="F395" t="s">
        <v>4663</v>
      </c>
      <c r="G395" t="s">
        <v>552</v>
      </c>
      <c r="H395" s="16">
        <v>7.0000000000000007E-2</v>
      </c>
      <c r="I395" t="s">
        <v>4764</v>
      </c>
      <c r="J395" t="s">
        <v>4614</v>
      </c>
    </row>
    <row r="396" spans="1:10">
      <c r="A396" t="s">
        <v>553</v>
      </c>
      <c r="B396" s="2">
        <v>42791</v>
      </c>
      <c r="C396">
        <v>2017</v>
      </c>
      <c r="D396" t="s">
        <v>25</v>
      </c>
      <c r="E396" t="s">
        <v>3836</v>
      </c>
      <c r="F396" t="s">
        <v>4661</v>
      </c>
      <c r="G396" t="s">
        <v>4097</v>
      </c>
      <c r="H396" s="16">
        <v>0.05</v>
      </c>
      <c r="I396" t="s">
        <v>4764</v>
      </c>
      <c r="J396" t="s">
        <v>4614</v>
      </c>
    </row>
    <row r="397" spans="1:10">
      <c r="A397" t="s">
        <v>554</v>
      </c>
      <c r="B397" s="2">
        <v>42791</v>
      </c>
      <c r="C397">
        <v>2017</v>
      </c>
      <c r="D397" t="s">
        <v>25</v>
      </c>
      <c r="E397" t="s">
        <v>13</v>
      </c>
      <c r="F397" t="s">
        <v>4661</v>
      </c>
      <c r="G397" t="s">
        <v>4098</v>
      </c>
      <c r="H397" s="16">
        <v>0.02</v>
      </c>
      <c r="I397" t="s">
        <v>4764</v>
      </c>
      <c r="J397" t="s">
        <v>4614</v>
      </c>
    </row>
    <row r="398" spans="1:10">
      <c r="A398" t="s">
        <v>555</v>
      </c>
      <c r="B398" s="2">
        <v>42800</v>
      </c>
      <c r="C398">
        <v>2017</v>
      </c>
      <c r="D398" t="s">
        <v>33</v>
      </c>
      <c r="E398" t="s">
        <v>19</v>
      </c>
      <c r="F398" t="s">
        <v>4664</v>
      </c>
      <c r="G398" t="s">
        <v>4099</v>
      </c>
      <c r="H398" s="16">
        <v>0.31</v>
      </c>
      <c r="I398" t="s">
        <v>4764</v>
      </c>
      <c r="J398" t="s">
        <v>4614</v>
      </c>
    </row>
    <row r="399" spans="1:10">
      <c r="A399" t="s">
        <v>556</v>
      </c>
      <c r="B399" s="2">
        <v>42802</v>
      </c>
      <c r="C399">
        <v>2017</v>
      </c>
      <c r="D399" t="s">
        <v>25</v>
      </c>
      <c r="E399" t="s">
        <v>29</v>
      </c>
      <c r="F399" t="s">
        <v>4661</v>
      </c>
      <c r="G399" t="s">
        <v>4100</v>
      </c>
      <c r="H399" s="16">
        <v>0.1</v>
      </c>
      <c r="I399" t="s">
        <v>4764</v>
      </c>
      <c r="J399" t="s">
        <v>4614</v>
      </c>
    </row>
    <row r="400" spans="1:10">
      <c r="A400" t="s">
        <v>557</v>
      </c>
      <c r="B400" s="2">
        <v>42803</v>
      </c>
      <c r="C400">
        <v>2017</v>
      </c>
      <c r="D400" t="s">
        <v>25</v>
      </c>
      <c r="E400" t="s">
        <v>45</v>
      </c>
      <c r="F400" t="s">
        <v>4661</v>
      </c>
      <c r="G400" t="s">
        <v>4101</v>
      </c>
      <c r="H400" s="16">
        <v>0.08</v>
      </c>
      <c r="I400" t="s">
        <v>4764</v>
      </c>
      <c r="J400" t="s">
        <v>4614</v>
      </c>
    </row>
    <row r="401" spans="1:10">
      <c r="A401" t="s">
        <v>558</v>
      </c>
      <c r="B401" s="2">
        <v>42806</v>
      </c>
      <c r="C401">
        <v>2017</v>
      </c>
      <c r="D401" t="s">
        <v>8</v>
      </c>
      <c r="E401" t="s">
        <v>53</v>
      </c>
      <c r="F401" t="s">
        <v>4662</v>
      </c>
      <c r="G401" t="s">
        <v>4102</v>
      </c>
      <c r="H401" s="16">
        <v>0.24</v>
      </c>
      <c r="I401" t="s">
        <v>4764</v>
      </c>
      <c r="J401" t="s">
        <v>4614</v>
      </c>
    </row>
    <row r="402" spans="1:10">
      <c r="A402" t="s">
        <v>559</v>
      </c>
      <c r="B402" s="2">
        <v>42818</v>
      </c>
      <c r="C402">
        <v>2017</v>
      </c>
      <c r="D402" t="s">
        <v>33</v>
      </c>
      <c r="E402" t="s">
        <v>47</v>
      </c>
      <c r="F402" t="s">
        <v>4664</v>
      </c>
      <c r="G402" t="s">
        <v>3921</v>
      </c>
      <c r="H402" s="16">
        <v>0.25</v>
      </c>
      <c r="I402" t="s">
        <v>4764</v>
      </c>
      <c r="J402" t="s">
        <v>4614</v>
      </c>
    </row>
    <row r="403" spans="1:10">
      <c r="A403" t="s">
        <v>560</v>
      </c>
      <c r="B403" s="2">
        <v>42819</v>
      </c>
      <c r="C403">
        <v>2017</v>
      </c>
      <c r="D403" t="s">
        <v>12</v>
      </c>
      <c r="E403" t="s">
        <v>3854</v>
      </c>
      <c r="F403" t="s">
        <v>4663</v>
      </c>
      <c r="G403" t="s">
        <v>4103</v>
      </c>
      <c r="H403" s="16">
        <v>0.09</v>
      </c>
      <c r="I403" t="s">
        <v>4764</v>
      </c>
      <c r="J403" t="s">
        <v>4614</v>
      </c>
    </row>
    <row r="404" spans="1:10">
      <c r="A404" t="s">
        <v>561</v>
      </c>
      <c r="B404" s="2">
        <v>42830</v>
      </c>
      <c r="C404">
        <v>2017</v>
      </c>
      <c r="D404" t="s">
        <v>15</v>
      </c>
      <c r="E404" t="s">
        <v>3832</v>
      </c>
      <c r="F404" t="s">
        <v>4665</v>
      </c>
      <c r="G404" t="s">
        <v>4104</v>
      </c>
      <c r="H404" s="16">
        <v>0.46</v>
      </c>
      <c r="I404" t="s">
        <v>4764</v>
      </c>
      <c r="J404" t="s">
        <v>4614</v>
      </c>
    </row>
    <row r="405" spans="1:10">
      <c r="A405" t="s">
        <v>562</v>
      </c>
      <c r="B405" s="2">
        <v>42832</v>
      </c>
      <c r="C405">
        <v>2017</v>
      </c>
      <c r="D405" t="s">
        <v>21</v>
      </c>
      <c r="E405" t="s">
        <v>3862</v>
      </c>
      <c r="F405" t="s">
        <v>4666</v>
      </c>
      <c r="G405" t="s">
        <v>4105</v>
      </c>
      <c r="H405" s="16">
        <v>0.18</v>
      </c>
      <c r="I405" t="s">
        <v>4764</v>
      </c>
      <c r="J405" t="s">
        <v>4614</v>
      </c>
    </row>
    <row r="406" spans="1:10">
      <c r="A406" t="s">
        <v>563</v>
      </c>
      <c r="B406" s="2">
        <v>42832</v>
      </c>
      <c r="C406">
        <v>2017</v>
      </c>
      <c r="D406" t="s">
        <v>25</v>
      </c>
      <c r="E406" t="s">
        <v>49</v>
      </c>
      <c r="F406" t="s">
        <v>4661</v>
      </c>
      <c r="G406" t="s">
        <v>564</v>
      </c>
      <c r="H406" s="16">
        <v>0.2</v>
      </c>
      <c r="I406" t="s">
        <v>4764</v>
      </c>
      <c r="J406" t="s">
        <v>4614</v>
      </c>
    </row>
    <row r="407" spans="1:10">
      <c r="A407" t="s">
        <v>565</v>
      </c>
      <c r="B407" s="2">
        <v>42837</v>
      </c>
      <c r="C407">
        <v>2017</v>
      </c>
      <c r="D407" t="s">
        <v>12</v>
      </c>
      <c r="E407" t="s">
        <v>3839</v>
      </c>
      <c r="F407" t="s">
        <v>4663</v>
      </c>
      <c r="G407" t="s">
        <v>4106</v>
      </c>
      <c r="H407" s="16">
        <v>0.88</v>
      </c>
      <c r="I407" t="s">
        <v>4764</v>
      </c>
      <c r="J407" t="s">
        <v>4614</v>
      </c>
    </row>
    <row r="408" spans="1:10">
      <c r="A408" t="s">
        <v>566</v>
      </c>
      <c r="B408" s="2">
        <v>42839</v>
      </c>
      <c r="C408">
        <v>2017</v>
      </c>
      <c r="D408" t="s">
        <v>25</v>
      </c>
      <c r="E408" t="s">
        <v>3836</v>
      </c>
      <c r="F408" t="s">
        <v>4661</v>
      </c>
      <c r="G408" t="s">
        <v>567</v>
      </c>
      <c r="H408" s="16">
        <v>0.06</v>
      </c>
      <c r="I408" t="s">
        <v>4764</v>
      </c>
      <c r="J408" t="s">
        <v>4614</v>
      </c>
    </row>
    <row r="409" spans="1:10">
      <c r="A409" t="s">
        <v>568</v>
      </c>
      <c r="B409" s="2">
        <v>42851</v>
      </c>
      <c r="C409">
        <v>2017</v>
      </c>
      <c r="D409" t="s">
        <v>25</v>
      </c>
      <c r="E409" t="s">
        <v>3854</v>
      </c>
      <c r="F409" t="s">
        <v>4661</v>
      </c>
      <c r="G409" t="s">
        <v>4107</v>
      </c>
      <c r="H409" s="16">
        <v>0.51</v>
      </c>
      <c r="I409" t="s">
        <v>4764</v>
      </c>
      <c r="J409" t="s">
        <v>4614</v>
      </c>
    </row>
    <row r="410" spans="1:10">
      <c r="A410" t="s">
        <v>569</v>
      </c>
      <c r="B410" s="2">
        <v>42851</v>
      </c>
      <c r="C410">
        <v>2017</v>
      </c>
      <c r="D410" t="s">
        <v>8</v>
      </c>
      <c r="E410" t="s">
        <v>9</v>
      </c>
      <c r="F410" t="s">
        <v>4662</v>
      </c>
      <c r="G410" t="s">
        <v>570</v>
      </c>
      <c r="H410" s="16">
        <v>0.02</v>
      </c>
      <c r="I410" t="s">
        <v>4764</v>
      </c>
      <c r="J410" t="s">
        <v>4614</v>
      </c>
    </row>
    <row r="411" spans="1:10">
      <c r="A411" t="s">
        <v>571</v>
      </c>
      <c r="B411" s="2">
        <v>42879</v>
      </c>
      <c r="C411">
        <v>2017</v>
      </c>
      <c r="D411" t="s">
        <v>33</v>
      </c>
      <c r="E411" t="s">
        <v>34</v>
      </c>
      <c r="F411" t="s">
        <v>4664</v>
      </c>
      <c r="G411" t="s">
        <v>4108</v>
      </c>
      <c r="H411" s="16">
        <v>0.08</v>
      </c>
      <c r="I411" t="s">
        <v>4764</v>
      </c>
      <c r="J411" t="s">
        <v>4614</v>
      </c>
    </row>
    <row r="412" spans="1:10">
      <c r="A412" t="s">
        <v>572</v>
      </c>
      <c r="B412" s="2">
        <v>42888</v>
      </c>
      <c r="C412">
        <v>2017</v>
      </c>
      <c r="D412" t="s">
        <v>12</v>
      </c>
      <c r="E412" t="s">
        <v>45</v>
      </c>
      <c r="F412" t="s">
        <v>4663</v>
      </c>
      <c r="G412" t="s">
        <v>4109</v>
      </c>
      <c r="H412" s="16">
        <v>0.14000000000000001</v>
      </c>
      <c r="I412" t="s">
        <v>4764</v>
      </c>
      <c r="J412" t="s">
        <v>4614</v>
      </c>
    </row>
    <row r="413" spans="1:10">
      <c r="A413" t="s">
        <v>573</v>
      </c>
      <c r="B413" s="2">
        <v>42890</v>
      </c>
      <c r="C413">
        <v>2017</v>
      </c>
      <c r="D413" t="s">
        <v>25</v>
      </c>
      <c r="E413" t="s">
        <v>19</v>
      </c>
      <c r="F413" t="s">
        <v>4661</v>
      </c>
      <c r="G413" t="s">
        <v>4110</v>
      </c>
      <c r="H413" s="16">
        <v>0.08</v>
      </c>
      <c r="I413" t="s">
        <v>4764</v>
      </c>
      <c r="J413" t="s">
        <v>4614</v>
      </c>
    </row>
    <row r="414" spans="1:10">
      <c r="A414" t="s">
        <v>574</v>
      </c>
      <c r="B414" s="2">
        <v>42890</v>
      </c>
      <c r="C414">
        <v>2017</v>
      </c>
      <c r="D414" t="s">
        <v>15</v>
      </c>
      <c r="E414" t="s">
        <v>3832</v>
      </c>
      <c r="F414" t="s">
        <v>4665</v>
      </c>
      <c r="G414" t="s">
        <v>4111</v>
      </c>
      <c r="H414" s="16">
        <v>0.32</v>
      </c>
      <c r="I414" t="s">
        <v>4764</v>
      </c>
      <c r="J414" t="s">
        <v>4614</v>
      </c>
    </row>
    <row r="415" spans="1:10">
      <c r="A415" t="s">
        <v>575</v>
      </c>
      <c r="B415" s="2">
        <v>42891</v>
      </c>
      <c r="C415">
        <v>2017</v>
      </c>
      <c r="D415" t="s">
        <v>8</v>
      </c>
      <c r="E415" t="s">
        <v>23</v>
      </c>
      <c r="F415" t="s">
        <v>4662</v>
      </c>
      <c r="G415" t="s">
        <v>576</v>
      </c>
      <c r="H415" s="16">
        <v>14.7</v>
      </c>
      <c r="I415" t="s">
        <v>4763</v>
      </c>
      <c r="J415" t="s">
        <v>4614</v>
      </c>
    </row>
    <row r="416" spans="1:10">
      <c r="A416" t="s">
        <v>577</v>
      </c>
      <c r="B416" s="2">
        <v>42898</v>
      </c>
      <c r="C416">
        <v>2017</v>
      </c>
      <c r="D416" t="s">
        <v>33</v>
      </c>
      <c r="E416" t="s">
        <v>34</v>
      </c>
      <c r="F416" t="s">
        <v>4664</v>
      </c>
      <c r="G416" t="s">
        <v>4112</v>
      </c>
      <c r="H416" s="16">
        <v>0.16</v>
      </c>
      <c r="I416" t="s">
        <v>4764</v>
      </c>
      <c r="J416" t="s">
        <v>4614</v>
      </c>
    </row>
    <row r="417" spans="1:10">
      <c r="A417" t="s">
        <v>578</v>
      </c>
      <c r="B417" s="2">
        <v>42900</v>
      </c>
      <c r="C417">
        <v>2017</v>
      </c>
      <c r="D417" t="s">
        <v>8</v>
      </c>
      <c r="E417" t="s">
        <v>23</v>
      </c>
      <c r="F417" t="s">
        <v>4662</v>
      </c>
      <c r="G417" t="s">
        <v>4113</v>
      </c>
      <c r="H417" s="16">
        <v>0.12</v>
      </c>
      <c r="I417" t="s">
        <v>4764</v>
      </c>
      <c r="J417" t="s">
        <v>4614</v>
      </c>
    </row>
    <row r="418" spans="1:10">
      <c r="A418" t="s">
        <v>579</v>
      </c>
      <c r="B418" s="2">
        <v>42903</v>
      </c>
      <c r="C418">
        <v>2017</v>
      </c>
      <c r="D418" t="s">
        <v>33</v>
      </c>
      <c r="E418" t="s">
        <v>72</v>
      </c>
      <c r="F418" t="s">
        <v>4664</v>
      </c>
      <c r="G418" t="s">
        <v>580</v>
      </c>
      <c r="H418" s="16">
        <v>0.09</v>
      </c>
      <c r="I418" t="s">
        <v>4764</v>
      </c>
      <c r="J418" t="s">
        <v>4614</v>
      </c>
    </row>
    <row r="419" spans="1:10">
      <c r="A419" t="s">
        <v>581</v>
      </c>
      <c r="B419" s="2">
        <v>42903</v>
      </c>
      <c r="C419">
        <v>2017</v>
      </c>
      <c r="D419" t="s">
        <v>15</v>
      </c>
      <c r="E419" t="s">
        <v>3832</v>
      </c>
      <c r="F419" t="s">
        <v>4665</v>
      </c>
      <c r="G419" t="s">
        <v>582</v>
      </c>
      <c r="H419" s="16">
        <v>0.35</v>
      </c>
      <c r="I419" t="s">
        <v>4764</v>
      </c>
      <c r="J419" t="s">
        <v>4614</v>
      </c>
    </row>
    <row r="420" spans="1:10">
      <c r="A420" t="s">
        <v>583</v>
      </c>
      <c r="B420" s="2">
        <v>42910</v>
      </c>
      <c r="C420">
        <v>2017</v>
      </c>
      <c r="D420" t="s">
        <v>15</v>
      </c>
      <c r="E420" t="s">
        <v>3832</v>
      </c>
      <c r="F420" t="s">
        <v>4665</v>
      </c>
      <c r="G420" t="s">
        <v>4114</v>
      </c>
      <c r="H420" s="16">
        <v>0.56000000000000005</v>
      </c>
      <c r="I420" t="s">
        <v>4764</v>
      </c>
      <c r="J420" t="s">
        <v>4614</v>
      </c>
    </row>
    <row r="421" spans="1:10">
      <c r="A421" t="s">
        <v>584</v>
      </c>
      <c r="B421" s="2">
        <v>42918</v>
      </c>
      <c r="C421">
        <v>2017</v>
      </c>
      <c r="D421" t="s">
        <v>12</v>
      </c>
      <c r="E421" t="s">
        <v>47</v>
      </c>
      <c r="F421" t="s">
        <v>4663</v>
      </c>
      <c r="G421" t="s">
        <v>585</v>
      </c>
      <c r="H421" s="16">
        <v>0.09</v>
      </c>
      <c r="I421" t="s">
        <v>4764</v>
      </c>
      <c r="J421" t="s">
        <v>4614</v>
      </c>
    </row>
    <row r="422" spans="1:10">
      <c r="A422" t="s">
        <v>586</v>
      </c>
      <c r="B422" s="2">
        <v>42920</v>
      </c>
      <c r="C422">
        <v>2017</v>
      </c>
      <c r="D422" t="s">
        <v>15</v>
      </c>
      <c r="E422" t="s">
        <v>3832</v>
      </c>
      <c r="F422" t="s">
        <v>4665</v>
      </c>
      <c r="G422" t="s">
        <v>4115</v>
      </c>
      <c r="H422" s="16">
        <v>0.77</v>
      </c>
      <c r="I422" t="s">
        <v>4764</v>
      </c>
      <c r="J422" t="s">
        <v>4614</v>
      </c>
    </row>
    <row r="423" spans="1:10">
      <c r="A423" t="s">
        <v>587</v>
      </c>
      <c r="B423" s="2">
        <v>42923</v>
      </c>
      <c r="C423">
        <v>2017</v>
      </c>
      <c r="D423" t="s">
        <v>25</v>
      </c>
      <c r="E423" t="s">
        <v>45</v>
      </c>
      <c r="F423" t="s">
        <v>4661</v>
      </c>
      <c r="G423" t="s">
        <v>4116</v>
      </c>
      <c r="H423" s="16">
        <v>0.05</v>
      </c>
      <c r="I423" t="s">
        <v>4764</v>
      </c>
      <c r="J423" t="s">
        <v>4614</v>
      </c>
    </row>
    <row r="424" spans="1:10">
      <c r="A424" t="s">
        <v>588</v>
      </c>
      <c r="B424" s="2">
        <v>42935</v>
      </c>
      <c r="C424">
        <v>2017</v>
      </c>
      <c r="D424" t="s">
        <v>12</v>
      </c>
      <c r="E424" t="s">
        <v>13</v>
      </c>
      <c r="F424" t="s">
        <v>4663</v>
      </c>
      <c r="G424" t="s">
        <v>589</v>
      </c>
      <c r="H424" s="16">
        <v>0.06</v>
      </c>
      <c r="I424" t="s">
        <v>4764</v>
      </c>
      <c r="J424" t="s">
        <v>4614</v>
      </c>
    </row>
    <row r="425" spans="1:10">
      <c r="A425" t="s">
        <v>590</v>
      </c>
      <c r="B425" s="2">
        <v>42935</v>
      </c>
      <c r="C425">
        <v>2017</v>
      </c>
      <c r="D425" t="s">
        <v>8</v>
      </c>
      <c r="E425" t="s">
        <v>23</v>
      </c>
      <c r="F425" t="s">
        <v>4662</v>
      </c>
      <c r="G425" t="s">
        <v>591</v>
      </c>
      <c r="H425" s="16">
        <v>3.56</v>
      </c>
      <c r="I425" t="s">
        <v>4764</v>
      </c>
      <c r="J425" t="s">
        <v>4614</v>
      </c>
    </row>
    <row r="426" spans="1:10">
      <c r="A426" t="s">
        <v>592</v>
      </c>
      <c r="B426" s="2">
        <v>42948</v>
      </c>
      <c r="C426">
        <v>2017</v>
      </c>
      <c r="D426" t="s">
        <v>25</v>
      </c>
      <c r="E426" t="s">
        <v>3870</v>
      </c>
      <c r="F426" t="s">
        <v>4661</v>
      </c>
      <c r="G426" t="s">
        <v>4117</v>
      </c>
      <c r="H426" s="16">
        <v>0.05</v>
      </c>
      <c r="I426" t="s">
        <v>4764</v>
      </c>
      <c r="J426" t="s">
        <v>4614</v>
      </c>
    </row>
    <row r="427" spans="1:10">
      <c r="A427" t="s">
        <v>593</v>
      </c>
      <c r="B427" s="2">
        <v>42949</v>
      </c>
      <c r="C427">
        <v>2017</v>
      </c>
      <c r="D427" t="s">
        <v>25</v>
      </c>
      <c r="E427" t="s">
        <v>72</v>
      </c>
      <c r="F427" t="s">
        <v>4661</v>
      </c>
      <c r="G427" t="s">
        <v>4118</v>
      </c>
      <c r="H427" s="16">
        <v>0.61</v>
      </c>
      <c r="I427" t="s">
        <v>4764</v>
      </c>
      <c r="J427" t="s">
        <v>4614</v>
      </c>
    </row>
    <row r="428" spans="1:10">
      <c r="A428" t="s">
        <v>594</v>
      </c>
      <c r="B428" s="2">
        <v>42950</v>
      </c>
      <c r="C428">
        <v>2017</v>
      </c>
      <c r="D428" t="s">
        <v>33</v>
      </c>
      <c r="E428" t="s">
        <v>3839</v>
      </c>
      <c r="F428" t="s">
        <v>4664</v>
      </c>
      <c r="G428" t="s">
        <v>4119</v>
      </c>
      <c r="H428" s="16">
        <v>0.24</v>
      </c>
      <c r="I428" t="s">
        <v>4764</v>
      </c>
      <c r="J428" t="s">
        <v>4614</v>
      </c>
    </row>
    <row r="429" spans="1:10">
      <c r="A429" t="s">
        <v>595</v>
      </c>
      <c r="B429" s="2">
        <v>42952</v>
      </c>
      <c r="C429">
        <v>2017</v>
      </c>
      <c r="D429" t="s">
        <v>12</v>
      </c>
      <c r="E429" t="s">
        <v>45</v>
      </c>
      <c r="F429" t="s">
        <v>4663</v>
      </c>
      <c r="G429" t="s">
        <v>4120</v>
      </c>
      <c r="H429" s="16">
        <v>0.44</v>
      </c>
      <c r="I429" t="s">
        <v>4764</v>
      </c>
      <c r="J429" t="s">
        <v>4614</v>
      </c>
    </row>
    <row r="430" spans="1:10">
      <c r="A430" t="s">
        <v>596</v>
      </c>
      <c r="B430" s="2">
        <v>42952</v>
      </c>
      <c r="C430">
        <v>2017</v>
      </c>
      <c r="D430" t="s">
        <v>15</v>
      </c>
      <c r="E430" t="s">
        <v>3832</v>
      </c>
      <c r="F430" t="s">
        <v>4665</v>
      </c>
      <c r="G430" t="s">
        <v>4007</v>
      </c>
      <c r="H430" s="16">
        <v>0.68</v>
      </c>
      <c r="I430" t="s">
        <v>4764</v>
      </c>
      <c r="J430" t="s">
        <v>4614</v>
      </c>
    </row>
    <row r="431" spans="1:10">
      <c r="A431" t="s">
        <v>597</v>
      </c>
      <c r="B431" s="2">
        <v>42958</v>
      </c>
      <c r="C431">
        <v>2017</v>
      </c>
      <c r="D431" t="s">
        <v>8</v>
      </c>
      <c r="E431" t="s">
        <v>130</v>
      </c>
      <c r="F431" t="s">
        <v>4662</v>
      </c>
      <c r="G431" t="s">
        <v>598</v>
      </c>
      <c r="H431" s="16">
        <v>2.0299999999999998</v>
      </c>
      <c r="I431" t="s">
        <v>4764</v>
      </c>
      <c r="J431" t="s">
        <v>4614</v>
      </c>
    </row>
    <row r="432" spans="1:10">
      <c r="A432" t="s">
        <v>599</v>
      </c>
      <c r="B432" s="2">
        <v>42963</v>
      </c>
      <c r="C432">
        <v>2017</v>
      </c>
      <c r="D432" t="s">
        <v>8</v>
      </c>
      <c r="E432" t="s">
        <v>17</v>
      </c>
      <c r="F432" t="s">
        <v>4662</v>
      </c>
      <c r="G432" t="s">
        <v>600</v>
      </c>
      <c r="H432" s="16">
        <v>1.4</v>
      </c>
      <c r="I432" t="s">
        <v>4764</v>
      </c>
      <c r="J432" t="s">
        <v>4614</v>
      </c>
    </row>
    <row r="433" spans="1:10">
      <c r="A433" t="s">
        <v>601</v>
      </c>
      <c r="B433" s="2">
        <v>42963</v>
      </c>
      <c r="C433">
        <v>2017</v>
      </c>
      <c r="D433" t="s">
        <v>15</v>
      </c>
      <c r="E433" t="s">
        <v>3832</v>
      </c>
      <c r="F433" t="s">
        <v>4665</v>
      </c>
      <c r="G433" t="s">
        <v>602</v>
      </c>
      <c r="H433" s="16">
        <v>0.94</v>
      </c>
      <c r="I433" t="s">
        <v>4764</v>
      </c>
      <c r="J433" t="s">
        <v>4614</v>
      </c>
    </row>
    <row r="434" spans="1:10">
      <c r="A434" t="s">
        <v>603</v>
      </c>
      <c r="B434" s="2">
        <v>42964</v>
      </c>
      <c r="C434">
        <v>2017</v>
      </c>
      <c r="D434" t="s">
        <v>33</v>
      </c>
      <c r="E434" t="s">
        <v>49</v>
      </c>
      <c r="F434" t="s">
        <v>4664</v>
      </c>
      <c r="G434" t="s">
        <v>4121</v>
      </c>
      <c r="H434" s="16">
        <v>0.32</v>
      </c>
      <c r="I434" t="s">
        <v>4764</v>
      </c>
      <c r="J434" t="s">
        <v>4614</v>
      </c>
    </row>
    <row r="435" spans="1:10">
      <c r="A435" t="s">
        <v>604</v>
      </c>
      <c r="B435" s="2">
        <v>42986</v>
      </c>
      <c r="C435">
        <v>2017</v>
      </c>
      <c r="D435" t="s">
        <v>8</v>
      </c>
      <c r="E435" t="s">
        <v>9</v>
      </c>
      <c r="F435" t="s">
        <v>4662</v>
      </c>
      <c r="G435" t="s">
        <v>4122</v>
      </c>
      <c r="H435" s="16">
        <v>22.06</v>
      </c>
      <c r="I435" t="s">
        <v>4763</v>
      </c>
      <c r="J435" t="s">
        <v>4614</v>
      </c>
    </row>
    <row r="436" spans="1:10">
      <c r="A436" t="s">
        <v>605</v>
      </c>
      <c r="B436" s="2">
        <v>42986</v>
      </c>
      <c r="C436">
        <v>2017</v>
      </c>
      <c r="D436" t="s">
        <v>25</v>
      </c>
      <c r="E436" t="s">
        <v>3870</v>
      </c>
      <c r="F436" t="s">
        <v>4661</v>
      </c>
      <c r="G436" t="s">
        <v>4123</v>
      </c>
      <c r="H436" s="16">
        <v>0.06</v>
      </c>
      <c r="I436" t="s">
        <v>4764</v>
      </c>
      <c r="J436" t="s">
        <v>4614</v>
      </c>
    </row>
    <row r="437" spans="1:10">
      <c r="A437" t="s">
        <v>606</v>
      </c>
      <c r="B437" s="2">
        <v>42992</v>
      </c>
      <c r="C437">
        <v>2017</v>
      </c>
      <c r="D437" t="s">
        <v>8</v>
      </c>
      <c r="E437" t="s">
        <v>3903</v>
      </c>
      <c r="F437" t="s">
        <v>4662</v>
      </c>
      <c r="G437" t="s">
        <v>4124</v>
      </c>
      <c r="H437" s="16">
        <v>2.58</v>
      </c>
      <c r="I437" t="s">
        <v>4764</v>
      </c>
      <c r="J437" t="s">
        <v>4614</v>
      </c>
    </row>
    <row r="438" spans="1:10">
      <c r="A438" t="s">
        <v>607</v>
      </c>
      <c r="B438" s="2">
        <v>42993</v>
      </c>
      <c r="C438">
        <v>2017</v>
      </c>
      <c r="D438" t="s">
        <v>21</v>
      </c>
      <c r="E438" t="s">
        <v>13</v>
      </c>
      <c r="F438" t="s">
        <v>4666</v>
      </c>
      <c r="G438" t="s">
        <v>4125</v>
      </c>
      <c r="H438" s="16">
        <v>0.08</v>
      </c>
      <c r="I438" t="s">
        <v>4764</v>
      </c>
      <c r="J438" t="s">
        <v>4614</v>
      </c>
    </row>
    <row r="439" spans="1:10">
      <c r="A439" t="s">
        <v>608</v>
      </c>
      <c r="B439" s="2">
        <v>42999</v>
      </c>
      <c r="C439">
        <v>2017</v>
      </c>
      <c r="D439" t="s">
        <v>25</v>
      </c>
      <c r="E439" t="s">
        <v>47</v>
      </c>
      <c r="F439" t="s">
        <v>4661</v>
      </c>
      <c r="G439" t="s">
        <v>4126</v>
      </c>
      <c r="H439" s="16">
        <v>0.12</v>
      </c>
      <c r="I439" t="s">
        <v>4764</v>
      </c>
      <c r="J439" t="s">
        <v>4614</v>
      </c>
    </row>
    <row r="440" spans="1:10">
      <c r="A440" t="s">
        <v>609</v>
      </c>
      <c r="B440" s="2">
        <v>43001</v>
      </c>
      <c r="C440">
        <v>2017</v>
      </c>
      <c r="D440" t="s">
        <v>25</v>
      </c>
      <c r="E440" t="s">
        <v>3862</v>
      </c>
      <c r="F440" t="s">
        <v>4661</v>
      </c>
      <c r="G440" t="s">
        <v>4060</v>
      </c>
      <c r="H440" s="16">
        <v>7.0000000000000007E-2</v>
      </c>
      <c r="I440" t="s">
        <v>4764</v>
      </c>
      <c r="J440" t="s">
        <v>4614</v>
      </c>
    </row>
    <row r="441" spans="1:10">
      <c r="A441" t="s">
        <v>610</v>
      </c>
      <c r="B441" s="2">
        <v>43001</v>
      </c>
      <c r="C441">
        <v>2017</v>
      </c>
      <c r="D441" t="s">
        <v>8</v>
      </c>
      <c r="E441" t="s">
        <v>53</v>
      </c>
      <c r="F441" t="s">
        <v>4662</v>
      </c>
      <c r="G441" t="s">
        <v>611</v>
      </c>
      <c r="H441" s="16">
        <v>5.51</v>
      </c>
      <c r="I441" t="s">
        <v>4764</v>
      </c>
      <c r="J441" t="s">
        <v>4614</v>
      </c>
    </row>
    <row r="442" spans="1:10">
      <c r="A442" t="s">
        <v>612</v>
      </c>
      <c r="B442" s="2">
        <v>43003</v>
      </c>
      <c r="C442">
        <v>2017</v>
      </c>
      <c r="D442" t="s">
        <v>8</v>
      </c>
      <c r="E442" t="s">
        <v>23</v>
      </c>
      <c r="F442" t="s">
        <v>4662</v>
      </c>
      <c r="G442" t="s">
        <v>4127</v>
      </c>
      <c r="H442" s="16">
        <v>3.75</v>
      </c>
      <c r="I442" t="s">
        <v>4764</v>
      </c>
      <c r="J442" t="s">
        <v>4614</v>
      </c>
    </row>
    <row r="443" spans="1:10">
      <c r="A443" t="s">
        <v>613</v>
      </c>
      <c r="B443" s="2">
        <v>43005</v>
      </c>
      <c r="C443">
        <v>2017</v>
      </c>
      <c r="D443" t="s">
        <v>25</v>
      </c>
      <c r="E443" t="s">
        <v>29</v>
      </c>
      <c r="F443" t="s">
        <v>4661</v>
      </c>
      <c r="G443" t="s">
        <v>614</v>
      </c>
      <c r="H443" s="16">
        <v>0.02</v>
      </c>
      <c r="I443" t="s">
        <v>4764</v>
      </c>
      <c r="J443" t="s">
        <v>4614</v>
      </c>
    </row>
    <row r="444" spans="1:10">
      <c r="A444" t="s">
        <v>615</v>
      </c>
      <c r="B444" s="2">
        <v>43014</v>
      </c>
      <c r="C444">
        <v>2017</v>
      </c>
      <c r="D444" t="s">
        <v>25</v>
      </c>
      <c r="E444" t="s">
        <v>3839</v>
      </c>
      <c r="F444" t="s">
        <v>4661</v>
      </c>
      <c r="G444" t="s">
        <v>616</v>
      </c>
      <c r="H444" s="16">
        <v>0.05</v>
      </c>
      <c r="I444" t="s">
        <v>4764</v>
      </c>
      <c r="J444" t="s">
        <v>4614</v>
      </c>
    </row>
    <row r="445" spans="1:10">
      <c r="A445" t="s">
        <v>617</v>
      </c>
      <c r="B445" s="2">
        <v>43018</v>
      </c>
      <c r="C445">
        <v>2017</v>
      </c>
      <c r="D445" t="s">
        <v>25</v>
      </c>
      <c r="E445" t="s">
        <v>49</v>
      </c>
      <c r="F445" t="s">
        <v>4661</v>
      </c>
      <c r="G445" t="s">
        <v>4128</v>
      </c>
      <c r="H445" s="16">
        <v>0.06</v>
      </c>
      <c r="I445" t="s">
        <v>4764</v>
      </c>
      <c r="J445" t="s">
        <v>4614</v>
      </c>
    </row>
    <row r="446" spans="1:10">
      <c r="A446" t="s">
        <v>618</v>
      </c>
      <c r="B446" s="2">
        <v>43020</v>
      </c>
      <c r="C446">
        <v>2017</v>
      </c>
      <c r="D446" t="s">
        <v>15</v>
      </c>
      <c r="E446" t="s">
        <v>3832</v>
      </c>
      <c r="F446" t="s">
        <v>4665</v>
      </c>
      <c r="G446" t="s">
        <v>4129</v>
      </c>
      <c r="H446" s="16">
        <v>0.28999999999999998</v>
      </c>
      <c r="I446" t="s">
        <v>4764</v>
      </c>
      <c r="J446" t="s">
        <v>4614</v>
      </c>
    </row>
    <row r="447" spans="1:10">
      <c r="A447" t="s">
        <v>619</v>
      </c>
      <c r="B447" s="2">
        <v>43027</v>
      </c>
      <c r="C447">
        <v>2017</v>
      </c>
      <c r="D447" t="s">
        <v>12</v>
      </c>
      <c r="E447" t="s">
        <v>34</v>
      </c>
      <c r="F447" t="s">
        <v>4663</v>
      </c>
      <c r="G447" t="s">
        <v>4130</v>
      </c>
      <c r="H447" s="16">
        <v>0.18</v>
      </c>
      <c r="I447" t="s">
        <v>4764</v>
      </c>
      <c r="J447" t="s">
        <v>4614</v>
      </c>
    </row>
    <row r="448" spans="1:10">
      <c r="A448" t="s">
        <v>620</v>
      </c>
      <c r="B448" s="2">
        <v>43027</v>
      </c>
      <c r="C448">
        <v>2017</v>
      </c>
      <c r="D448" t="s">
        <v>25</v>
      </c>
      <c r="E448" t="s">
        <v>13</v>
      </c>
      <c r="F448" t="s">
        <v>4661</v>
      </c>
      <c r="G448" t="s">
        <v>621</v>
      </c>
      <c r="H448" s="16">
        <v>0.08</v>
      </c>
      <c r="I448" t="s">
        <v>4764</v>
      </c>
      <c r="J448" t="s">
        <v>4614</v>
      </c>
    </row>
    <row r="449" spans="1:10">
      <c r="A449" t="s">
        <v>622</v>
      </c>
      <c r="B449" s="2">
        <v>43029</v>
      </c>
      <c r="C449">
        <v>2017</v>
      </c>
      <c r="D449" t="s">
        <v>25</v>
      </c>
      <c r="E449" t="s">
        <v>72</v>
      </c>
      <c r="F449" t="s">
        <v>4661</v>
      </c>
      <c r="G449" t="s">
        <v>3941</v>
      </c>
      <c r="H449" s="16">
        <v>0.43</v>
      </c>
      <c r="I449" t="s">
        <v>4764</v>
      </c>
      <c r="J449" t="s">
        <v>4614</v>
      </c>
    </row>
    <row r="450" spans="1:10">
      <c r="A450" t="s">
        <v>623</v>
      </c>
      <c r="B450" s="2">
        <v>43033</v>
      </c>
      <c r="C450">
        <v>2017</v>
      </c>
      <c r="D450" t="s">
        <v>25</v>
      </c>
      <c r="E450" t="s">
        <v>29</v>
      </c>
      <c r="F450" t="s">
        <v>4661</v>
      </c>
      <c r="G450" t="s">
        <v>624</v>
      </c>
      <c r="H450" s="16">
        <v>0.26</v>
      </c>
      <c r="I450" t="s">
        <v>4764</v>
      </c>
      <c r="J450" t="s">
        <v>4614</v>
      </c>
    </row>
    <row r="451" spans="1:10">
      <c r="A451" t="s">
        <v>625</v>
      </c>
      <c r="B451" s="2">
        <v>43042</v>
      </c>
      <c r="C451">
        <v>2017</v>
      </c>
      <c r="D451" t="s">
        <v>25</v>
      </c>
      <c r="E451" t="s">
        <v>49</v>
      </c>
      <c r="F451" t="s">
        <v>4661</v>
      </c>
      <c r="G451" t="s">
        <v>4131</v>
      </c>
      <c r="H451" s="16">
        <v>0.12</v>
      </c>
      <c r="I451" t="s">
        <v>4764</v>
      </c>
      <c r="J451" t="s">
        <v>4614</v>
      </c>
    </row>
    <row r="452" spans="1:10">
      <c r="A452" t="s">
        <v>626</v>
      </c>
      <c r="B452" s="2">
        <v>43059</v>
      </c>
      <c r="C452">
        <v>2017</v>
      </c>
      <c r="D452" t="s">
        <v>33</v>
      </c>
      <c r="E452" t="s">
        <v>3836</v>
      </c>
      <c r="F452" t="s">
        <v>4664</v>
      </c>
      <c r="G452" t="s">
        <v>627</v>
      </c>
      <c r="H452" s="16">
        <v>0.28000000000000003</v>
      </c>
      <c r="I452" t="s">
        <v>4764</v>
      </c>
      <c r="J452" t="s">
        <v>4614</v>
      </c>
    </row>
    <row r="453" spans="1:10">
      <c r="A453" t="s">
        <v>628</v>
      </c>
      <c r="B453" s="2">
        <v>43066</v>
      </c>
      <c r="C453">
        <v>2017</v>
      </c>
      <c r="D453" t="s">
        <v>12</v>
      </c>
      <c r="E453" t="s">
        <v>49</v>
      </c>
      <c r="F453" t="s">
        <v>4663</v>
      </c>
      <c r="G453" t="s">
        <v>4132</v>
      </c>
      <c r="H453" s="16">
        <v>0.19</v>
      </c>
      <c r="I453" t="s">
        <v>4764</v>
      </c>
      <c r="J453" t="s">
        <v>4614</v>
      </c>
    </row>
    <row r="454" spans="1:10">
      <c r="A454" t="s">
        <v>629</v>
      </c>
      <c r="B454" s="2">
        <v>43070</v>
      </c>
      <c r="C454">
        <v>2017</v>
      </c>
      <c r="D454" t="s">
        <v>33</v>
      </c>
      <c r="E454" t="s">
        <v>3854</v>
      </c>
      <c r="F454" t="s">
        <v>4664</v>
      </c>
      <c r="G454" t="s">
        <v>630</v>
      </c>
      <c r="H454" s="16">
        <v>0.2</v>
      </c>
      <c r="I454" t="s">
        <v>4764</v>
      </c>
      <c r="J454" t="s">
        <v>4614</v>
      </c>
    </row>
    <row r="455" spans="1:10">
      <c r="A455" t="s">
        <v>631</v>
      </c>
      <c r="B455" s="2">
        <v>43071</v>
      </c>
      <c r="C455">
        <v>2017</v>
      </c>
      <c r="D455" t="s">
        <v>25</v>
      </c>
      <c r="E455" t="s">
        <v>3854</v>
      </c>
      <c r="F455" t="s">
        <v>4661</v>
      </c>
      <c r="G455" t="s">
        <v>4133</v>
      </c>
      <c r="H455" s="16">
        <v>0.21</v>
      </c>
      <c r="I455" t="s">
        <v>4764</v>
      </c>
      <c r="J455" t="s">
        <v>4614</v>
      </c>
    </row>
    <row r="456" spans="1:10">
      <c r="A456" t="s">
        <v>632</v>
      </c>
      <c r="B456" s="2">
        <v>43074</v>
      </c>
      <c r="C456">
        <v>2017</v>
      </c>
      <c r="D456" t="s">
        <v>15</v>
      </c>
      <c r="E456" t="s">
        <v>3832</v>
      </c>
      <c r="F456" t="s">
        <v>4665</v>
      </c>
      <c r="G456" t="s">
        <v>4134</v>
      </c>
      <c r="H456" s="16">
        <v>0.33</v>
      </c>
      <c r="I456" t="s">
        <v>4764</v>
      </c>
      <c r="J456" t="s">
        <v>4614</v>
      </c>
    </row>
    <row r="457" spans="1:10">
      <c r="A457" t="s">
        <v>633</v>
      </c>
      <c r="B457" s="2">
        <v>43077</v>
      </c>
      <c r="C457">
        <v>2017</v>
      </c>
      <c r="D457" t="s">
        <v>12</v>
      </c>
      <c r="E457" t="s">
        <v>34</v>
      </c>
      <c r="F457" t="s">
        <v>4663</v>
      </c>
      <c r="G457" t="s">
        <v>4007</v>
      </c>
      <c r="H457" s="16">
        <v>0.05</v>
      </c>
      <c r="I457" t="s">
        <v>4764</v>
      </c>
      <c r="J457" t="s">
        <v>4614</v>
      </c>
    </row>
    <row r="458" spans="1:10">
      <c r="A458" t="s">
        <v>634</v>
      </c>
      <c r="B458" s="2">
        <v>43079</v>
      </c>
      <c r="C458">
        <v>2017</v>
      </c>
      <c r="D458" t="s">
        <v>15</v>
      </c>
      <c r="E458" t="s">
        <v>3832</v>
      </c>
      <c r="F458" t="s">
        <v>4665</v>
      </c>
      <c r="G458" t="s">
        <v>4135</v>
      </c>
      <c r="H458" s="16">
        <v>0.2</v>
      </c>
      <c r="I458" t="s">
        <v>4764</v>
      </c>
      <c r="J458" t="s">
        <v>4614</v>
      </c>
    </row>
    <row r="459" spans="1:10">
      <c r="A459" t="s">
        <v>635</v>
      </c>
      <c r="B459" s="2">
        <v>43087</v>
      </c>
      <c r="C459">
        <v>2017</v>
      </c>
      <c r="D459" t="s">
        <v>12</v>
      </c>
      <c r="E459" t="s">
        <v>3854</v>
      </c>
      <c r="F459" t="s">
        <v>4663</v>
      </c>
      <c r="G459" t="s">
        <v>4136</v>
      </c>
      <c r="H459" s="16">
        <v>0.1</v>
      </c>
      <c r="I459" t="s">
        <v>4764</v>
      </c>
      <c r="J459" t="s">
        <v>4614</v>
      </c>
    </row>
    <row r="460" spans="1:10">
      <c r="A460" t="s">
        <v>636</v>
      </c>
      <c r="B460" s="2">
        <v>43088</v>
      </c>
      <c r="C460">
        <v>2017</v>
      </c>
      <c r="D460" t="s">
        <v>25</v>
      </c>
      <c r="E460" t="s">
        <v>3854</v>
      </c>
      <c r="F460" t="s">
        <v>4661</v>
      </c>
      <c r="G460" t="s">
        <v>4137</v>
      </c>
      <c r="H460" s="16">
        <v>0.04</v>
      </c>
      <c r="I460" t="s">
        <v>4764</v>
      </c>
      <c r="J460" t="s">
        <v>4614</v>
      </c>
    </row>
    <row r="461" spans="1:10">
      <c r="A461" t="s">
        <v>637</v>
      </c>
      <c r="B461" s="2">
        <v>43091</v>
      </c>
      <c r="C461">
        <v>2017</v>
      </c>
      <c r="D461" t="s">
        <v>25</v>
      </c>
      <c r="E461" t="s">
        <v>34</v>
      </c>
      <c r="F461" t="s">
        <v>4661</v>
      </c>
      <c r="G461" t="s">
        <v>638</v>
      </c>
      <c r="H461" s="16">
        <v>0.2</v>
      </c>
      <c r="I461" t="s">
        <v>4764</v>
      </c>
      <c r="J461" t="s">
        <v>4614</v>
      </c>
    </row>
    <row r="462" spans="1:10">
      <c r="A462" t="s">
        <v>639</v>
      </c>
      <c r="B462" s="2">
        <v>43101</v>
      </c>
      <c r="C462">
        <v>2018</v>
      </c>
      <c r="D462" t="s">
        <v>21</v>
      </c>
      <c r="E462" t="s">
        <v>3854</v>
      </c>
      <c r="F462" t="s">
        <v>4667</v>
      </c>
      <c r="G462" t="s">
        <v>640</v>
      </c>
      <c r="H462" s="16">
        <v>0.02</v>
      </c>
      <c r="I462" t="s">
        <v>4764</v>
      </c>
      <c r="J462" t="s">
        <v>4614</v>
      </c>
    </row>
    <row r="463" spans="1:10">
      <c r="A463" t="s">
        <v>641</v>
      </c>
      <c r="B463" s="2">
        <v>43106</v>
      </c>
      <c r="C463">
        <v>2018</v>
      </c>
      <c r="D463" t="s">
        <v>25</v>
      </c>
      <c r="E463" t="s">
        <v>3836</v>
      </c>
      <c r="F463" t="s">
        <v>4668</v>
      </c>
      <c r="G463" t="s">
        <v>4138</v>
      </c>
      <c r="H463" s="16">
        <v>0.48</v>
      </c>
      <c r="I463" t="s">
        <v>4764</v>
      </c>
      <c r="J463" t="s">
        <v>4614</v>
      </c>
    </row>
    <row r="464" spans="1:10">
      <c r="A464" t="s">
        <v>642</v>
      </c>
      <c r="B464" s="2">
        <v>43110</v>
      </c>
      <c r="C464">
        <v>2018</v>
      </c>
      <c r="D464" t="s">
        <v>8</v>
      </c>
      <c r="E464" t="s">
        <v>53</v>
      </c>
      <c r="F464" t="s">
        <v>4669</v>
      </c>
      <c r="G464" t="s">
        <v>4139</v>
      </c>
      <c r="H464" s="16">
        <v>1.8</v>
      </c>
      <c r="I464" t="s">
        <v>4764</v>
      </c>
      <c r="J464" t="s">
        <v>4614</v>
      </c>
    </row>
    <row r="465" spans="1:10">
      <c r="A465" t="s">
        <v>643</v>
      </c>
      <c r="B465" s="2">
        <v>43114</v>
      </c>
      <c r="C465">
        <v>2018</v>
      </c>
      <c r="D465" t="s">
        <v>12</v>
      </c>
      <c r="E465" t="s">
        <v>49</v>
      </c>
      <c r="F465" t="s">
        <v>4670</v>
      </c>
      <c r="G465" t="s">
        <v>277</v>
      </c>
      <c r="H465" s="16">
        <v>0.67</v>
      </c>
      <c r="I465" t="s">
        <v>4764</v>
      </c>
      <c r="J465" t="s">
        <v>4614</v>
      </c>
    </row>
    <row r="466" spans="1:10">
      <c r="A466" t="s">
        <v>644</v>
      </c>
      <c r="B466" s="2">
        <v>43116</v>
      </c>
      <c r="C466">
        <v>2018</v>
      </c>
      <c r="D466" t="s">
        <v>25</v>
      </c>
      <c r="E466" t="s">
        <v>19</v>
      </c>
      <c r="F466" t="s">
        <v>4668</v>
      </c>
      <c r="G466" t="s">
        <v>4140</v>
      </c>
      <c r="H466" s="16">
        <v>0.41</v>
      </c>
      <c r="I466" t="s">
        <v>4764</v>
      </c>
      <c r="J466" t="s">
        <v>4614</v>
      </c>
    </row>
    <row r="467" spans="1:10">
      <c r="A467" t="s">
        <v>645</v>
      </c>
      <c r="B467" s="2">
        <v>43122</v>
      </c>
      <c r="C467">
        <v>2018</v>
      </c>
      <c r="D467" t="s">
        <v>8</v>
      </c>
      <c r="E467" t="s">
        <v>646</v>
      </c>
      <c r="F467" t="s">
        <v>4671</v>
      </c>
      <c r="G467" t="s">
        <v>647</v>
      </c>
      <c r="H467" s="16">
        <v>9</v>
      </c>
      <c r="I467" t="s">
        <v>4764</v>
      </c>
      <c r="J467" t="s">
        <v>4613</v>
      </c>
    </row>
    <row r="468" spans="1:10">
      <c r="A468" t="s">
        <v>648</v>
      </c>
      <c r="B468" s="2">
        <v>43122</v>
      </c>
      <c r="C468">
        <v>2018</v>
      </c>
      <c r="D468" t="s">
        <v>25</v>
      </c>
      <c r="E468" t="s">
        <v>49</v>
      </c>
      <c r="F468" t="s">
        <v>4668</v>
      </c>
      <c r="G468" t="s">
        <v>4141</v>
      </c>
      <c r="H468" s="16">
        <v>0.39</v>
      </c>
      <c r="I468" t="s">
        <v>4764</v>
      </c>
      <c r="J468" t="s">
        <v>4614</v>
      </c>
    </row>
    <row r="469" spans="1:10">
      <c r="A469" t="s">
        <v>649</v>
      </c>
      <c r="B469" s="2">
        <v>43123</v>
      </c>
      <c r="C469">
        <v>2018</v>
      </c>
      <c r="D469" t="s">
        <v>25</v>
      </c>
      <c r="E469" t="s">
        <v>19</v>
      </c>
      <c r="F469" t="s">
        <v>4668</v>
      </c>
      <c r="G469" t="s">
        <v>4142</v>
      </c>
      <c r="H469" s="16">
        <v>7.0000000000000007E-2</v>
      </c>
      <c r="I469" t="s">
        <v>4764</v>
      </c>
      <c r="J469" t="s">
        <v>4614</v>
      </c>
    </row>
    <row r="470" spans="1:10">
      <c r="A470" t="s">
        <v>650</v>
      </c>
      <c r="B470" s="2">
        <v>43124</v>
      </c>
      <c r="C470">
        <v>2018</v>
      </c>
      <c r="D470" t="s">
        <v>12</v>
      </c>
      <c r="E470" t="s">
        <v>3854</v>
      </c>
      <c r="F470" t="s">
        <v>4670</v>
      </c>
      <c r="G470" t="s">
        <v>651</v>
      </c>
      <c r="H470" s="16">
        <v>7.0000000000000007E-2</v>
      </c>
      <c r="I470" t="s">
        <v>4764</v>
      </c>
      <c r="J470" t="s">
        <v>4614</v>
      </c>
    </row>
    <row r="471" spans="1:10">
      <c r="A471" t="s">
        <v>652</v>
      </c>
      <c r="B471" s="2">
        <v>43125</v>
      </c>
      <c r="C471">
        <v>2018</v>
      </c>
      <c r="D471" t="s">
        <v>15</v>
      </c>
      <c r="E471" t="s">
        <v>3832</v>
      </c>
      <c r="F471" t="s">
        <v>4672</v>
      </c>
      <c r="G471" t="s">
        <v>4143</v>
      </c>
      <c r="H471" s="16">
        <v>0.13</v>
      </c>
      <c r="I471" t="s">
        <v>4764</v>
      </c>
      <c r="J471" t="s">
        <v>4613</v>
      </c>
    </row>
    <row r="472" spans="1:10">
      <c r="A472" t="s">
        <v>653</v>
      </c>
      <c r="B472" s="2">
        <v>43126</v>
      </c>
      <c r="C472">
        <v>2018</v>
      </c>
      <c r="D472" t="s">
        <v>12</v>
      </c>
      <c r="E472" t="s">
        <v>49</v>
      </c>
      <c r="F472" t="s">
        <v>4670</v>
      </c>
      <c r="G472" t="s">
        <v>4144</v>
      </c>
      <c r="H472" s="16">
        <v>0.63</v>
      </c>
      <c r="I472" t="s">
        <v>4764</v>
      </c>
      <c r="J472" t="s">
        <v>4614</v>
      </c>
    </row>
    <row r="473" spans="1:10">
      <c r="A473" t="s">
        <v>654</v>
      </c>
      <c r="B473" s="2">
        <v>43133</v>
      </c>
      <c r="C473">
        <v>2018</v>
      </c>
      <c r="D473" t="s">
        <v>8</v>
      </c>
      <c r="E473" t="s">
        <v>23</v>
      </c>
      <c r="F473" t="s">
        <v>4669</v>
      </c>
      <c r="G473" t="s">
        <v>4145</v>
      </c>
      <c r="H473" s="16">
        <v>1.21</v>
      </c>
      <c r="I473" t="s">
        <v>4764</v>
      </c>
      <c r="J473" t="s">
        <v>4614</v>
      </c>
    </row>
    <row r="474" spans="1:10">
      <c r="A474" t="s">
        <v>655</v>
      </c>
      <c r="B474" s="2">
        <v>43133</v>
      </c>
      <c r="C474">
        <v>2018</v>
      </c>
      <c r="D474" t="s">
        <v>8</v>
      </c>
      <c r="E474" t="s">
        <v>125</v>
      </c>
      <c r="F474" t="s">
        <v>4669</v>
      </c>
      <c r="G474" t="s">
        <v>656</v>
      </c>
      <c r="H474" s="16">
        <v>0.76</v>
      </c>
      <c r="I474" t="s">
        <v>4764</v>
      </c>
      <c r="J474" t="s">
        <v>4614</v>
      </c>
    </row>
    <row r="475" spans="1:10">
      <c r="A475" t="s">
        <v>657</v>
      </c>
      <c r="B475" s="2">
        <v>43134</v>
      </c>
      <c r="C475">
        <v>2018</v>
      </c>
      <c r="D475" t="s">
        <v>25</v>
      </c>
      <c r="E475" t="s">
        <v>19</v>
      </c>
      <c r="F475" t="s">
        <v>4668</v>
      </c>
      <c r="G475" t="s">
        <v>4146</v>
      </c>
      <c r="H475" s="16">
        <v>0.44</v>
      </c>
      <c r="I475" t="s">
        <v>4764</v>
      </c>
      <c r="J475" t="s">
        <v>4614</v>
      </c>
    </row>
    <row r="476" spans="1:10">
      <c r="A476" t="s">
        <v>658</v>
      </c>
      <c r="B476" s="2">
        <v>43138</v>
      </c>
      <c r="C476">
        <v>2018</v>
      </c>
      <c r="D476" t="s">
        <v>12</v>
      </c>
      <c r="E476" t="s">
        <v>3870</v>
      </c>
      <c r="F476" t="s">
        <v>4670</v>
      </c>
      <c r="G476" t="s">
        <v>4147</v>
      </c>
      <c r="H476" s="16">
        <v>0.33</v>
      </c>
      <c r="I476" t="s">
        <v>4764</v>
      </c>
      <c r="J476" t="s">
        <v>4614</v>
      </c>
    </row>
    <row r="477" spans="1:10">
      <c r="A477" t="s">
        <v>659</v>
      </c>
      <c r="B477" s="2">
        <v>43139</v>
      </c>
      <c r="C477">
        <v>2018</v>
      </c>
      <c r="D477" t="s">
        <v>15</v>
      </c>
      <c r="E477" t="s">
        <v>3832</v>
      </c>
      <c r="F477" t="s">
        <v>661</v>
      </c>
      <c r="G477" t="s">
        <v>660</v>
      </c>
      <c r="H477" s="16">
        <v>0.15</v>
      </c>
      <c r="I477" t="s">
        <v>4764</v>
      </c>
      <c r="J477" t="s">
        <v>4613</v>
      </c>
    </row>
    <row r="478" spans="1:10">
      <c r="A478" t="s">
        <v>662</v>
      </c>
      <c r="B478" s="2">
        <v>43149</v>
      </c>
      <c r="C478">
        <v>2018</v>
      </c>
      <c r="D478" t="s">
        <v>25</v>
      </c>
      <c r="E478" t="s">
        <v>49</v>
      </c>
      <c r="F478" t="s">
        <v>4668</v>
      </c>
      <c r="G478" t="s">
        <v>4134</v>
      </c>
      <c r="H478" s="16">
        <v>0.14000000000000001</v>
      </c>
      <c r="I478" t="s">
        <v>4764</v>
      </c>
      <c r="J478" t="s">
        <v>4614</v>
      </c>
    </row>
    <row r="479" spans="1:10">
      <c r="A479" t="s">
        <v>663</v>
      </c>
      <c r="B479" s="2">
        <v>43150</v>
      </c>
      <c r="C479">
        <v>2018</v>
      </c>
      <c r="D479" t="s">
        <v>25</v>
      </c>
      <c r="E479" t="s">
        <v>47</v>
      </c>
      <c r="F479" t="s">
        <v>4668</v>
      </c>
      <c r="G479" t="s">
        <v>664</v>
      </c>
      <c r="H479" s="16">
        <v>0.3</v>
      </c>
      <c r="I479" t="s">
        <v>4764</v>
      </c>
      <c r="J479" t="s">
        <v>4614</v>
      </c>
    </row>
    <row r="480" spans="1:10">
      <c r="A480" t="s">
        <v>665</v>
      </c>
      <c r="B480" s="2">
        <v>43152</v>
      </c>
      <c r="C480">
        <v>2018</v>
      </c>
      <c r="D480" t="s">
        <v>21</v>
      </c>
      <c r="E480" t="s">
        <v>3839</v>
      </c>
      <c r="F480" t="s">
        <v>4667</v>
      </c>
      <c r="G480" t="s">
        <v>666</v>
      </c>
      <c r="H480" s="16">
        <v>7.0000000000000007E-2</v>
      </c>
      <c r="I480" t="s">
        <v>4764</v>
      </c>
      <c r="J480" t="s">
        <v>4614</v>
      </c>
    </row>
    <row r="481" spans="1:10">
      <c r="A481" t="s">
        <v>667</v>
      </c>
      <c r="B481" s="2">
        <v>43161</v>
      </c>
      <c r="C481">
        <v>2018</v>
      </c>
      <c r="D481" t="s">
        <v>25</v>
      </c>
      <c r="E481" t="s">
        <v>3870</v>
      </c>
      <c r="F481" t="s">
        <v>4668</v>
      </c>
      <c r="G481" t="s">
        <v>4148</v>
      </c>
      <c r="H481" s="16">
        <v>0.14000000000000001</v>
      </c>
      <c r="I481" t="s">
        <v>4764</v>
      </c>
      <c r="J481" t="s">
        <v>4614</v>
      </c>
    </row>
    <row r="482" spans="1:10">
      <c r="A482" t="s">
        <v>668</v>
      </c>
      <c r="B482" s="2">
        <v>43169</v>
      </c>
      <c r="C482">
        <v>2018</v>
      </c>
      <c r="D482" t="s">
        <v>25</v>
      </c>
      <c r="E482" t="s">
        <v>72</v>
      </c>
      <c r="F482" t="s">
        <v>4668</v>
      </c>
      <c r="G482" t="s">
        <v>669</v>
      </c>
      <c r="H482" s="16">
        <v>0.25</v>
      </c>
      <c r="I482" t="s">
        <v>4764</v>
      </c>
      <c r="J482" t="s">
        <v>4614</v>
      </c>
    </row>
    <row r="483" spans="1:10">
      <c r="A483" t="s">
        <v>670</v>
      </c>
      <c r="B483" s="2">
        <v>43171</v>
      </c>
      <c r="C483">
        <v>2018</v>
      </c>
      <c r="D483" t="s">
        <v>25</v>
      </c>
      <c r="E483" t="s">
        <v>72</v>
      </c>
      <c r="F483" t="s">
        <v>4668</v>
      </c>
      <c r="G483" t="s">
        <v>4149</v>
      </c>
      <c r="H483" s="16">
        <v>0.06</v>
      </c>
      <c r="I483" t="s">
        <v>4764</v>
      </c>
      <c r="J483" t="s">
        <v>4614</v>
      </c>
    </row>
    <row r="484" spans="1:10">
      <c r="A484" t="s">
        <v>671</v>
      </c>
      <c r="B484" s="2">
        <v>43180</v>
      </c>
      <c r="C484">
        <v>2018</v>
      </c>
      <c r="D484" t="s">
        <v>15</v>
      </c>
      <c r="E484" t="s">
        <v>3832</v>
      </c>
      <c r="F484" t="s">
        <v>4673</v>
      </c>
      <c r="G484" t="s">
        <v>4150</v>
      </c>
      <c r="H484" s="16">
        <v>0.98</v>
      </c>
      <c r="I484" t="s">
        <v>4764</v>
      </c>
      <c r="J484" t="s">
        <v>4614</v>
      </c>
    </row>
    <row r="485" spans="1:10">
      <c r="A485" t="s">
        <v>672</v>
      </c>
      <c r="B485" s="2">
        <v>43193</v>
      </c>
      <c r="C485">
        <v>2018</v>
      </c>
      <c r="D485" t="s">
        <v>33</v>
      </c>
      <c r="E485" t="s">
        <v>3839</v>
      </c>
      <c r="F485" t="s">
        <v>4674</v>
      </c>
      <c r="G485" t="s">
        <v>673</v>
      </c>
      <c r="H485" s="16">
        <v>0.04</v>
      </c>
      <c r="I485" t="s">
        <v>4764</v>
      </c>
      <c r="J485" t="s">
        <v>4614</v>
      </c>
    </row>
    <row r="486" spans="1:10">
      <c r="A486" t="s">
        <v>674</v>
      </c>
      <c r="B486" s="2">
        <v>43193</v>
      </c>
      <c r="C486">
        <v>2018</v>
      </c>
      <c r="D486" t="s">
        <v>25</v>
      </c>
      <c r="E486" t="s">
        <v>3862</v>
      </c>
      <c r="F486" t="s">
        <v>4668</v>
      </c>
      <c r="G486" t="s">
        <v>4151</v>
      </c>
      <c r="H486" s="16">
        <v>0.05</v>
      </c>
      <c r="I486" t="s">
        <v>4764</v>
      </c>
      <c r="J486" t="s">
        <v>4614</v>
      </c>
    </row>
    <row r="487" spans="1:10">
      <c r="A487" t="s">
        <v>675</v>
      </c>
      <c r="B487" s="2">
        <v>43193</v>
      </c>
      <c r="C487">
        <v>2018</v>
      </c>
      <c r="D487" t="s">
        <v>33</v>
      </c>
      <c r="E487" t="s">
        <v>34</v>
      </c>
      <c r="F487" t="s">
        <v>4674</v>
      </c>
      <c r="G487" t="s">
        <v>676</v>
      </c>
      <c r="H487" s="16">
        <v>0.03</v>
      </c>
      <c r="I487" t="s">
        <v>4764</v>
      </c>
      <c r="J487" t="s">
        <v>4614</v>
      </c>
    </row>
    <row r="488" spans="1:10">
      <c r="A488" t="s">
        <v>677</v>
      </c>
      <c r="B488" s="2">
        <v>43193</v>
      </c>
      <c r="C488">
        <v>2018</v>
      </c>
      <c r="D488" t="s">
        <v>33</v>
      </c>
      <c r="E488" t="s">
        <v>47</v>
      </c>
      <c r="F488" t="s">
        <v>4674</v>
      </c>
      <c r="G488" t="s">
        <v>4152</v>
      </c>
      <c r="H488" s="16">
        <v>0.25</v>
      </c>
      <c r="I488" t="s">
        <v>4764</v>
      </c>
      <c r="J488" t="s">
        <v>4614</v>
      </c>
    </row>
    <row r="489" spans="1:10">
      <c r="A489" t="s">
        <v>678</v>
      </c>
      <c r="B489" s="2">
        <v>43194</v>
      </c>
      <c r="C489">
        <v>2018</v>
      </c>
      <c r="D489" t="s">
        <v>15</v>
      </c>
      <c r="E489" t="s">
        <v>3832</v>
      </c>
      <c r="F489" t="s">
        <v>4673</v>
      </c>
      <c r="G489" t="s">
        <v>4153</v>
      </c>
      <c r="H489" s="16">
        <v>0.3</v>
      </c>
      <c r="I489" t="s">
        <v>4764</v>
      </c>
      <c r="J489" t="s">
        <v>4614</v>
      </c>
    </row>
    <row r="490" spans="1:10">
      <c r="A490" t="s">
        <v>679</v>
      </c>
      <c r="B490" s="2">
        <v>43196</v>
      </c>
      <c r="C490">
        <v>2018</v>
      </c>
      <c r="D490" t="s">
        <v>8</v>
      </c>
      <c r="E490" t="s">
        <v>376</v>
      </c>
      <c r="F490" t="s">
        <v>4669</v>
      </c>
      <c r="G490" t="s">
        <v>4154</v>
      </c>
      <c r="H490" s="16">
        <v>0.97</v>
      </c>
      <c r="I490" t="s">
        <v>4764</v>
      </c>
      <c r="J490" t="s">
        <v>4614</v>
      </c>
    </row>
    <row r="491" spans="1:10">
      <c r="A491" t="s">
        <v>680</v>
      </c>
      <c r="B491" s="2">
        <v>43204</v>
      </c>
      <c r="C491">
        <v>2018</v>
      </c>
      <c r="D491" t="s">
        <v>25</v>
      </c>
      <c r="E491" t="s">
        <v>3862</v>
      </c>
      <c r="F491" t="s">
        <v>4668</v>
      </c>
      <c r="G491" t="s">
        <v>4155</v>
      </c>
      <c r="H491" s="16">
        <v>0.1</v>
      </c>
      <c r="I491" t="s">
        <v>4764</v>
      </c>
      <c r="J491" t="s">
        <v>4614</v>
      </c>
    </row>
    <row r="492" spans="1:10">
      <c r="A492" t="s">
        <v>681</v>
      </c>
      <c r="B492" s="2">
        <v>43221</v>
      </c>
      <c r="C492">
        <v>2018</v>
      </c>
      <c r="D492" t="s">
        <v>25</v>
      </c>
      <c r="E492" t="s">
        <v>47</v>
      </c>
      <c r="F492" t="s">
        <v>4668</v>
      </c>
      <c r="G492" t="s">
        <v>682</v>
      </c>
      <c r="H492" s="16">
        <v>0.1</v>
      </c>
      <c r="I492" t="s">
        <v>4764</v>
      </c>
      <c r="J492" t="s">
        <v>4614</v>
      </c>
    </row>
    <row r="493" spans="1:10">
      <c r="A493" t="s">
        <v>683</v>
      </c>
      <c r="B493" s="2">
        <v>43224</v>
      </c>
      <c r="C493">
        <v>2018</v>
      </c>
      <c r="D493" t="s">
        <v>25</v>
      </c>
      <c r="E493" t="s">
        <v>72</v>
      </c>
      <c r="F493" t="s">
        <v>4668</v>
      </c>
      <c r="G493" t="s">
        <v>684</v>
      </c>
      <c r="H493" s="16">
        <v>0.05</v>
      </c>
      <c r="I493" t="s">
        <v>4764</v>
      </c>
      <c r="J493" t="s">
        <v>4614</v>
      </c>
    </row>
    <row r="494" spans="1:10">
      <c r="A494" t="s">
        <v>685</v>
      </c>
      <c r="B494" s="2">
        <v>43231</v>
      </c>
      <c r="C494">
        <v>2018</v>
      </c>
      <c r="D494" t="s">
        <v>25</v>
      </c>
      <c r="E494" t="s">
        <v>3870</v>
      </c>
      <c r="F494" t="s">
        <v>4668</v>
      </c>
      <c r="G494" t="s">
        <v>347</v>
      </c>
      <c r="H494" s="16">
        <v>0.12</v>
      </c>
      <c r="I494" t="s">
        <v>4764</v>
      </c>
      <c r="J494" t="s">
        <v>4614</v>
      </c>
    </row>
    <row r="495" spans="1:10">
      <c r="A495" t="s">
        <v>686</v>
      </c>
      <c r="B495" s="2">
        <v>43239</v>
      </c>
      <c r="C495">
        <v>2018</v>
      </c>
      <c r="D495" t="s">
        <v>15</v>
      </c>
      <c r="E495" t="s">
        <v>3832</v>
      </c>
      <c r="F495" t="s">
        <v>4673</v>
      </c>
      <c r="G495" t="s">
        <v>687</v>
      </c>
      <c r="H495" s="16">
        <v>1.27</v>
      </c>
      <c r="I495" t="s">
        <v>4764</v>
      </c>
      <c r="J495" t="s">
        <v>4614</v>
      </c>
    </row>
    <row r="496" spans="1:10">
      <c r="A496" t="s">
        <v>688</v>
      </c>
      <c r="B496" s="2">
        <v>43239</v>
      </c>
      <c r="C496">
        <v>2018</v>
      </c>
      <c r="D496" t="s">
        <v>12</v>
      </c>
      <c r="E496" t="s">
        <v>45</v>
      </c>
      <c r="F496" t="s">
        <v>4670</v>
      </c>
      <c r="G496" t="s">
        <v>4156</v>
      </c>
      <c r="H496" s="16">
        <v>0.49</v>
      </c>
      <c r="I496" t="s">
        <v>4764</v>
      </c>
      <c r="J496" t="s">
        <v>4614</v>
      </c>
    </row>
    <row r="497" spans="1:10">
      <c r="A497" t="s">
        <v>689</v>
      </c>
      <c r="B497" s="2">
        <v>43239</v>
      </c>
      <c r="C497">
        <v>2018</v>
      </c>
      <c r="D497" t="s">
        <v>33</v>
      </c>
      <c r="E497" t="s">
        <v>3854</v>
      </c>
      <c r="F497" t="s">
        <v>4674</v>
      </c>
      <c r="G497" t="s">
        <v>4157</v>
      </c>
      <c r="H497" s="16">
        <v>0.2</v>
      </c>
      <c r="I497" t="s">
        <v>4764</v>
      </c>
      <c r="J497" t="s">
        <v>4614</v>
      </c>
    </row>
    <row r="498" spans="1:10">
      <c r="A498" t="s">
        <v>690</v>
      </c>
      <c r="B498" s="2">
        <v>43240</v>
      </c>
      <c r="C498">
        <v>2018</v>
      </c>
      <c r="D498" t="s">
        <v>12</v>
      </c>
      <c r="E498" t="s">
        <v>13</v>
      </c>
      <c r="F498" t="s">
        <v>4670</v>
      </c>
      <c r="G498" t="s">
        <v>4158</v>
      </c>
      <c r="H498" s="16">
        <v>0.03</v>
      </c>
      <c r="I498" t="s">
        <v>4764</v>
      </c>
      <c r="J498" t="s">
        <v>4614</v>
      </c>
    </row>
    <row r="499" spans="1:10">
      <c r="A499" t="s">
        <v>691</v>
      </c>
      <c r="B499" s="2">
        <v>43243</v>
      </c>
      <c r="C499">
        <v>2018</v>
      </c>
      <c r="D499" t="s">
        <v>15</v>
      </c>
      <c r="E499" t="s">
        <v>3832</v>
      </c>
      <c r="F499" t="s">
        <v>4673</v>
      </c>
      <c r="G499" t="s">
        <v>692</v>
      </c>
      <c r="H499" s="16">
        <v>0.05</v>
      </c>
      <c r="I499" t="s">
        <v>4764</v>
      </c>
      <c r="J499" t="s">
        <v>4614</v>
      </c>
    </row>
    <row r="500" spans="1:10">
      <c r="A500" t="s">
        <v>693</v>
      </c>
      <c r="B500" s="2">
        <v>43246</v>
      </c>
      <c r="C500">
        <v>2018</v>
      </c>
      <c r="D500" t="s">
        <v>25</v>
      </c>
      <c r="E500" t="s">
        <v>3862</v>
      </c>
      <c r="F500" t="s">
        <v>4668</v>
      </c>
      <c r="G500" t="s">
        <v>694</v>
      </c>
      <c r="H500" s="16">
        <v>0.08</v>
      </c>
      <c r="I500" t="s">
        <v>4764</v>
      </c>
      <c r="J500" t="s">
        <v>4614</v>
      </c>
    </row>
    <row r="501" spans="1:10">
      <c r="A501" t="s">
        <v>695</v>
      </c>
      <c r="B501" s="2">
        <v>43247</v>
      </c>
      <c r="C501">
        <v>2018</v>
      </c>
      <c r="D501" t="s">
        <v>12</v>
      </c>
      <c r="E501" t="s">
        <v>13</v>
      </c>
      <c r="F501" t="s">
        <v>4670</v>
      </c>
      <c r="G501" t="s">
        <v>4159</v>
      </c>
      <c r="H501" s="16">
        <v>0.09</v>
      </c>
      <c r="I501" t="s">
        <v>4764</v>
      </c>
      <c r="J501" t="s">
        <v>4614</v>
      </c>
    </row>
    <row r="502" spans="1:10">
      <c r="A502" t="s">
        <v>696</v>
      </c>
      <c r="B502" s="2">
        <v>43272</v>
      </c>
      <c r="C502">
        <v>2018</v>
      </c>
      <c r="D502" t="s">
        <v>25</v>
      </c>
      <c r="E502" t="s">
        <v>19</v>
      </c>
      <c r="F502" t="s">
        <v>4668</v>
      </c>
      <c r="G502" t="s">
        <v>697</v>
      </c>
      <c r="H502" s="16">
        <v>0.08</v>
      </c>
      <c r="I502" t="s">
        <v>4764</v>
      </c>
      <c r="J502" t="s">
        <v>4614</v>
      </c>
    </row>
    <row r="503" spans="1:10">
      <c r="A503" t="s">
        <v>698</v>
      </c>
      <c r="B503" s="2">
        <v>43276</v>
      </c>
      <c r="C503">
        <v>2018</v>
      </c>
      <c r="D503" t="s">
        <v>25</v>
      </c>
      <c r="E503" t="s">
        <v>3854</v>
      </c>
      <c r="F503" t="s">
        <v>4668</v>
      </c>
      <c r="G503" t="s">
        <v>4160</v>
      </c>
      <c r="H503" s="16">
        <v>0.11</v>
      </c>
      <c r="I503" t="s">
        <v>4764</v>
      </c>
      <c r="J503" t="s">
        <v>4614</v>
      </c>
    </row>
    <row r="504" spans="1:10">
      <c r="A504" t="s">
        <v>699</v>
      </c>
      <c r="B504" s="2">
        <v>43282</v>
      </c>
      <c r="C504">
        <v>2018</v>
      </c>
      <c r="D504" t="s">
        <v>21</v>
      </c>
      <c r="E504" t="s">
        <v>3862</v>
      </c>
      <c r="F504" t="s">
        <v>4667</v>
      </c>
      <c r="G504" t="s">
        <v>700</v>
      </c>
      <c r="H504" s="16">
        <v>0.03</v>
      </c>
      <c r="I504" t="s">
        <v>4764</v>
      </c>
      <c r="J504" t="s">
        <v>4614</v>
      </c>
    </row>
    <row r="505" spans="1:10">
      <c r="A505" t="s">
        <v>701</v>
      </c>
      <c r="B505" s="2">
        <v>43285</v>
      </c>
      <c r="C505">
        <v>2018</v>
      </c>
      <c r="D505" t="s">
        <v>25</v>
      </c>
      <c r="E505" t="s">
        <v>47</v>
      </c>
      <c r="F505" t="s">
        <v>4668</v>
      </c>
      <c r="G505" t="s">
        <v>4161</v>
      </c>
      <c r="H505" s="16">
        <v>0.06</v>
      </c>
      <c r="I505" t="s">
        <v>4764</v>
      </c>
      <c r="J505" t="s">
        <v>4614</v>
      </c>
    </row>
    <row r="506" spans="1:10">
      <c r="A506" t="s">
        <v>702</v>
      </c>
      <c r="B506" s="2">
        <v>43285</v>
      </c>
      <c r="C506">
        <v>2018</v>
      </c>
      <c r="D506" t="s">
        <v>8</v>
      </c>
      <c r="E506" t="s">
        <v>23</v>
      </c>
      <c r="F506" t="s">
        <v>4669</v>
      </c>
      <c r="G506" t="s">
        <v>703</v>
      </c>
      <c r="H506" s="16">
        <v>0.09</v>
      </c>
      <c r="I506" t="s">
        <v>4764</v>
      </c>
      <c r="J506" t="s">
        <v>4614</v>
      </c>
    </row>
    <row r="507" spans="1:10">
      <c r="A507" t="s">
        <v>704</v>
      </c>
      <c r="B507" s="2">
        <v>43292</v>
      </c>
      <c r="C507">
        <v>2018</v>
      </c>
      <c r="D507" t="s">
        <v>21</v>
      </c>
      <c r="E507" t="s">
        <v>29</v>
      </c>
      <c r="F507" t="s">
        <v>4667</v>
      </c>
      <c r="G507" t="s">
        <v>4149</v>
      </c>
      <c r="H507" s="16">
        <v>0.02</v>
      </c>
      <c r="I507" t="s">
        <v>4764</v>
      </c>
      <c r="J507" t="s">
        <v>4614</v>
      </c>
    </row>
    <row r="508" spans="1:10">
      <c r="A508" t="s">
        <v>705</v>
      </c>
      <c r="B508" s="2">
        <v>43295</v>
      </c>
      <c r="C508">
        <v>2018</v>
      </c>
      <c r="D508" t="s">
        <v>25</v>
      </c>
      <c r="E508" t="s">
        <v>45</v>
      </c>
      <c r="F508" t="s">
        <v>4668</v>
      </c>
      <c r="G508" t="s">
        <v>706</v>
      </c>
      <c r="H508" s="16">
        <v>0.48</v>
      </c>
      <c r="I508" t="s">
        <v>4764</v>
      </c>
      <c r="J508" t="s">
        <v>4614</v>
      </c>
    </row>
    <row r="509" spans="1:10">
      <c r="A509" t="s">
        <v>707</v>
      </c>
      <c r="B509" s="2">
        <v>43296</v>
      </c>
      <c r="C509">
        <v>2018</v>
      </c>
      <c r="D509" t="s">
        <v>25</v>
      </c>
      <c r="E509" t="s">
        <v>3854</v>
      </c>
      <c r="F509" t="s">
        <v>4668</v>
      </c>
      <c r="G509" t="s">
        <v>4162</v>
      </c>
      <c r="H509" s="16">
        <v>0.17</v>
      </c>
      <c r="I509" t="s">
        <v>4764</v>
      </c>
      <c r="J509" t="s">
        <v>4614</v>
      </c>
    </row>
    <row r="510" spans="1:10">
      <c r="A510" t="s">
        <v>708</v>
      </c>
      <c r="B510" s="2">
        <v>43298</v>
      </c>
      <c r="C510">
        <v>2018</v>
      </c>
      <c r="D510" t="s">
        <v>12</v>
      </c>
      <c r="E510" t="s">
        <v>3854</v>
      </c>
      <c r="F510" t="s">
        <v>4670</v>
      </c>
      <c r="G510" t="s">
        <v>4163</v>
      </c>
      <c r="H510" s="16">
        <v>0.03</v>
      </c>
      <c r="I510" t="s">
        <v>4764</v>
      </c>
      <c r="J510" t="s">
        <v>4614</v>
      </c>
    </row>
    <row r="511" spans="1:10">
      <c r="A511" t="s">
        <v>709</v>
      </c>
      <c r="B511" s="2">
        <v>43299</v>
      </c>
      <c r="C511">
        <v>2018</v>
      </c>
      <c r="D511" t="s">
        <v>12</v>
      </c>
      <c r="E511" t="s">
        <v>3870</v>
      </c>
      <c r="F511" t="s">
        <v>4670</v>
      </c>
      <c r="G511" t="s">
        <v>4164</v>
      </c>
      <c r="H511" s="16">
        <v>0.06</v>
      </c>
      <c r="I511" t="s">
        <v>4764</v>
      </c>
      <c r="J511" t="s">
        <v>4614</v>
      </c>
    </row>
    <row r="512" spans="1:10">
      <c r="A512" t="s">
        <v>710</v>
      </c>
      <c r="B512" s="2">
        <v>43300</v>
      </c>
      <c r="C512">
        <v>2018</v>
      </c>
      <c r="D512" t="s">
        <v>33</v>
      </c>
      <c r="E512" t="s">
        <v>34</v>
      </c>
      <c r="F512" t="s">
        <v>4674</v>
      </c>
      <c r="G512" t="s">
        <v>4165</v>
      </c>
      <c r="H512" s="16">
        <v>0.12</v>
      </c>
      <c r="I512" t="s">
        <v>4764</v>
      </c>
      <c r="J512" t="s">
        <v>4614</v>
      </c>
    </row>
    <row r="513" spans="1:10">
      <c r="A513" t="s">
        <v>711</v>
      </c>
      <c r="B513" s="2">
        <v>43304</v>
      </c>
      <c r="C513">
        <v>2018</v>
      </c>
      <c r="D513" t="s">
        <v>25</v>
      </c>
      <c r="E513" t="s">
        <v>3836</v>
      </c>
      <c r="F513" t="s">
        <v>4668</v>
      </c>
      <c r="G513" t="s">
        <v>4166</v>
      </c>
      <c r="H513" s="16">
        <v>0.26</v>
      </c>
      <c r="I513" t="s">
        <v>4764</v>
      </c>
      <c r="J513" t="s">
        <v>4614</v>
      </c>
    </row>
    <row r="514" spans="1:10">
      <c r="A514" t="s">
        <v>712</v>
      </c>
      <c r="B514" s="2">
        <v>43308</v>
      </c>
      <c r="C514">
        <v>2018</v>
      </c>
      <c r="D514" t="s">
        <v>25</v>
      </c>
      <c r="E514" t="s">
        <v>34</v>
      </c>
      <c r="F514" t="s">
        <v>4668</v>
      </c>
      <c r="G514" t="s">
        <v>4125</v>
      </c>
      <c r="H514" s="16">
        <v>0.05</v>
      </c>
      <c r="I514" t="s">
        <v>4764</v>
      </c>
      <c r="J514" t="s">
        <v>4614</v>
      </c>
    </row>
    <row r="515" spans="1:10">
      <c r="A515" t="s">
        <v>713</v>
      </c>
      <c r="B515" s="2">
        <v>43314</v>
      </c>
      <c r="C515">
        <v>2018</v>
      </c>
      <c r="D515" t="s">
        <v>33</v>
      </c>
      <c r="E515" t="s">
        <v>3870</v>
      </c>
      <c r="F515" t="s">
        <v>4674</v>
      </c>
      <c r="G515" t="s">
        <v>4167</v>
      </c>
      <c r="H515" s="16">
        <v>7.0000000000000007E-2</v>
      </c>
      <c r="I515" t="s">
        <v>4764</v>
      </c>
      <c r="J515" t="s">
        <v>4614</v>
      </c>
    </row>
    <row r="516" spans="1:10">
      <c r="A516" t="s">
        <v>714</v>
      </c>
      <c r="B516" s="2">
        <v>43323</v>
      </c>
      <c r="C516">
        <v>2018</v>
      </c>
      <c r="D516" t="s">
        <v>15</v>
      </c>
      <c r="E516" t="s">
        <v>3832</v>
      </c>
      <c r="F516" t="s">
        <v>4673</v>
      </c>
      <c r="G516" t="s">
        <v>715</v>
      </c>
      <c r="H516" s="16">
        <v>0.25</v>
      </c>
      <c r="I516" t="s">
        <v>4764</v>
      </c>
      <c r="J516" t="s">
        <v>4614</v>
      </c>
    </row>
    <row r="517" spans="1:10">
      <c r="A517" t="s">
        <v>716</v>
      </c>
      <c r="B517" s="2">
        <v>43324</v>
      </c>
      <c r="C517">
        <v>2018</v>
      </c>
      <c r="D517" t="s">
        <v>12</v>
      </c>
      <c r="E517" t="s">
        <v>72</v>
      </c>
      <c r="F517" t="s">
        <v>4670</v>
      </c>
      <c r="G517" t="s">
        <v>4168</v>
      </c>
      <c r="H517" s="16">
        <v>0.19</v>
      </c>
      <c r="I517" t="s">
        <v>4764</v>
      </c>
      <c r="J517" t="s">
        <v>4614</v>
      </c>
    </row>
    <row r="518" spans="1:10">
      <c r="A518" t="s">
        <v>717</v>
      </c>
      <c r="B518" s="2">
        <v>43329</v>
      </c>
      <c r="C518">
        <v>2018</v>
      </c>
      <c r="D518" t="s">
        <v>12</v>
      </c>
      <c r="E518" t="s">
        <v>3870</v>
      </c>
      <c r="F518" t="s">
        <v>4670</v>
      </c>
      <c r="G518" t="s">
        <v>228</v>
      </c>
      <c r="H518" s="16">
        <v>0.1</v>
      </c>
      <c r="I518" t="s">
        <v>4764</v>
      </c>
      <c r="J518" t="s">
        <v>4614</v>
      </c>
    </row>
    <row r="519" spans="1:10">
      <c r="A519" t="s">
        <v>718</v>
      </c>
      <c r="B519" s="2">
        <v>43330</v>
      </c>
      <c r="C519">
        <v>2018</v>
      </c>
      <c r="D519" t="s">
        <v>33</v>
      </c>
      <c r="E519" t="s">
        <v>13</v>
      </c>
      <c r="F519" t="s">
        <v>4674</v>
      </c>
      <c r="G519" t="s">
        <v>4169</v>
      </c>
      <c r="H519" s="16">
        <v>0.23</v>
      </c>
      <c r="I519" t="s">
        <v>4764</v>
      </c>
      <c r="J519" t="s">
        <v>4614</v>
      </c>
    </row>
    <row r="520" spans="1:10">
      <c r="A520" t="s">
        <v>719</v>
      </c>
      <c r="B520" s="2">
        <v>43330</v>
      </c>
      <c r="C520">
        <v>2018</v>
      </c>
      <c r="D520" t="s">
        <v>8</v>
      </c>
      <c r="E520" t="s">
        <v>23</v>
      </c>
      <c r="F520" t="s">
        <v>4669</v>
      </c>
      <c r="G520" t="s">
        <v>4170</v>
      </c>
      <c r="H520" s="16">
        <v>0.25</v>
      </c>
      <c r="I520" t="s">
        <v>4764</v>
      </c>
      <c r="J520" t="s">
        <v>4614</v>
      </c>
    </row>
    <row r="521" spans="1:10">
      <c r="A521" t="s">
        <v>720</v>
      </c>
      <c r="B521" s="2">
        <v>43331</v>
      </c>
      <c r="C521">
        <v>2018</v>
      </c>
      <c r="D521" t="s">
        <v>21</v>
      </c>
      <c r="E521" t="s">
        <v>49</v>
      </c>
      <c r="F521" t="s">
        <v>4667</v>
      </c>
      <c r="G521" t="s">
        <v>4171</v>
      </c>
      <c r="H521" s="16">
        <v>0.08</v>
      </c>
      <c r="I521" t="s">
        <v>4764</v>
      </c>
      <c r="J521" t="s">
        <v>4614</v>
      </c>
    </row>
    <row r="522" spans="1:10">
      <c r="A522" t="s">
        <v>721</v>
      </c>
      <c r="B522" s="2">
        <v>43332</v>
      </c>
      <c r="C522">
        <v>2018</v>
      </c>
      <c r="D522" t="s">
        <v>15</v>
      </c>
      <c r="E522" t="s">
        <v>3832</v>
      </c>
      <c r="F522" t="s">
        <v>4673</v>
      </c>
      <c r="G522" t="s">
        <v>4172</v>
      </c>
      <c r="H522" s="16">
        <v>0.4</v>
      </c>
      <c r="I522" t="s">
        <v>4764</v>
      </c>
      <c r="J522" t="s">
        <v>4614</v>
      </c>
    </row>
    <row r="523" spans="1:10">
      <c r="A523" t="s">
        <v>722</v>
      </c>
      <c r="B523" s="2">
        <v>43332</v>
      </c>
      <c r="C523">
        <v>2018</v>
      </c>
      <c r="D523" t="s">
        <v>25</v>
      </c>
      <c r="E523" t="s">
        <v>13</v>
      </c>
      <c r="F523" t="s">
        <v>4668</v>
      </c>
      <c r="G523" t="s">
        <v>4173</v>
      </c>
      <c r="H523" s="16">
        <v>7.0000000000000007E-2</v>
      </c>
      <c r="I523" t="s">
        <v>4764</v>
      </c>
      <c r="J523" t="s">
        <v>4614</v>
      </c>
    </row>
    <row r="524" spans="1:10">
      <c r="A524" t="s">
        <v>723</v>
      </c>
      <c r="B524" s="2">
        <v>43334</v>
      </c>
      <c r="C524">
        <v>2018</v>
      </c>
      <c r="D524" t="s">
        <v>8</v>
      </c>
      <c r="E524" t="s">
        <v>3846</v>
      </c>
      <c r="F524" t="s">
        <v>4669</v>
      </c>
      <c r="G524" t="s">
        <v>4174</v>
      </c>
      <c r="H524" s="16">
        <v>4.54</v>
      </c>
      <c r="I524" t="s">
        <v>4764</v>
      </c>
      <c r="J524" t="s">
        <v>4614</v>
      </c>
    </row>
    <row r="525" spans="1:10">
      <c r="A525" t="s">
        <v>724</v>
      </c>
      <c r="B525" s="2">
        <v>43336</v>
      </c>
      <c r="C525">
        <v>2018</v>
      </c>
      <c r="D525" t="s">
        <v>33</v>
      </c>
      <c r="E525" t="s">
        <v>45</v>
      </c>
      <c r="F525" t="s">
        <v>4674</v>
      </c>
      <c r="G525" t="s">
        <v>4175</v>
      </c>
      <c r="H525" s="16">
        <v>0.34</v>
      </c>
      <c r="I525" t="s">
        <v>4764</v>
      </c>
      <c r="J525" t="s">
        <v>4614</v>
      </c>
    </row>
    <row r="526" spans="1:10">
      <c r="A526" t="s">
        <v>725</v>
      </c>
      <c r="B526" s="2">
        <v>43339</v>
      </c>
      <c r="C526">
        <v>2018</v>
      </c>
      <c r="D526" t="s">
        <v>21</v>
      </c>
      <c r="E526" t="s">
        <v>19</v>
      </c>
      <c r="F526" t="s">
        <v>4667</v>
      </c>
      <c r="G526" t="s">
        <v>4176</v>
      </c>
      <c r="H526" s="16">
        <v>0.17</v>
      </c>
      <c r="I526" t="s">
        <v>4764</v>
      </c>
      <c r="J526" t="s">
        <v>4614</v>
      </c>
    </row>
    <row r="527" spans="1:10">
      <c r="A527" t="s">
        <v>726</v>
      </c>
      <c r="B527" s="2">
        <v>43347</v>
      </c>
      <c r="C527">
        <v>2018</v>
      </c>
      <c r="D527" t="s">
        <v>25</v>
      </c>
      <c r="E527" t="s">
        <v>72</v>
      </c>
      <c r="F527" t="s">
        <v>4668</v>
      </c>
      <c r="G527" t="s">
        <v>727</v>
      </c>
      <c r="H527" s="16">
        <v>0.06</v>
      </c>
      <c r="I527" t="s">
        <v>4764</v>
      </c>
      <c r="J527" t="s">
        <v>4614</v>
      </c>
    </row>
    <row r="528" spans="1:10">
      <c r="A528" t="s">
        <v>728</v>
      </c>
      <c r="B528" s="2">
        <v>43349</v>
      </c>
      <c r="C528">
        <v>2018</v>
      </c>
      <c r="D528" t="s">
        <v>25</v>
      </c>
      <c r="E528" t="s">
        <v>34</v>
      </c>
      <c r="F528" t="s">
        <v>4668</v>
      </c>
      <c r="G528" t="s">
        <v>4177</v>
      </c>
      <c r="H528" s="16">
        <v>0.23</v>
      </c>
      <c r="I528" t="s">
        <v>4764</v>
      </c>
      <c r="J528" t="s">
        <v>4614</v>
      </c>
    </row>
    <row r="529" spans="1:10">
      <c r="A529" t="s">
        <v>729</v>
      </c>
      <c r="B529" s="2">
        <v>43353</v>
      </c>
      <c r="C529">
        <v>2018</v>
      </c>
      <c r="D529" t="s">
        <v>25</v>
      </c>
      <c r="E529" t="s">
        <v>49</v>
      </c>
      <c r="F529" t="s">
        <v>4668</v>
      </c>
      <c r="G529" t="s">
        <v>4178</v>
      </c>
      <c r="H529" s="16">
        <v>0.61</v>
      </c>
      <c r="I529" t="s">
        <v>4764</v>
      </c>
      <c r="J529" t="s">
        <v>4614</v>
      </c>
    </row>
    <row r="530" spans="1:10">
      <c r="A530" t="s">
        <v>730</v>
      </c>
      <c r="B530" s="2">
        <v>43354</v>
      </c>
      <c r="C530">
        <v>2018</v>
      </c>
      <c r="D530" t="s">
        <v>15</v>
      </c>
      <c r="E530" t="s">
        <v>3832</v>
      </c>
      <c r="F530" t="s">
        <v>4673</v>
      </c>
      <c r="G530" t="s">
        <v>600</v>
      </c>
      <c r="H530" s="16">
        <v>0.24</v>
      </c>
      <c r="I530" t="s">
        <v>4764</v>
      </c>
      <c r="J530" t="s">
        <v>4614</v>
      </c>
    </row>
    <row r="531" spans="1:10">
      <c r="A531" t="s">
        <v>731</v>
      </c>
      <c r="B531" s="2">
        <v>43356</v>
      </c>
      <c r="C531">
        <v>2018</v>
      </c>
      <c r="D531" t="s">
        <v>25</v>
      </c>
      <c r="E531" t="s">
        <v>3870</v>
      </c>
      <c r="F531" t="s">
        <v>4668</v>
      </c>
      <c r="G531" t="s">
        <v>4179</v>
      </c>
      <c r="H531" s="16">
        <v>0.21</v>
      </c>
      <c r="I531" t="s">
        <v>4764</v>
      </c>
      <c r="J531" t="s">
        <v>4614</v>
      </c>
    </row>
    <row r="532" spans="1:10">
      <c r="A532" t="s">
        <v>732</v>
      </c>
      <c r="B532" s="2">
        <v>43358</v>
      </c>
      <c r="C532">
        <v>2018</v>
      </c>
      <c r="D532" t="s">
        <v>12</v>
      </c>
      <c r="E532" t="s">
        <v>19</v>
      </c>
      <c r="F532" t="s">
        <v>4670</v>
      </c>
      <c r="G532" t="s">
        <v>733</v>
      </c>
      <c r="H532" s="16">
        <v>1.1200000000000001</v>
      </c>
      <c r="I532" t="s">
        <v>4764</v>
      </c>
      <c r="J532" t="s">
        <v>4614</v>
      </c>
    </row>
    <row r="533" spans="1:10">
      <c r="A533" t="s">
        <v>734</v>
      </c>
      <c r="B533" s="2">
        <v>43360</v>
      </c>
      <c r="C533">
        <v>2018</v>
      </c>
      <c r="D533" t="s">
        <v>21</v>
      </c>
      <c r="E533" t="s">
        <v>19</v>
      </c>
      <c r="F533" t="s">
        <v>4667</v>
      </c>
      <c r="G533" t="s">
        <v>4180</v>
      </c>
      <c r="H533" s="16">
        <v>0.24</v>
      </c>
      <c r="I533" t="s">
        <v>4764</v>
      </c>
      <c r="J533" t="s">
        <v>4614</v>
      </c>
    </row>
    <row r="534" spans="1:10">
      <c r="A534" t="s">
        <v>735</v>
      </c>
      <c r="B534" s="2">
        <v>43362</v>
      </c>
      <c r="C534">
        <v>2018</v>
      </c>
      <c r="D534" t="s">
        <v>15</v>
      </c>
      <c r="E534" t="s">
        <v>3832</v>
      </c>
      <c r="F534" t="s">
        <v>4673</v>
      </c>
      <c r="G534" t="s">
        <v>4181</v>
      </c>
      <c r="H534" s="16">
        <v>0.32</v>
      </c>
      <c r="I534" t="s">
        <v>4764</v>
      </c>
      <c r="J534" t="s">
        <v>4614</v>
      </c>
    </row>
    <row r="535" spans="1:10">
      <c r="A535" t="s">
        <v>736</v>
      </c>
      <c r="B535" s="2">
        <v>43369</v>
      </c>
      <c r="C535">
        <v>2018</v>
      </c>
      <c r="D535" t="s">
        <v>25</v>
      </c>
      <c r="E535" t="s">
        <v>3854</v>
      </c>
      <c r="F535" t="s">
        <v>4668</v>
      </c>
      <c r="G535" t="s">
        <v>4182</v>
      </c>
      <c r="H535" s="16">
        <v>0.1</v>
      </c>
      <c r="I535" t="s">
        <v>4764</v>
      </c>
      <c r="J535" t="s">
        <v>4614</v>
      </c>
    </row>
    <row r="536" spans="1:10">
      <c r="A536" t="s">
        <v>737</v>
      </c>
      <c r="B536" s="2">
        <v>43397</v>
      </c>
      <c r="C536">
        <v>2018</v>
      </c>
      <c r="D536" t="s">
        <v>8</v>
      </c>
      <c r="E536" t="s">
        <v>3846</v>
      </c>
      <c r="F536" t="s">
        <v>4669</v>
      </c>
      <c r="G536" t="s">
        <v>4183</v>
      </c>
      <c r="H536" s="16">
        <v>0.41</v>
      </c>
      <c r="I536" t="s">
        <v>4764</v>
      </c>
      <c r="J536" t="s">
        <v>4614</v>
      </c>
    </row>
    <row r="537" spans="1:10">
      <c r="A537" t="s">
        <v>738</v>
      </c>
      <c r="B537" s="2">
        <v>43405</v>
      </c>
      <c r="C537">
        <v>2018</v>
      </c>
      <c r="D537" t="s">
        <v>33</v>
      </c>
      <c r="E537" t="s">
        <v>3862</v>
      </c>
      <c r="F537" t="s">
        <v>4674</v>
      </c>
      <c r="G537" t="s">
        <v>739</v>
      </c>
      <c r="H537" s="16">
        <v>0.26</v>
      </c>
      <c r="I537" t="s">
        <v>4764</v>
      </c>
      <c r="J537" t="s">
        <v>4614</v>
      </c>
    </row>
    <row r="538" spans="1:10">
      <c r="A538" t="s">
        <v>740</v>
      </c>
      <c r="B538" s="2">
        <v>43410</v>
      </c>
      <c r="C538">
        <v>2018</v>
      </c>
      <c r="D538" t="s">
        <v>8</v>
      </c>
      <c r="E538" t="s">
        <v>31</v>
      </c>
      <c r="F538" t="s">
        <v>4669</v>
      </c>
      <c r="G538" t="s">
        <v>4184</v>
      </c>
      <c r="H538" s="16">
        <v>7.99</v>
      </c>
      <c r="I538" t="s">
        <v>4764</v>
      </c>
      <c r="J538" t="s">
        <v>4614</v>
      </c>
    </row>
    <row r="539" spans="1:10">
      <c r="A539" t="s">
        <v>741</v>
      </c>
      <c r="B539" s="2">
        <v>43421</v>
      </c>
      <c r="C539">
        <v>2018</v>
      </c>
      <c r="D539" t="s">
        <v>12</v>
      </c>
      <c r="E539" t="s">
        <v>13</v>
      </c>
      <c r="F539" t="s">
        <v>4670</v>
      </c>
      <c r="G539" t="s">
        <v>4114</v>
      </c>
      <c r="H539" s="16">
        <v>7.0000000000000007E-2</v>
      </c>
      <c r="I539" t="s">
        <v>4764</v>
      </c>
      <c r="J539" t="s">
        <v>4614</v>
      </c>
    </row>
    <row r="540" spans="1:10">
      <c r="A540" t="s">
        <v>742</v>
      </c>
      <c r="B540" s="2">
        <v>43422</v>
      </c>
      <c r="C540">
        <v>2018</v>
      </c>
      <c r="D540" t="s">
        <v>15</v>
      </c>
      <c r="E540" t="s">
        <v>3832</v>
      </c>
      <c r="F540" t="s">
        <v>4673</v>
      </c>
      <c r="G540" t="s">
        <v>743</v>
      </c>
      <c r="H540" s="16">
        <v>1.55</v>
      </c>
      <c r="I540" t="s">
        <v>4764</v>
      </c>
      <c r="J540" t="s">
        <v>4614</v>
      </c>
    </row>
    <row r="541" spans="1:10">
      <c r="A541" t="s">
        <v>744</v>
      </c>
      <c r="B541" s="2">
        <v>43427</v>
      </c>
      <c r="C541">
        <v>2018</v>
      </c>
      <c r="D541" t="s">
        <v>8</v>
      </c>
      <c r="E541" t="s">
        <v>53</v>
      </c>
      <c r="F541" t="s">
        <v>4669</v>
      </c>
      <c r="G541" t="s">
        <v>4185</v>
      </c>
      <c r="H541" s="16">
        <v>0.03</v>
      </c>
      <c r="I541" t="s">
        <v>4764</v>
      </c>
      <c r="J541" t="s">
        <v>4614</v>
      </c>
    </row>
    <row r="542" spans="1:10">
      <c r="A542" t="s">
        <v>745</v>
      </c>
      <c r="B542" s="2">
        <v>43430</v>
      </c>
      <c r="C542">
        <v>2018</v>
      </c>
      <c r="D542" t="s">
        <v>12</v>
      </c>
      <c r="E542" t="s">
        <v>72</v>
      </c>
      <c r="F542" t="s">
        <v>4670</v>
      </c>
      <c r="G542" t="s">
        <v>746</v>
      </c>
      <c r="H542" s="16">
        <v>0.15</v>
      </c>
      <c r="I542" t="s">
        <v>4764</v>
      </c>
      <c r="J542" t="s">
        <v>4614</v>
      </c>
    </row>
    <row r="543" spans="1:10">
      <c r="A543" t="s">
        <v>747</v>
      </c>
      <c r="B543" s="2">
        <v>43435</v>
      </c>
      <c r="C543">
        <v>2018</v>
      </c>
      <c r="D543" t="s">
        <v>25</v>
      </c>
      <c r="E543" t="s">
        <v>3862</v>
      </c>
      <c r="F543" t="s">
        <v>4668</v>
      </c>
      <c r="G543" t="s">
        <v>4055</v>
      </c>
      <c r="H543" s="16">
        <v>0.13</v>
      </c>
      <c r="I543" t="s">
        <v>4764</v>
      </c>
      <c r="J543" t="s">
        <v>4614</v>
      </c>
    </row>
    <row r="544" spans="1:10">
      <c r="A544" t="s">
        <v>748</v>
      </c>
      <c r="B544" s="2">
        <v>43440</v>
      </c>
      <c r="C544">
        <v>2018</v>
      </c>
      <c r="D544" t="s">
        <v>21</v>
      </c>
      <c r="E544" t="s">
        <v>34</v>
      </c>
      <c r="F544" t="s">
        <v>4667</v>
      </c>
      <c r="G544" t="s">
        <v>749</v>
      </c>
      <c r="H544" s="16">
        <v>0.62</v>
      </c>
      <c r="I544" t="s">
        <v>4764</v>
      </c>
      <c r="J544" t="s">
        <v>4614</v>
      </c>
    </row>
    <row r="545" spans="1:10">
      <c r="A545" t="s">
        <v>750</v>
      </c>
      <c r="B545" s="2">
        <v>43442</v>
      </c>
      <c r="C545">
        <v>2018</v>
      </c>
      <c r="D545" t="s">
        <v>12</v>
      </c>
      <c r="E545" t="s">
        <v>49</v>
      </c>
      <c r="F545" t="s">
        <v>4670</v>
      </c>
      <c r="G545" t="s">
        <v>751</v>
      </c>
      <c r="H545" s="16">
        <v>7.0000000000000007E-2</v>
      </c>
      <c r="I545" t="s">
        <v>4764</v>
      </c>
      <c r="J545" t="s">
        <v>4614</v>
      </c>
    </row>
    <row r="546" spans="1:10">
      <c r="A546" t="s">
        <v>752</v>
      </c>
      <c r="B546" s="2">
        <v>43445</v>
      </c>
      <c r="C546">
        <v>2018</v>
      </c>
      <c r="D546" t="s">
        <v>8</v>
      </c>
      <c r="E546" t="s">
        <v>3903</v>
      </c>
      <c r="F546" t="s">
        <v>4669</v>
      </c>
      <c r="G546" t="s">
        <v>753</v>
      </c>
      <c r="H546" s="16">
        <v>1.65</v>
      </c>
      <c r="I546" t="s">
        <v>4764</v>
      </c>
      <c r="J546" t="s">
        <v>4614</v>
      </c>
    </row>
    <row r="547" spans="1:10">
      <c r="A547" t="s">
        <v>754</v>
      </c>
      <c r="B547" s="2">
        <v>43445</v>
      </c>
      <c r="C547">
        <v>2018</v>
      </c>
      <c r="D547" t="s">
        <v>15</v>
      </c>
      <c r="E547" t="s">
        <v>3832</v>
      </c>
      <c r="F547" t="s">
        <v>4673</v>
      </c>
      <c r="G547" t="s">
        <v>4186</v>
      </c>
      <c r="H547" s="16">
        <v>0.67</v>
      </c>
      <c r="I547" t="s">
        <v>4764</v>
      </c>
      <c r="J547" t="s">
        <v>4614</v>
      </c>
    </row>
    <row r="548" spans="1:10">
      <c r="A548" t="s">
        <v>755</v>
      </c>
      <c r="B548" s="2">
        <v>43445</v>
      </c>
      <c r="C548">
        <v>2018</v>
      </c>
      <c r="D548" t="s">
        <v>25</v>
      </c>
      <c r="E548" t="s">
        <v>34</v>
      </c>
      <c r="F548" t="s">
        <v>4668</v>
      </c>
      <c r="G548" t="s">
        <v>756</v>
      </c>
      <c r="H548" s="16">
        <v>0.22</v>
      </c>
      <c r="I548" t="s">
        <v>4764</v>
      </c>
      <c r="J548" t="s">
        <v>4614</v>
      </c>
    </row>
    <row r="549" spans="1:10">
      <c r="A549" t="s">
        <v>757</v>
      </c>
      <c r="B549" s="2">
        <v>43457</v>
      </c>
      <c r="C549">
        <v>2018</v>
      </c>
      <c r="D549" t="s">
        <v>12</v>
      </c>
      <c r="E549" t="s">
        <v>3836</v>
      </c>
      <c r="F549" t="s">
        <v>4670</v>
      </c>
      <c r="G549" t="s">
        <v>4187</v>
      </c>
      <c r="H549" s="16">
        <v>0.26</v>
      </c>
      <c r="I549" t="s">
        <v>4764</v>
      </c>
      <c r="J549" t="s">
        <v>4614</v>
      </c>
    </row>
    <row r="550" spans="1:10">
      <c r="A550" t="s">
        <v>758</v>
      </c>
      <c r="B550" s="2">
        <v>43467</v>
      </c>
      <c r="C550">
        <v>2019</v>
      </c>
      <c r="D550" t="s">
        <v>8</v>
      </c>
      <c r="E550" t="s">
        <v>9</v>
      </c>
      <c r="F550" t="s">
        <v>4675</v>
      </c>
      <c r="G550" t="s">
        <v>4188</v>
      </c>
      <c r="H550" s="16">
        <v>2.74</v>
      </c>
      <c r="I550" t="s">
        <v>4764</v>
      </c>
      <c r="J550" t="s">
        <v>4614</v>
      </c>
    </row>
    <row r="551" spans="1:10">
      <c r="A551" t="s">
        <v>759</v>
      </c>
      <c r="B551" s="2">
        <v>43468</v>
      </c>
      <c r="C551">
        <v>2019</v>
      </c>
      <c r="D551" t="s">
        <v>8</v>
      </c>
      <c r="E551" t="s">
        <v>3850</v>
      </c>
      <c r="F551" t="s">
        <v>4676</v>
      </c>
      <c r="G551" t="s">
        <v>646</v>
      </c>
      <c r="H551" s="16">
        <v>74</v>
      </c>
      <c r="I551" t="s">
        <v>4763</v>
      </c>
      <c r="J551" t="s">
        <v>4613</v>
      </c>
    </row>
    <row r="552" spans="1:10">
      <c r="A552" t="s">
        <v>760</v>
      </c>
      <c r="B552" s="2">
        <v>43470</v>
      </c>
      <c r="C552">
        <v>2019</v>
      </c>
      <c r="D552" t="s">
        <v>25</v>
      </c>
      <c r="E552" t="s">
        <v>3836</v>
      </c>
      <c r="F552" t="s">
        <v>4677</v>
      </c>
      <c r="G552" t="s">
        <v>4189</v>
      </c>
      <c r="H552" s="16">
        <v>0.23</v>
      </c>
      <c r="I552" t="s">
        <v>4764</v>
      </c>
      <c r="J552" t="s">
        <v>4614</v>
      </c>
    </row>
    <row r="553" spans="1:10">
      <c r="A553" t="s">
        <v>761</v>
      </c>
      <c r="B553" s="2">
        <v>43473</v>
      </c>
      <c r="C553">
        <v>2019</v>
      </c>
      <c r="D553" t="s">
        <v>8</v>
      </c>
      <c r="E553" t="s">
        <v>53</v>
      </c>
      <c r="F553" t="s">
        <v>4675</v>
      </c>
      <c r="G553" t="s">
        <v>4190</v>
      </c>
      <c r="H553" s="16">
        <v>0.25</v>
      </c>
      <c r="I553" t="s">
        <v>4764</v>
      </c>
      <c r="J553" t="s">
        <v>4614</v>
      </c>
    </row>
    <row r="554" spans="1:10">
      <c r="A554" t="s">
        <v>762</v>
      </c>
      <c r="B554" s="2">
        <v>43474</v>
      </c>
      <c r="C554">
        <v>2019</v>
      </c>
      <c r="D554" t="s">
        <v>33</v>
      </c>
      <c r="E554" t="s">
        <v>13</v>
      </c>
      <c r="F554" t="s">
        <v>4678</v>
      </c>
      <c r="G554" t="s">
        <v>4191</v>
      </c>
      <c r="H554" s="16">
        <v>0.12</v>
      </c>
      <c r="I554" t="s">
        <v>4764</v>
      </c>
      <c r="J554" t="s">
        <v>4614</v>
      </c>
    </row>
    <row r="555" spans="1:10">
      <c r="A555" t="s">
        <v>763</v>
      </c>
      <c r="B555" s="2">
        <v>43482</v>
      </c>
      <c r="C555">
        <v>2019</v>
      </c>
      <c r="D555" t="s">
        <v>12</v>
      </c>
      <c r="E555" t="s">
        <v>72</v>
      </c>
      <c r="F555" t="s">
        <v>4679</v>
      </c>
      <c r="G555" t="s">
        <v>764</v>
      </c>
      <c r="H555" s="16">
        <v>0.19</v>
      </c>
      <c r="I555" t="s">
        <v>4764</v>
      </c>
      <c r="J555" t="s">
        <v>4614</v>
      </c>
    </row>
    <row r="556" spans="1:10">
      <c r="A556" t="s">
        <v>765</v>
      </c>
      <c r="B556" s="2">
        <v>43484</v>
      </c>
      <c r="C556">
        <v>2019</v>
      </c>
      <c r="D556" t="s">
        <v>8</v>
      </c>
      <c r="E556" t="s">
        <v>23</v>
      </c>
      <c r="F556" t="s">
        <v>4675</v>
      </c>
      <c r="G556" t="s">
        <v>4192</v>
      </c>
      <c r="H556" s="16">
        <v>0.74</v>
      </c>
      <c r="I556" t="s">
        <v>4764</v>
      </c>
      <c r="J556" t="s">
        <v>4614</v>
      </c>
    </row>
    <row r="557" spans="1:10">
      <c r="A557" t="s">
        <v>766</v>
      </c>
      <c r="B557" s="2">
        <v>43497</v>
      </c>
      <c r="C557">
        <v>2019</v>
      </c>
      <c r="D557" t="s">
        <v>12</v>
      </c>
      <c r="E557" t="s">
        <v>19</v>
      </c>
      <c r="F557" t="s">
        <v>4679</v>
      </c>
      <c r="G557" t="s">
        <v>767</v>
      </c>
      <c r="H557" s="16">
        <v>0.06</v>
      </c>
      <c r="I557" t="s">
        <v>4764</v>
      </c>
      <c r="J557" t="s">
        <v>4614</v>
      </c>
    </row>
    <row r="558" spans="1:10">
      <c r="A558" t="s">
        <v>768</v>
      </c>
      <c r="B558" s="2">
        <v>43503</v>
      </c>
      <c r="C558">
        <v>2019</v>
      </c>
      <c r="D558" t="s">
        <v>15</v>
      </c>
      <c r="E558" t="s">
        <v>3832</v>
      </c>
      <c r="F558" t="s">
        <v>4680</v>
      </c>
      <c r="G558" t="s">
        <v>4193</v>
      </c>
      <c r="H558" s="16">
        <v>0.15</v>
      </c>
      <c r="I558" t="s">
        <v>4764</v>
      </c>
      <c r="J558" t="s">
        <v>4614</v>
      </c>
    </row>
    <row r="559" spans="1:10">
      <c r="A559" t="s">
        <v>769</v>
      </c>
      <c r="B559" s="2">
        <v>43503</v>
      </c>
      <c r="C559">
        <v>2019</v>
      </c>
      <c r="D559" t="s">
        <v>8</v>
      </c>
      <c r="E559" t="s">
        <v>3903</v>
      </c>
      <c r="F559" t="s">
        <v>4675</v>
      </c>
      <c r="G559" t="s">
        <v>770</v>
      </c>
      <c r="H559" s="16">
        <v>0.84</v>
      </c>
      <c r="I559" t="s">
        <v>4764</v>
      </c>
      <c r="J559" t="s">
        <v>4614</v>
      </c>
    </row>
    <row r="560" spans="1:10">
      <c r="A560" t="s">
        <v>771</v>
      </c>
      <c r="B560" s="2">
        <v>43515</v>
      </c>
      <c r="C560">
        <v>2019</v>
      </c>
      <c r="D560" t="s">
        <v>8</v>
      </c>
      <c r="E560" t="s">
        <v>3860</v>
      </c>
      <c r="F560" t="s">
        <v>4675</v>
      </c>
      <c r="G560" t="s">
        <v>4194</v>
      </c>
      <c r="H560" s="16">
        <v>0.19</v>
      </c>
      <c r="I560" t="s">
        <v>4764</v>
      </c>
      <c r="J560" t="s">
        <v>4614</v>
      </c>
    </row>
    <row r="561" spans="1:10">
      <c r="A561" t="s">
        <v>772</v>
      </c>
      <c r="B561" s="2">
        <v>43543</v>
      </c>
      <c r="C561">
        <v>2019</v>
      </c>
      <c r="D561" t="s">
        <v>12</v>
      </c>
      <c r="E561" t="s">
        <v>3870</v>
      </c>
      <c r="F561" t="s">
        <v>4679</v>
      </c>
      <c r="G561" t="s">
        <v>4025</v>
      </c>
      <c r="H561" s="16">
        <v>0.45</v>
      </c>
      <c r="I561" t="s">
        <v>4764</v>
      </c>
      <c r="J561" t="s">
        <v>4614</v>
      </c>
    </row>
    <row r="562" spans="1:10">
      <c r="A562" t="s">
        <v>773</v>
      </c>
      <c r="B562" s="2">
        <v>43551</v>
      </c>
      <c r="C562">
        <v>2019</v>
      </c>
      <c r="D562" t="s">
        <v>33</v>
      </c>
      <c r="E562" t="s">
        <v>3870</v>
      </c>
      <c r="F562" t="s">
        <v>4678</v>
      </c>
      <c r="G562" t="s">
        <v>4195</v>
      </c>
      <c r="H562" s="16">
        <v>0.02</v>
      </c>
      <c r="I562" t="s">
        <v>4764</v>
      </c>
      <c r="J562" t="s">
        <v>4614</v>
      </c>
    </row>
    <row r="563" spans="1:10">
      <c r="A563" t="s">
        <v>774</v>
      </c>
      <c r="B563" s="2">
        <v>43556</v>
      </c>
      <c r="C563">
        <v>2019</v>
      </c>
      <c r="D563" t="s">
        <v>25</v>
      </c>
      <c r="E563" t="s">
        <v>3854</v>
      </c>
      <c r="F563" t="s">
        <v>4677</v>
      </c>
      <c r="G563" t="s">
        <v>4196</v>
      </c>
      <c r="H563" s="16">
        <v>0.1</v>
      </c>
      <c r="I563" t="s">
        <v>4764</v>
      </c>
      <c r="J563" t="s">
        <v>4614</v>
      </c>
    </row>
    <row r="564" spans="1:10">
      <c r="A564" t="s">
        <v>775</v>
      </c>
      <c r="B564" s="2">
        <v>43573</v>
      </c>
      <c r="C564">
        <v>2019</v>
      </c>
      <c r="D564" t="s">
        <v>15</v>
      </c>
      <c r="E564" t="s">
        <v>3832</v>
      </c>
      <c r="F564" t="s">
        <v>4680</v>
      </c>
      <c r="G564" t="s">
        <v>776</v>
      </c>
      <c r="H564" s="16">
        <v>0.43</v>
      </c>
      <c r="I564" t="s">
        <v>4764</v>
      </c>
      <c r="J564" t="s">
        <v>4614</v>
      </c>
    </row>
    <row r="565" spans="1:10">
      <c r="A565" t="s">
        <v>777</v>
      </c>
      <c r="B565" s="2">
        <v>43586</v>
      </c>
      <c r="C565">
        <v>2019</v>
      </c>
      <c r="D565" t="s">
        <v>12</v>
      </c>
      <c r="E565" t="s">
        <v>3836</v>
      </c>
      <c r="F565" t="s">
        <v>4679</v>
      </c>
      <c r="G565" t="s">
        <v>4197</v>
      </c>
      <c r="H565" s="16">
        <v>0.1</v>
      </c>
      <c r="I565" t="s">
        <v>4764</v>
      </c>
      <c r="J565" t="s">
        <v>4614</v>
      </c>
    </row>
    <row r="566" spans="1:10">
      <c r="A566" t="s">
        <v>778</v>
      </c>
      <c r="B566" s="2">
        <v>43587</v>
      </c>
      <c r="C566">
        <v>2019</v>
      </c>
      <c r="D566" t="s">
        <v>25</v>
      </c>
      <c r="E566" t="s">
        <v>34</v>
      </c>
      <c r="F566" t="s">
        <v>4677</v>
      </c>
      <c r="G566" t="s">
        <v>4198</v>
      </c>
      <c r="H566" s="16">
        <v>0.1</v>
      </c>
      <c r="I566" t="s">
        <v>4764</v>
      </c>
      <c r="J566" t="s">
        <v>4614</v>
      </c>
    </row>
    <row r="567" spans="1:10">
      <c r="A567" t="s">
        <v>779</v>
      </c>
      <c r="B567" s="2">
        <v>43593</v>
      </c>
      <c r="C567">
        <v>2019</v>
      </c>
      <c r="D567" t="s">
        <v>8</v>
      </c>
      <c r="E567" t="s">
        <v>376</v>
      </c>
      <c r="F567" t="s">
        <v>4675</v>
      </c>
      <c r="G567" t="s">
        <v>4199</v>
      </c>
      <c r="H567" s="16">
        <v>1.47</v>
      </c>
      <c r="I567" t="s">
        <v>4764</v>
      </c>
      <c r="J567" t="s">
        <v>4614</v>
      </c>
    </row>
    <row r="568" spans="1:10">
      <c r="A568" t="s">
        <v>780</v>
      </c>
      <c r="B568" s="2">
        <v>43593</v>
      </c>
      <c r="C568">
        <v>2019</v>
      </c>
      <c r="D568" t="s">
        <v>12</v>
      </c>
      <c r="E568" t="s">
        <v>29</v>
      </c>
      <c r="F568" t="s">
        <v>4679</v>
      </c>
      <c r="G568" t="s">
        <v>4200</v>
      </c>
      <c r="H568" s="16">
        <v>0.02</v>
      </c>
      <c r="I568" t="s">
        <v>4764</v>
      </c>
      <c r="J568" t="s">
        <v>4614</v>
      </c>
    </row>
    <row r="569" spans="1:10">
      <c r="A569" t="s">
        <v>781</v>
      </c>
      <c r="B569" s="2">
        <v>43595</v>
      </c>
      <c r="C569">
        <v>2019</v>
      </c>
      <c r="D569" t="s">
        <v>12</v>
      </c>
      <c r="E569" t="s">
        <v>47</v>
      </c>
      <c r="F569" t="s">
        <v>4679</v>
      </c>
      <c r="G569" t="s">
        <v>4201</v>
      </c>
      <c r="H569" s="16">
        <v>0.27</v>
      </c>
      <c r="I569" t="s">
        <v>4764</v>
      </c>
      <c r="J569" t="s">
        <v>4614</v>
      </c>
    </row>
    <row r="570" spans="1:10">
      <c r="A570" t="s">
        <v>782</v>
      </c>
      <c r="B570" s="2">
        <v>43595</v>
      </c>
      <c r="C570">
        <v>2019</v>
      </c>
      <c r="D570" t="s">
        <v>21</v>
      </c>
      <c r="E570" t="s">
        <v>3839</v>
      </c>
      <c r="F570" t="s">
        <v>4681</v>
      </c>
      <c r="G570" t="s">
        <v>4202</v>
      </c>
      <c r="H570" s="16">
        <v>0.02</v>
      </c>
      <c r="I570" t="s">
        <v>4764</v>
      </c>
      <c r="J570" t="s">
        <v>4614</v>
      </c>
    </row>
    <row r="571" spans="1:10">
      <c r="A571" t="s">
        <v>783</v>
      </c>
      <c r="B571" s="2">
        <v>43603</v>
      </c>
      <c r="C571">
        <v>2019</v>
      </c>
      <c r="D571" t="s">
        <v>15</v>
      </c>
      <c r="E571" t="s">
        <v>3832</v>
      </c>
      <c r="F571" t="s">
        <v>4680</v>
      </c>
      <c r="G571" t="s">
        <v>784</v>
      </c>
      <c r="H571" s="16">
        <v>0.21</v>
      </c>
      <c r="I571" t="s">
        <v>4764</v>
      </c>
      <c r="J571" t="s">
        <v>4614</v>
      </c>
    </row>
    <row r="572" spans="1:10">
      <c r="A572" t="s">
        <v>785</v>
      </c>
      <c r="B572" s="2">
        <v>43618</v>
      </c>
      <c r="C572">
        <v>2019</v>
      </c>
      <c r="D572" t="s">
        <v>25</v>
      </c>
      <c r="E572" t="s">
        <v>47</v>
      </c>
      <c r="F572" t="s">
        <v>4677</v>
      </c>
      <c r="G572" t="s">
        <v>4203</v>
      </c>
      <c r="H572" s="16">
        <v>0.2</v>
      </c>
      <c r="I572" t="s">
        <v>4764</v>
      </c>
      <c r="J572" t="s">
        <v>4614</v>
      </c>
    </row>
    <row r="573" spans="1:10">
      <c r="A573" t="s">
        <v>786</v>
      </c>
      <c r="B573" s="2">
        <v>43619</v>
      </c>
      <c r="C573">
        <v>2019</v>
      </c>
      <c r="D573" t="s">
        <v>33</v>
      </c>
      <c r="E573" t="s">
        <v>72</v>
      </c>
      <c r="F573" t="s">
        <v>4678</v>
      </c>
      <c r="G573" t="s">
        <v>787</v>
      </c>
      <c r="H573" s="16">
        <v>0.1</v>
      </c>
      <c r="I573" t="s">
        <v>4764</v>
      </c>
      <c r="J573" t="s">
        <v>4614</v>
      </c>
    </row>
    <row r="574" spans="1:10">
      <c r="A574" t="s">
        <v>788</v>
      </c>
      <c r="B574" s="2">
        <v>43621</v>
      </c>
      <c r="C574">
        <v>2019</v>
      </c>
      <c r="D574" t="s">
        <v>12</v>
      </c>
      <c r="E574" t="s">
        <v>3854</v>
      </c>
      <c r="F574" t="s">
        <v>4679</v>
      </c>
      <c r="G574" t="s">
        <v>3865</v>
      </c>
      <c r="H574" s="16">
        <v>0.23</v>
      </c>
      <c r="I574" t="s">
        <v>4764</v>
      </c>
      <c r="J574" t="s">
        <v>4614</v>
      </c>
    </row>
    <row r="575" spans="1:10">
      <c r="A575" t="s">
        <v>789</v>
      </c>
      <c r="B575" s="2">
        <v>43622</v>
      </c>
      <c r="C575">
        <v>2019</v>
      </c>
      <c r="D575" t="s">
        <v>12</v>
      </c>
      <c r="E575" t="s">
        <v>3839</v>
      </c>
      <c r="F575" t="s">
        <v>4679</v>
      </c>
      <c r="G575" t="s">
        <v>4204</v>
      </c>
      <c r="H575" s="16">
        <v>0.08</v>
      </c>
      <c r="I575" t="s">
        <v>4764</v>
      </c>
      <c r="J575" t="s">
        <v>4614</v>
      </c>
    </row>
    <row r="576" spans="1:10">
      <c r="A576" t="s">
        <v>790</v>
      </c>
      <c r="B576" s="2">
        <v>43627</v>
      </c>
      <c r="C576">
        <v>2019</v>
      </c>
      <c r="D576" t="s">
        <v>15</v>
      </c>
      <c r="E576" t="s">
        <v>3832</v>
      </c>
      <c r="F576" t="s">
        <v>4680</v>
      </c>
      <c r="G576" t="s">
        <v>4205</v>
      </c>
      <c r="H576" s="16">
        <v>0.27</v>
      </c>
      <c r="I576" t="s">
        <v>4764</v>
      </c>
      <c r="J576" t="s">
        <v>4614</v>
      </c>
    </row>
    <row r="577" spans="1:10">
      <c r="A577" t="s">
        <v>791</v>
      </c>
      <c r="B577" s="2">
        <v>43632</v>
      </c>
      <c r="C577">
        <v>2019</v>
      </c>
      <c r="D577" t="s">
        <v>8</v>
      </c>
      <c r="E577" t="s">
        <v>17</v>
      </c>
      <c r="F577" t="s">
        <v>4675</v>
      </c>
      <c r="G577" t="s">
        <v>4206</v>
      </c>
      <c r="H577" s="16">
        <v>2.88</v>
      </c>
      <c r="I577" t="s">
        <v>4764</v>
      </c>
      <c r="J577" t="s">
        <v>4614</v>
      </c>
    </row>
    <row r="578" spans="1:10">
      <c r="A578" t="s">
        <v>792</v>
      </c>
      <c r="B578" s="2">
        <v>43633</v>
      </c>
      <c r="C578">
        <v>2019</v>
      </c>
      <c r="D578" t="s">
        <v>8</v>
      </c>
      <c r="E578" t="s">
        <v>3860</v>
      </c>
      <c r="F578" t="s">
        <v>4682</v>
      </c>
      <c r="G578" t="s">
        <v>351</v>
      </c>
      <c r="H578" s="16">
        <v>63</v>
      </c>
      <c r="I578" t="s">
        <v>4763</v>
      </c>
      <c r="J578" t="s">
        <v>4613</v>
      </c>
    </row>
    <row r="579" spans="1:10">
      <c r="A579" t="s">
        <v>793</v>
      </c>
      <c r="B579" s="2">
        <v>43657</v>
      </c>
      <c r="C579">
        <v>2019</v>
      </c>
      <c r="D579" t="s">
        <v>25</v>
      </c>
      <c r="E579" t="s">
        <v>45</v>
      </c>
      <c r="F579" t="s">
        <v>4677</v>
      </c>
      <c r="G579" t="s">
        <v>319</v>
      </c>
      <c r="H579" s="16">
        <v>0.09</v>
      </c>
      <c r="I579" t="s">
        <v>4764</v>
      </c>
      <c r="J579" t="s">
        <v>4614</v>
      </c>
    </row>
    <row r="580" spans="1:10">
      <c r="A580" t="s">
        <v>794</v>
      </c>
      <c r="B580" s="2">
        <v>43657</v>
      </c>
      <c r="C580">
        <v>2019</v>
      </c>
      <c r="D580" t="s">
        <v>25</v>
      </c>
      <c r="E580" t="s">
        <v>3854</v>
      </c>
      <c r="F580" t="s">
        <v>4677</v>
      </c>
      <c r="G580" t="s">
        <v>4207</v>
      </c>
      <c r="H580" s="16">
        <v>0.38</v>
      </c>
      <c r="I580" t="s">
        <v>4764</v>
      </c>
      <c r="J580" t="s">
        <v>4614</v>
      </c>
    </row>
    <row r="581" spans="1:10">
      <c r="A581" t="s">
        <v>795</v>
      </c>
      <c r="B581" s="2">
        <v>43663</v>
      </c>
      <c r="C581">
        <v>2019</v>
      </c>
      <c r="D581" t="s">
        <v>25</v>
      </c>
      <c r="E581" t="s">
        <v>34</v>
      </c>
      <c r="F581" t="s">
        <v>4677</v>
      </c>
      <c r="G581" t="s">
        <v>4208</v>
      </c>
      <c r="H581" s="16">
        <v>0.18</v>
      </c>
      <c r="I581" t="s">
        <v>4764</v>
      </c>
      <c r="J581" t="s">
        <v>4614</v>
      </c>
    </row>
    <row r="582" spans="1:10">
      <c r="A582" t="s">
        <v>796</v>
      </c>
      <c r="B582" s="2">
        <v>43663</v>
      </c>
      <c r="C582">
        <v>2019</v>
      </c>
      <c r="D582" t="s">
        <v>25</v>
      </c>
      <c r="E582" t="s">
        <v>3839</v>
      </c>
      <c r="F582" t="s">
        <v>4677</v>
      </c>
      <c r="G582" t="s">
        <v>4209</v>
      </c>
      <c r="H582" s="16">
        <v>0.12</v>
      </c>
      <c r="I582" t="s">
        <v>4764</v>
      </c>
      <c r="J582" t="s">
        <v>4614</v>
      </c>
    </row>
    <row r="583" spans="1:10">
      <c r="A583" t="s">
        <v>797</v>
      </c>
      <c r="B583" s="2">
        <v>43664</v>
      </c>
      <c r="C583">
        <v>2019</v>
      </c>
      <c r="D583" t="s">
        <v>15</v>
      </c>
      <c r="E583" t="s">
        <v>3832</v>
      </c>
      <c r="F583" t="s">
        <v>4680</v>
      </c>
      <c r="G583" t="s">
        <v>4210</v>
      </c>
      <c r="H583" s="16">
        <v>0.89</v>
      </c>
      <c r="I583" t="s">
        <v>4764</v>
      </c>
      <c r="J583" t="s">
        <v>4614</v>
      </c>
    </row>
    <row r="584" spans="1:10">
      <c r="A584" t="s">
        <v>798</v>
      </c>
      <c r="B584" s="2">
        <v>43668</v>
      </c>
      <c r="C584">
        <v>2019</v>
      </c>
      <c r="D584" t="s">
        <v>12</v>
      </c>
      <c r="E584" t="s">
        <v>34</v>
      </c>
      <c r="F584" t="s">
        <v>4679</v>
      </c>
      <c r="G584" t="s">
        <v>4211</v>
      </c>
      <c r="H584" s="16">
        <v>0.08</v>
      </c>
      <c r="I584" t="s">
        <v>4764</v>
      </c>
      <c r="J584" t="s">
        <v>4614</v>
      </c>
    </row>
    <row r="585" spans="1:10">
      <c r="A585" t="s">
        <v>799</v>
      </c>
      <c r="B585" s="2">
        <v>43679</v>
      </c>
      <c r="C585">
        <v>2019</v>
      </c>
      <c r="D585" t="s">
        <v>21</v>
      </c>
      <c r="E585" t="s">
        <v>3839</v>
      </c>
      <c r="F585" t="s">
        <v>4681</v>
      </c>
      <c r="G585" t="s">
        <v>4212</v>
      </c>
      <c r="H585" s="16">
        <v>0.09</v>
      </c>
      <c r="I585" t="s">
        <v>4764</v>
      </c>
      <c r="J585" t="s">
        <v>4614</v>
      </c>
    </row>
    <row r="586" spans="1:10">
      <c r="A586" t="s">
        <v>800</v>
      </c>
      <c r="B586" s="2">
        <v>43683</v>
      </c>
      <c r="C586">
        <v>2019</v>
      </c>
      <c r="D586" t="s">
        <v>8</v>
      </c>
      <c r="E586" t="s">
        <v>9</v>
      </c>
      <c r="F586" t="s">
        <v>4675</v>
      </c>
      <c r="G586" t="s">
        <v>4213</v>
      </c>
      <c r="H586" s="16">
        <v>3.07</v>
      </c>
      <c r="I586" t="s">
        <v>4764</v>
      </c>
      <c r="J586" t="s">
        <v>4614</v>
      </c>
    </row>
    <row r="587" spans="1:10">
      <c r="A587" t="s">
        <v>801</v>
      </c>
      <c r="B587" s="2">
        <v>43683</v>
      </c>
      <c r="C587">
        <v>2019</v>
      </c>
      <c r="D587" t="s">
        <v>12</v>
      </c>
      <c r="E587" t="s">
        <v>13</v>
      </c>
      <c r="F587" t="s">
        <v>4679</v>
      </c>
      <c r="G587" t="s">
        <v>802</v>
      </c>
      <c r="H587" s="16">
        <v>0.31</v>
      </c>
      <c r="I587" t="s">
        <v>4764</v>
      </c>
      <c r="J587" t="s">
        <v>4614</v>
      </c>
    </row>
    <row r="588" spans="1:10">
      <c r="A588" t="s">
        <v>803</v>
      </c>
      <c r="B588" s="2">
        <v>43684</v>
      </c>
      <c r="C588">
        <v>2019</v>
      </c>
      <c r="D588" t="s">
        <v>8</v>
      </c>
      <c r="E588" t="s">
        <v>23</v>
      </c>
      <c r="F588" t="s">
        <v>4675</v>
      </c>
      <c r="G588" t="s">
        <v>4214</v>
      </c>
      <c r="H588" s="16">
        <v>0.22</v>
      </c>
      <c r="I588" t="s">
        <v>4764</v>
      </c>
      <c r="J588" t="s">
        <v>4614</v>
      </c>
    </row>
    <row r="589" spans="1:10">
      <c r="A589" t="s">
        <v>804</v>
      </c>
      <c r="B589" s="2">
        <v>43686</v>
      </c>
      <c r="C589">
        <v>2019</v>
      </c>
      <c r="D589" t="s">
        <v>12</v>
      </c>
      <c r="E589" t="s">
        <v>3836</v>
      </c>
      <c r="F589" t="s">
        <v>4679</v>
      </c>
      <c r="G589" t="s">
        <v>4215</v>
      </c>
      <c r="H589" s="16">
        <v>0.42</v>
      </c>
      <c r="I589" t="s">
        <v>4764</v>
      </c>
      <c r="J589" t="s">
        <v>4614</v>
      </c>
    </row>
    <row r="590" spans="1:10">
      <c r="A590" t="s">
        <v>805</v>
      </c>
      <c r="B590" s="2">
        <v>43688</v>
      </c>
      <c r="C590">
        <v>2019</v>
      </c>
      <c r="D590" t="s">
        <v>8</v>
      </c>
      <c r="E590" t="s">
        <v>31</v>
      </c>
      <c r="F590" t="s">
        <v>4675</v>
      </c>
      <c r="G590" t="s">
        <v>806</v>
      </c>
      <c r="H590" s="16">
        <v>0.45</v>
      </c>
      <c r="I590" t="s">
        <v>4764</v>
      </c>
      <c r="J590" t="s">
        <v>4614</v>
      </c>
    </row>
    <row r="591" spans="1:10">
      <c r="A591" t="s">
        <v>807</v>
      </c>
      <c r="B591" s="2">
        <v>43689</v>
      </c>
      <c r="C591">
        <v>2019</v>
      </c>
      <c r="D591" t="s">
        <v>25</v>
      </c>
      <c r="E591" t="s">
        <v>3839</v>
      </c>
      <c r="F591" t="s">
        <v>4677</v>
      </c>
      <c r="G591" t="s">
        <v>4216</v>
      </c>
      <c r="H591" s="16">
        <v>0.39</v>
      </c>
      <c r="I591" t="s">
        <v>4764</v>
      </c>
      <c r="J591" t="s">
        <v>4614</v>
      </c>
    </row>
    <row r="592" spans="1:10">
      <c r="A592" t="s">
        <v>808</v>
      </c>
      <c r="B592" s="2">
        <v>43712</v>
      </c>
      <c r="C592">
        <v>2019</v>
      </c>
      <c r="D592" t="s">
        <v>21</v>
      </c>
      <c r="E592" t="s">
        <v>34</v>
      </c>
      <c r="F592" t="s">
        <v>4681</v>
      </c>
      <c r="G592" t="s">
        <v>4217</v>
      </c>
      <c r="H592" s="16">
        <v>0.3</v>
      </c>
      <c r="I592" t="s">
        <v>4764</v>
      </c>
      <c r="J592" t="s">
        <v>4614</v>
      </c>
    </row>
    <row r="593" spans="1:10">
      <c r="A593" t="s">
        <v>809</v>
      </c>
      <c r="B593" s="2">
        <v>43717</v>
      </c>
      <c r="C593">
        <v>2019</v>
      </c>
      <c r="D593" t="s">
        <v>12</v>
      </c>
      <c r="E593" t="s">
        <v>49</v>
      </c>
      <c r="F593" t="s">
        <v>4679</v>
      </c>
      <c r="G593" t="s">
        <v>4218</v>
      </c>
      <c r="H593" s="16">
        <v>0.06</v>
      </c>
      <c r="I593" t="s">
        <v>4764</v>
      </c>
      <c r="J593" t="s">
        <v>4614</v>
      </c>
    </row>
    <row r="594" spans="1:10">
      <c r="A594" t="s">
        <v>810</v>
      </c>
      <c r="B594" s="2">
        <v>43722</v>
      </c>
      <c r="C594">
        <v>2019</v>
      </c>
      <c r="D594" t="s">
        <v>25</v>
      </c>
      <c r="E594" t="s">
        <v>3862</v>
      </c>
      <c r="F594" t="s">
        <v>4677</v>
      </c>
      <c r="G594" t="s">
        <v>4219</v>
      </c>
      <c r="H594" s="16">
        <v>0.11</v>
      </c>
      <c r="I594" t="s">
        <v>4764</v>
      </c>
      <c r="J594" t="s">
        <v>4614</v>
      </c>
    </row>
    <row r="595" spans="1:10">
      <c r="A595" t="s">
        <v>811</v>
      </c>
      <c r="B595" s="2">
        <v>43723</v>
      </c>
      <c r="C595">
        <v>2019</v>
      </c>
      <c r="D595" t="s">
        <v>12</v>
      </c>
      <c r="E595" t="s">
        <v>19</v>
      </c>
      <c r="F595" t="s">
        <v>4679</v>
      </c>
      <c r="G595" t="s">
        <v>812</v>
      </c>
      <c r="H595" s="16">
        <v>0.19</v>
      </c>
      <c r="I595" t="s">
        <v>4764</v>
      </c>
      <c r="J595" t="s">
        <v>4614</v>
      </c>
    </row>
    <row r="596" spans="1:10">
      <c r="A596" t="s">
        <v>813</v>
      </c>
      <c r="B596" s="2">
        <v>43726</v>
      </c>
      <c r="C596">
        <v>2019</v>
      </c>
      <c r="D596" t="s">
        <v>25</v>
      </c>
      <c r="E596" t="s">
        <v>3854</v>
      </c>
      <c r="F596" t="s">
        <v>4677</v>
      </c>
      <c r="G596" t="s">
        <v>814</v>
      </c>
      <c r="H596" s="16">
        <v>0.13</v>
      </c>
      <c r="I596" t="s">
        <v>4764</v>
      </c>
      <c r="J596" t="s">
        <v>4614</v>
      </c>
    </row>
    <row r="597" spans="1:10">
      <c r="A597" t="s">
        <v>815</v>
      </c>
      <c r="B597" s="2">
        <v>43740</v>
      </c>
      <c r="C597">
        <v>2019</v>
      </c>
      <c r="D597" t="s">
        <v>15</v>
      </c>
      <c r="E597" t="s">
        <v>3832</v>
      </c>
      <c r="F597" t="s">
        <v>4680</v>
      </c>
      <c r="G597" t="s">
        <v>4220</v>
      </c>
      <c r="H597" s="16">
        <v>0.24</v>
      </c>
      <c r="I597" t="s">
        <v>4764</v>
      </c>
      <c r="J597" t="s">
        <v>4614</v>
      </c>
    </row>
    <row r="598" spans="1:10">
      <c r="A598" t="s">
        <v>816</v>
      </c>
      <c r="B598" s="2">
        <v>43748</v>
      </c>
      <c r="C598">
        <v>2019</v>
      </c>
      <c r="D598" t="s">
        <v>25</v>
      </c>
      <c r="E598" t="s">
        <v>13</v>
      </c>
      <c r="F598" t="s">
        <v>4677</v>
      </c>
      <c r="G598" t="s">
        <v>817</v>
      </c>
      <c r="H598" s="16">
        <v>0.23</v>
      </c>
      <c r="I598" t="s">
        <v>4764</v>
      </c>
      <c r="J598" t="s">
        <v>4614</v>
      </c>
    </row>
    <row r="599" spans="1:10">
      <c r="A599" t="s">
        <v>818</v>
      </c>
      <c r="B599" s="2">
        <v>43749</v>
      </c>
      <c r="C599">
        <v>2019</v>
      </c>
      <c r="D599" t="s">
        <v>25</v>
      </c>
      <c r="E599" t="s">
        <v>29</v>
      </c>
      <c r="F599" t="s">
        <v>4677</v>
      </c>
      <c r="G599" t="s">
        <v>819</v>
      </c>
      <c r="H599" s="16">
        <v>0.22</v>
      </c>
      <c r="I599" t="s">
        <v>4764</v>
      </c>
      <c r="J599" t="s">
        <v>4614</v>
      </c>
    </row>
    <row r="600" spans="1:10">
      <c r="A600" t="s">
        <v>820</v>
      </c>
      <c r="B600" s="2">
        <v>43752</v>
      </c>
      <c r="C600">
        <v>2019</v>
      </c>
      <c r="D600" t="s">
        <v>12</v>
      </c>
      <c r="E600" t="s">
        <v>13</v>
      </c>
      <c r="F600" t="s">
        <v>4679</v>
      </c>
      <c r="G600" t="s">
        <v>4221</v>
      </c>
      <c r="H600" s="16">
        <v>0.56000000000000005</v>
      </c>
      <c r="I600" t="s">
        <v>4764</v>
      </c>
      <c r="J600" t="s">
        <v>4614</v>
      </c>
    </row>
    <row r="601" spans="1:10">
      <c r="A601" t="s">
        <v>821</v>
      </c>
      <c r="B601" s="2">
        <v>43753</v>
      </c>
      <c r="C601">
        <v>2019</v>
      </c>
      <c r="D601" t="s">
        <v>8</v>
      </c>
      <c r="E601" t="s">
        <v>215</v>
      </c>
      <c r="F601" t="s">
        <v>4675</v>
      </c>
      <c r="G601" t="s">
        <v>822</v>
      </c>
      <c r="H601" s="16">
        <v>15.54</v>
      </c>
      <c r="I601" t="s">
        <v>4763</v>
      </c>
      <c r="J601" t="s">
        <v>4614</v>
      </c>
    </row>
    <row r="602" spans="1:10">
      <c r="A602" t="s">
        <v>823</v>
      </c>
      <c r="B602" s="2">
        <v>43754</v>
      </c>
      <c r="C602">
        <v>2019</v>
      </c>
      <c r="D602" t="s">
        <v>25</v>
      </c>
      <c r="E602" t="s">
        <v>13</v>
      </c>
      <c r="F602" t="s">
        <v>4677</v>
      </c>
      <c r="G602" t="s">
        <v>4222</v>
      </c>
      <c r="H602" s="16">
        <v>0.01</v>
      </c>
      <c r="I602" t="s">
        <v>4764</v>
      </c>
      <c r="J602" t="s">
        <v>4614</v>
      </c>
    </row>
    <row r="603" spans="1:10">
      <c r="A603" t="s">
        <v>824</v>
      </c>
      <c r="B603" s="2">
        <v>43754</v>
      </c>
      <c r="C603">
        <v>2019</v>
      </c>
      <c r="D603" t="s">
        <v>15</v>
      </c>
      <c r="E603" t="s">
        <v>3832</v>
      </c>
      <c r="F603" t="s">
        <v>4680</v>
      </c>
      <c r="G603" t="s">
        <v>4223</v>
      </c>
      <c r="H603" s="16">
        <v>0.87</v>
      </c>
      <c r="I603" t="s">
        <v>4764</v>
      </c>
      <c r="J603" t="s">
        <v>4614</v>
      </c>
    </row>
    <row r="604" spans="1:10">
      <c r="A604" t="s">
        <v>825</v>
      </c>
      <c r="B604" s="2">
        <v>43758</v>
      </c>
      <c r="C604">
        <v>2019</v>
      </c>
      <c r="D604" t="s">
        <v>25</v>
      </c>
      <c r="E604" t="s">
        <v>3854</v>
      </c>
      <c r="F604" t="s">
        <v>4677</v>
      </c>
      <c r="G604" t="s">
        <v>4224</v>
      </c>
      <c r="H604" s="16">
        <v>0.2</v>
      </c>
      <c r="I604" t="s">
        <v>4764</v>
      </c>
      <c r="J604" t="s">
        <v>4614</v>
      </c>
    </row>
    <row r="605" spans="1:10">
      <c r="A605" t="s">
        <v>826</v>
      </c>
      <c r="B605" s="2">
        <v>43761</v>
      </c>
      <c r="C605">
        <v>2019</v>
      </c>
      <c r="D605" t="s">
        <v>21</v>
      </c>
      <c r="E605" t="s">
        <v>3836</v>
      </c>
      <c r="F605" t="s">
        <v>4681</v>
      </c>
      <c r="G605" t="s">
        <v>827</v>
      </c>
      <c r="H605" s="16">
        <v>0.19</v>
      </c>
      <c r="I605" t="s">
        <v>4764</v>
      </c>
      <c r="J605" t="s">
        <v>4614</v>
      </c>
    </row>
    <row r="606" spans="1:10">
      <c r="A606" t="s">
        <v>828</v>
      </c>
      <c r="B606" s="2">
        <v>43772</v>
      </c>
      <c r="C606">
        <v>2019</v>
      </c>
      <c r="D606" t="s">
        <v>12</v>
      </c>
      <c r="E606" t="s">
        <v>3836</v>
      </c>
      <c r="F606" t="s">
        <v>4679</v>
      </c>
      <c r="G606" t="s">
        <v>829</v>
      </c>
      <c r="H606" s="16">
        <v>0.32</v>
      </c>
      <c r="I606" t="s">
        <v>4764</v>
      </c>
      <c r="J606" t="s">
        <v>4614</v>
      </c>
    </row>
    <row r="607" spans="1:10">
      <c r="A607" t="s">
        <v>830</v>
      </c>
      <c r="B607" s="2">
        <v>43773</v>
      </c>
      <c r="C607">
        <v>2019</v>
      </c>
      <c r="D607" t="s">
        <v>25</v>
      </c>
      <c r="E607" t="s">
        <v>47</v>
      </c>
      <c r="F607" t="s">
        <v>4677</v>
      </c>
      <c r="G607" t="s">
        <v>3838</v>
      </c>
      <c r="H607" s="16">
        <v>0.25</v>
      </c>
      <c r="I607" t="s">
        <v>4764</v>
      </c>
      <c r="J607" t="s">
        <v>4614</v>
      </c>
    </row>
    <row r="608" spans="1:10">
      <c r="A608" t="s">
        <v>831</v>
      </c>
      <c r="B608" s="2">
        <v>43781</v>
      </c>
      <c r="C608">
        <v>2019</v>
      </c>
      <c r="D608" t="s">
        <v>25</v>
      </c>
      <c r="E608" t="s">
        <v>3854</v>
      </c>
      <c r="F608" t="s">
        <v>4677</v>
      </c>
      <c r="G608" t="s">
        <v>4225</v>
      </c>
      <c r="H608" s="16">
        <v>0.26</v>
      </c>
      <c r="I608" t="s">
        <v>4764</v>
      </c>
      <c r="J608" t="s">
        <v>4614</v>
      </c>
    </row>
    <row r="609" spans="1:10">
      <c r="A609" t="s">
        <v>832</v>
      </c>
      <c r="B609" s="2">
        <v>43783</v>
      </c>
      <c r="C609">
        <v>2019</v>
      </c>
      <c r="D609" t="s">
        <v>25</v>
      </c>
      <c r="E609" t="s">
        <v>3839</v>
      </c>
      <c r="F609" t="s">
        <v>4677</v>
      </c>
      <c r="G609" t="s">
        <v>4226</v>
      </c>
      <c r="H609" s="16">
        <v>0.2</v>
      </c>
      <c r="I609" t="s">
        <v>4764</v>
      </c>
      <c r="J609" t="s">
        <v>4614</v>
      </c>
    </row>
    <row r="610" spans="1:10">
      <c r="A610" t="s">
        <v>833</v>
      </c>
      <c r="B610" s="2">
        <v>43786</v>
      </c>
      <c r="C610">
        <v>2019</v>
      </c>
      <c r="D610" t="s">
        <v>15</v>
      </c>
      <c r="E610" t="s">
        <v>3832</v>
      </c>
      <c r="F610" t="s">
        <v>4680</v>
      </c>
      <c r="G610" t="s">
        <v>4227</v>
      </c>
      <c r="H610" s="16">
        <v>0.19</v>
      </c>
      <c r="I610" t="s">
        <v>4764</v>
      </c>
      <c r="J610" t="s">
        <v>4614</v>
      </c>
    </row>
    <row r="611" spans="1:10">
      <c r="A611" t="s">
        <v>834</v>
      </c>
      <c r="B611" s="2">
        <v>43786</v>
      </c>
      <c r="C611">
        <v>2019</v>
      </c>
      <c r="D611" t="s">
        <v>25</v>
      </c>
      <c r="E611" t="s">
        <v>3854</v>
      </c>
      <c r="F611" t="s">
        <v>4677</v>
      </c>
      <c r="G611" t="s">
        <v>835</v>
      </c>
      <c r="H611" s="16">
        <v>0.65</v>
      </c>
      <c r="I611" t="s">
        <v>4764</v>
      </c>
      <c r="J611" t="s">
        <v>4614</v>
      </c>
    </row>
    <row r="612" spans="1:10">
      <c r="A612" t="s">
        <v>836</v>
      </c>
      <c r="B612" s="2">
        <v>43802</v>
      </c>
      <c r="C612">
        <v>2019</v>
      </c>
      <c r="D612" t="s">
        <v>12</v>
      </c>
      <c r="E612" t="s">
        <v>34</v>
      </c>
      <c r="F612" t="s">
        <v>4679</v>
      </c>
      <c r="G612" t="s">
        <v>4228</v>
      </c>
      <c r="H612" s="16">
        <v>0.02</v>
      </c>
      <c r="I612" t="s">
        <v>4764</v>
      </c>
      <c r="J612" t="s">
        <v>4614</v>
      </c>
    </row>
    <row r="613" spans="1:10">
      <c r="A613" t="s">
        <v>837</v>
      </c>
      <c r="B613" s="2">
        <v>43804</v>
      </c>
      <c r="C613">
        <v>2019</v>
      </c>
      <c r="D613" t="s">
        <v>25</v>
      </c>
      <c r="E613" t="s">
        <v>3870</v>
      </c>
      <c r="F613" t="s">
        <v>4677</v>
      </c>
      <c r="G613" t="s">
        <v>4229</v>
      </c>
      <c r="H613" s="16">
        <v>0.05</v>
      </c>
      <c r="I613" t="s">
        <v>4764</v>
      </c>
      <c r="J613" t="s">
        <v>4614</v>
      </c>
    </row>
    <row r="614" spans="1:10">
      <c r="A614" t="s">
        <v>838</v>
      </c>
      <c r="B614" s="2">
        <v>43805</v>
      </c>
      <c r="C614">
        <v>2019</v>
      </c>
      <c r="D614" t="s">
        <v>33</v>
      </c>
      <c r="E614" t="s">
        <v>49</v>
      </c>
      <c r="F614" t="s">
        <v>4678</v>
      </c>
      <c r="G614" t="s">
        <v>4230</v>
      </c>
      <c r="H614" s="16">
        <v>0.35</v>
      </c>
      <c r="I614" t="s">
        <v>4764</v>
      </c>
      <c r="J614" t="s">
        <v>4614</v>
      </c>
    </row>
    <row r="615" spans="1:10">
      <c r="A615" t="s">
        <v>839</v>
      </c>
      <c r="B615" s="2">
        <v>43807</v>
      </c>
      <c r="C615">
        <v>2019</v>
      </c>
      <c r="D615" t="s">
        <v>8</v>
      </c>
      <c r="E615" t="s">
        <v>3903</v>
      </c>
      <c r="F615" t="s">
        <v>4675</v>
      </c>
      <c r="G615" t="s">
        <v>4231</v>
      </c>
      <c r="H615" s="16">
        <v>50</v>
      </c>
      <c r="I615" t="s">
        <v>4763</v>
      </c>
      <c r="J615" t="s">
        <v>4614</v>
      </c>
    </row>
    <row r="616" spans="1:10">
      <c r="A616" t="s">
        <v>840</v>
      </c>
      <c r="B616" s="2">
        <v>43807</v>
      </c>
      <c r="C616">
        <v>2019</v>
      </c>
      <c r="D616" t="s">
        <v>25</v>
      </c>
      <c r="E616" t="s">
        <v>29</v>
      </c>
      <c r="F616" t="s">
        <v>4677</v>
      </c>
      <c r="G616" t="s">
        <v>841</v>
      </c>
      <c r="H616" s="16">
        <v>0.09</v>
      </c>
      <c r="I616" t="s">
        <v>4764</v>
      </c>
      <c r="J616" t="s">
        <v>4614</v>
      </c>
    </row>
    <row r="617" spans="1:10">
      <c r="A617" t="s">
        <v>842</v>
      </c>
      <c r="B617" s="2">
        <v>43812</v>
      </c>
      <c r="C617">
        <v>2019</v>
      </c>
      <c r="D617" t="s">
        <v>12</v>
      </c>
      <c r="E617" t="s">
        <v>47</v>
      </c>
      <c r="F617" t="s">
        <v>4679</v>
      </c>
      <c r="G617" t="s">
        <v>4232</v>
      </c>
      <c r="H617" s="16">
        <v>0.22</v>
      </c>
      <c r="I617" t="s">
        <v>4764</v>
      </c>
      <c r="J617" t="s">
        <v>4614</v>
      </c>
    </row>
    <row r="618" spans="1:10">
      <c r="A618" t="s">
        <v>843</v>
      </c>
      <c r="B618" s="2">
        <v>43812</v>
      </c>
      <c r="C618">
        <v>2019</v>
      </c>
      <c r="D618" t="s">
        <v>8</v>
      </c>
      <c r="E618" t="s">
        <v>3903</v>
      </c>
      <c r="F618" t="s">
        <v>4675</v>
      </c>
      <c r="G618" t="s">
        <v>4233</v>
      </c>
      <c r="H618" s="16">
        <v>10.24</v>
      </c>
      <c r="I618" t="s">
        <v>4763</v>
      </c>
      <c r="J618" t="s">
        <v>4614</v>
      </c>
    </row>
    <row r="619" spans="1:10">
      <c r="A619" t="s">
        <v>844</v>
      </c>
      <c r="B619" s="2">
        <v>43812</v>
      </c>
      <c r="C619">
        <v>2019</v>
      </c>
      <c r="D619" t="s">
        <v>8</v>
      </c>
      <c r="E619" t="s">
        <v>23</v>
      </c>
      <c r="F619" t="s">
        <v>4675</v>
      </c>
      <c r="G619" t="s">
        <v>4234</v>
      </c>
      <c r="H619" s="16">
        <v>42.88</v>
      </c>
      <c r="I619" t="s">
        <v>4763</v>
      </c>
      <c r="J619" t="s">
        <v>4614</v>
      </c>
    </row>
    <row r="620" spans="1:10">
      <c r="A620" t="s">
        <v>845</v>
      </c>
      <c r="B620" s="2">
        <v>43815</v>
      </c>
      <c r="C620">
        <v>2019</v>
      </c>
      <c r="D620" t="s">
        <v>25</v>
      </c>
      <c r="E620" t="s">
        <v>72</v>
      </c>
      <c r="F620" t="s">
        <v>4677</v>
      </c>
      <c r="G620" t="s">
        <v>4235</v>
      </c>
      <c r="H620" s="16">
        <v>0.17</v>
      </c>
      <c r="I620" t="s">
        <v>4764</v>
      </c>
      <c r="J620" t="s">
        <v>4614</v>
      </c>
    </row>
    <row r="621" spans="1:10">
      <c r="A621" t="s">
        <v>846</v>
      </c>
      <c r="B621" s="2">
        <v>43821</v>
      </c>
      <c r="C621">
        <v>2019</v>
      </c>
      <c r="D621" t="s">
        <v>12</v>
      </c>
      <c r="E621" t="s">
        <v>3862</v>
      </c>
      <c r="F621" t="s">
        <v>4679</v>
      </c>
      <c r="G621" t="s">
        <v>847</v>
      </c>
      <c r="H621" s="16">
        <v>1.61</v>
      </c>
      <c r="I621" t="s">
        <v>4764</v>
      </c>
      <c r="J621" t="s">
        <v>4614</v>
      </c>
    </row>
    <row r="622" spans="1:10">
      <c r="A622" t="s">
        <v>848</v>
      </c>
      <c r="B622" s="2">
        <v>43837</v>
      </c>
      <c r="C622">
        <v>2020</v>
      </c>
      <c r="D622" t="s">
        <v>25</v>
      </c>
      <c r="E622" t="s">
        <v>3854</v>
      </c>
      <c r="F622" t="s">
        <v>4683</v>
      </c>
      <c r="G622" t="s">
        <v>849</v>
      </c>
      <c r="H622" s="16">
        <v>0.88</v>
      </c>
      <c r="I622" t="s">
        <v>4764</v>
      </c>
      <c r="J622" t="s">
        <v>4614</v>
      </c>
    </row>
    <row r="623" spans="1:10">
      <c r="A623" t="s">
        <v>850</v>
      </c>
      <c r="B623" s="2">
        <v>43837</v>
      </c>
      <c r="C623">
        <v>2020</v>
      </c>
      <c r="D623" t="s">
        <v>21</v>
      </c>
      <c r="E623" t="s">
        <v>3836</v>
      </c>
      <c r="F623" t="s">
        <v>4684</v>
      </c>
      <c r="G623" t="s">
        <v>4236</v>
      </c>
      <c r="H623" s="16">
        <v>0.03</v>
      </c>
      <c r="I623" t="s">
        <v>4764</v>
      </c>
      <c r="J623" t="s">
        <v>4614</v>
      </c>
    </row>
    <row r="624" spans="1:10">
      <c r="A624" t="s">
        <v>851</v>
      </c>
      <c r="B624" s="2">
        <v>43840</v>
      </c>
      <c r="C624">
        <v>2020</v>
      </c>
      <c r="D624" t="s">
        <v>12</v>
      </c>
      <c r="E624" t="s">
        <v>29</v>
      </c>
      <c r="F624" t="s">
        <v>4685</v>
      </c>
      <c r="G624" t="s">
        <v>4237</v>
      </c>
      <c r="H624" s="16">
        <v>0.18</v>
      </c>
      <c r="I624" t="s">
        <v>4764</v>
      </c>
      <c r="J624" t="s">
        <v>4614</v>
      </c>
    </row>
    <row r="625" spans="1:10">
      <c r="A625" t="s">
        <v>852</v>
      </c>
      <c r="B625" s="2">
        <v>43840</v>
      </c>
      <c r="C625">
        <v>2020</v>
      </c>
      <c r="D625" t="s">
        <v>21</v>
      </c>
      <c r="E625" t="s">
        <v>45</v>
      </c>
      <c r="F625" t="s">
        <v>4684</v>
      </c>
      <c r="G625" t="s">
        <v>4238</v>
      </c>
      <c r="H625" s="16">
        <v>0.7</v>
      </c>
      <c r="I625" t="s">
        <v>4764</v>
      </c>
      <c r="J625" t="s">
        <v>4614</v>
      </c>
    </row>
    <row r="626" spans="1:10">
      <c r="A626" t="s">
        <v>853</v>
      </c>
      <c r="B626" s="2">
        <v>43846</v>
      </c>
      <c r="C626">
        <v>2020</v>
      </c>
      <c r="D626" t="s">
        <v>8</v>
      </c>
      <c r="E626" t="s">
        <v>3860</v>
      </c>
      <c r="F626" t="s">
        <v>4686</v>
      </c>
      <c r="G626" t="s">
        <v>4187</v>
      </c>
      <c r="H626" s="16">
        <v>9.8000000000000007</v>
      </c>
      <c r="I626" t="s">
        <v>4764</v>
      </c>
      <c r="J626" t="s">
        <v>4614</v>
      </c>
    </row>
    <row r="627" spans="1:10">
      <c r="A627" t="s">
        <v>854</v>
      </c>
      <c r="B627" s="2">
        <v>43847</v>
      </c>
      <c r="C627">
        <v>2020</v>
      </c>
      <c r="D627" t="s">
        <v>12</v>
      </c>
      <c r="E627" t="s">
        <v>13</v>
      </c>
      <c r="F627" t="s">
        <v>4685</v>
      </c>
      <c r="G627" t="s">
        <v>4239</v>
      </c>
      <c r="H627" s="16">
        <v>0.19</v>
      </c>
      <c r="I627" t="s">
        <v>4764</v>
      </c>
      <c r="J627" t="s">
        <v>4614</v>
      </c>
    </row>
    <row r="628" spans="1:10">
      <c r="A628" t="s">
        <v>855</v>
      </c>
      <c r="B628" s="2">
        <v>43847</v>
      </c>
      <c r="C628">
        <v>2020</v>
      </c>
      <c r="D628" t="s">
        <v>33</v>
      </c>
      <c r="E628" t="s">
        <v>72</v>
      </c>
      <c r="F628" t="s">
        <v>4687</v>
      </c>
      <c r="G628" t="s">
        <v>4240</v>
      </c>
      <c r="H628" s="16">
        <v>0.24</v>
      </c>
      <c r="I628" t="s">
        <v>4764</v>
      </c>
      <c r="J628" t="s">
        <v>4614</v>
      </c>
    </row>
    <row r="629" spans="1:10">
      <c r="A629" t="s">
        <v>856</v>
      </c>
      <c r="B629" s="2">
        <v>43848</v>
      </c>
      <c r="C629">
        <v>2020</v>
      </c>
      <c r="D629" t="s">
        <v>25</v>
      </c>
      <c r="E629" t="s">
        <v>34</v>
      </c>
      <c r="F629" t="s">
        <v>4683</v>
      </c>
      <c r="G629" t="s">
        <v>73</v>
      </c>
      <c r="H629" s="16">
        <v>7.0000000000000007E-2</v>
      </c>
      <c r="I629" t="s">
        <v>4764</v>
      </c>
      <c r="J629" t="s">
        <v>4614</v>
      </c>
    </row>
    <row r="630" spans="1:10">
      <c r="A630" t="s">
        <v>857</v>
      </c>
      <c r="B630" s="2">
        <v>43849</v>
      </c>
      <c r="C630">
        <v>2020</v>
      </c>
      <c r="D630" t="s">
        <v>25</v>
      </c>
      <c r="E630" t="s">
        <v>45</v>
      </c>
      <c r="F630" t="s">
        <v>4683</v>
      </c>
      <c r="G630" t="s">
        <v>4241</v>
      </c>
      <c r="H630" s="16">
        <v>0.14000000000000001</v>
      </c>
      <c r="I630" t="s">
        <v>4764</v>
      </c>
      <c r="J630" t="s">
        <v>4614</v>
      </c>
    </row>
    <row r="631" spans="1:10">
      <c r="A631" t="s">
        <v>858</v>
      </c>
      <c r="B631" s="2">
        <v>43851</v>
      </c>
      <c r="C631">
        <v>2020</v>
      </c>
      <c r="D631" t="s">
        <v>12</v>
      </c>
      <c r="E631" t="s">
        <v>3836</v>
      </c>
      <c r="F631" t="s">
        <v>4685</v>
      </c>
      <c r="G631" t="s">
        <v>4242</v>
      </c>
      <c r="H631" s="16">
        <v>0.46</v>
      </c>
      <c r="I631" t="s">
        <v>4764</v>
      </c>
      <c r="J631" t="s">
        <v>4614</v>
      </c>
    </row>
    <row r="632" spans="1:10">
      <c r="A632" t="s">
        <v>859</v>
      </c>
      <c r="B632" s="2">
        <v>43851</v>
      </c>
      <c r="C632">
        <v>2020</v>
      </c>
      <c r="D632" t="s">
        <v>12</v>
      </c>
      <c r="E632" t="s">
        <v>3862</v>
      </c>
      <c r="F632" t="s">
        <v>4685</v>
      </c>
      <c r="G632" t="s">
        <v>4094</v>
      </c>
      <c r="H632" s="16">
        <v>0.06</v>
      </c>
      <c r="I632" t="s">
        <v>4764</v>
      </c>
      <c r="J632" t="s">
        <v>4614</v>
      </c>
    </row>
    <row r="633" spans="1:10">
      <c r="A633" t="s">
        <v>860</v>
      </c>
      <c r="B633" s="2">
        <v>43852</v>
      </c>
      <c r="C633">
        <v>2020</v>
      </c>
      <c r="D633" t="s">
        <v>33</v>
      </c>
      <c r="E633" t="s">
        <v>3836</v>
      </c>
      <c r="F633" t="s">
        <v>4687</v>
      </c>
      <c r="G633" t="s">
        <v>4243</v>
      </c>
      <c r="H633" s="16">
        <v>0.41</v>
      </c>
      <c r="I633" t="s">
        <v>4764</v>
      </c>
      <c r="J633" t="s">
        <v>4614</v>
      </c>
    </row>
    <row r="634" spans="1:10">
      <c r="A634" t="s">
        <v>861</v>
      </c>
      <c r="B634" s="2">
        <v>43855</v>
      </c>
      <c r="C634">
        <v>2020</v>
      </c>
      <c r="D634" t="s">
        <v>33</v>
      </c>
      <c r="E634" t="s">
        <v>45</v>
      </c>
      <c r="F634" t="s">
        <v>4687</v>
      </c>
      <c r="G634" t="s">
        <v>4244</v>
      </c>
      <c r="H634" s="16">
        <v>0.34</v>
      </c>
      <c r="I634" t="s">
        <v>4764</v>
      </c>
      <c r="J634" t="s">
        <v>4614</v>
      </c>
    </row>
    <row r="635" spans="1:10">
      <c r="A635" t="s">
        <v>862</v>
      </c>
      <c r="B635" s="2">
        <v>43856</v>
      </c>
      <c r="C635">
        <v>2020</v>
      </c>
      <c r="D635" t="s">
        <v>8</v>
      </c>
      <c r="E635" t="s">
        <v>130</v>
      </c>
      <c r="F635" t="s">
        <v>4686</v>
      </c>
      <c r="G635" t="s">
        <v>4245</v>
      </c>
      <c r="H635" s="16">
        <v>0.3</v>
      </c>
      <c r="I635" t="s">
        <v>4764</v>
      </c>
      <c r="J635" t="s">
        <v>4614</v>
      </c>
    </row>
    <row r="636" spans="1:10">
      <c r="A636" t="s">
        <v>863</v>
      </c>
      <c r="B636" s="2">
        <v>43865</v>
      </c>
      <c r="C636">
        <v>2020</v>
      </c>
      <c r="D636" t="s">
        <v>12</v>
      </c>
      <c r="E636" t="s">
        <v>34</v>
      </c>
      <c r="F636" t="s">
        <v>4685</v>
      </c>
      <c r="G636" t="s">
        <v>4246</v>
      </c>
      <c r="H636" s="16">
        <v>0.66</v>
      </c>
      <c r="I636" t="s">
        <v>4764</v>
      </c>
      <c r="J636" t="s">
        <v>4614</v>
      </c>
    </row>
    <row r="637" spans="1:10">
      <c r="A637" t="s">
        <v>864</v>
      </c>
      <c r="B637" s="2">
        <v>43865</v>
      </c>
      <c r="C637">
        <v>2020</v>
      </c>
      <c r="D637" t="s">
        <v>12</v>
      </c>
      <c r="E637" t="s">
        <v>29</v>
      </c>
      <c r="F637" t="s">
        <v>4685</v>
      </c>
      <c r="G637" t="s">
        <v>865</v>
      </c>
      <c r="H637" s="16">
        <v>0.24</v>
      </c>
      <c r="I637" t="s">
        <v>4764</v>
      </c>
      <c r="J637" t="s">
        <v>4614</v>
      </c>
    </row>
    <row r="638" spans="1:10">
      <c r="A638" t="s">
        <v>866</v>
      </c>
      <c r="B638" s="2">
        <v>43868</v>
      </c>
      <c r="C638">
        <v>2020</v>
      </c>
      <c r="D638" t="s">
        <v>8</v>
      </c>
      <c r="E638" t="s">
        <v>130</v>
      </c>
      <c r="F638" t="s">
        <v>4686</v>
      </c>
      <c r="G638" t="s">
        <v>4247</v>
      </c>
      <c r="H638" s="16">
        <v>0.47</v>
      </c>
      <c r="I638" t="s">
        <v>4764</v>
      </c>
      <c r="J638" t="s">
        <v>4614</v>
      </c>
    </row>
    <row r="639" spans="1:10">
      <c r="A639" t="s">
        <v>867</v>
      </c>
      <c r="B639" s="2">
        <v>43869</v>
      </c>
      <c r="C639">
        <v>2020</v>
      </c>
      <c r="D639" t="s">
        <v>25</v>
      </c>
      <c r="E639" t="s">
        <v>13</v>
      </c>
      <c r="F639" t="s">
        <v>4683</v>
      </c>
      <c r="G639" t="s">
        <v>4248</v>
      </c>
      <c r="H639" s="16">
        <v>0.35</v>
      </c>
      <c r="I639" t="s">
        <v>4764</v>
      </c>
      <c r="J639" t="s">
        <v>4614</v>
      </c>
    </row>
    <row r="640" spans="1:10">
      <c r="A640" t="s">
        <v>868</v>
      </c>
      <c r="B640" s="2">
        <v>43870</v>
      </c>
      <c r="C640">
        <v>2020</v>
      </c>
      <c r="D640" t="s">
        <v>8</v>
      </c>
      <c r="E640" t="s">
        <v>215</v>
      </c>
      <c r="F640" t="s">
        <v>4686</v>
      </c>
      <c r="G640" t="s">
        <v>869</v>
      </c>
      <c r="H640" s="16">
        <v>0.99</v>
      </c>
      <c r="I640" t="s">
        <v>4764</v>
      </c>
      <c r="J640" t="s">
        <v>4614</v>
      </c>
    </row>
    <row r="641" spans="1:10">
      <c r="A641" t="s">
        <v>870</v>
      </c>
      <c r="B641" s="2">
        <v>43876</v>
      </c>
      <c r="C641">
        <v>2020</v>
      </c>
      <c r="D641" t="s">
        <v>8</v>
      </c>
      <c r="E641" t="s">
        <v>31</v>
      </c>
      <c r="F641" t="s">
        <v>4686</v>
      </c>
      <c r="G641" t="s">
        <v>4249</v>
      </c>
      <c r="H641" s="16">
        <v>0.36</v>
      </c>
      <c r="I641" t="s">
        <v>4764</v>
      </c>
      <c r="J641" t="s">
        <v>4614</v>
      </c>
    </row>
    <row r="642" spans="1:10">
      <c r="A642" t="s">
        <v>871</v>
      </c>
      <c r="B642" s="2">
        <v>43877</v>
      </c>
      <c r="C642">
        <v>2020</v>
      </c>
      <c r="D642" t="s">
        <v>12</v>
      </c>
      <c r="E642" t="s">
        <v>34</v>
      </c>
      <c r="F642" t="s">
        <v>4685</v>
      </c>
      <c r="G642" t="s">
        <v>4037</v>
      </c>
      <c r="H642" s="16">
        <v>0.23</v>
      </c>
      <c r="I642" t="s">
        <v>4764</v>
      </c>
      <c r="J642" t="s">
        <v>4614</v>
      </c>
    </row>
    <row r="643" spans="1:10">
      <c r="A643" t="s">
        <v>872</v>
      </c>
      <c r="B643" s="2">
        <v>43884</v>
      </c>
      <c r="C643">
        <v>2020</v>
      </c>
      <c r="D643" t="s">
        <v>33</v>
      </c>
      <c r="E643" t="s">
        <v>47</v>
      </c>
      <c r="F643" t="s">
        <v>4687</v>
      </c>
      <c r="G643" t="s">
        <v>873</v>
      </c>
      <c r="H643" s="16">
        <v>0.18</v>
      </c>
      <c r="I643" t="s">
        <v>4764</v>
      </c>
      <c r="J643" t="s">
        <v>4614</v>
      </c>
    </row>
    <row r="644" spans="1:10">
      <c r="A644" t="s">
        <v>874</v>
      </c>
      <c r="B644" s="2">
        <v>43886</v>
      </c>
      <c r="C644">
        <v>2020</v>
      </c>
      <c r="D644" t="s">
        <v>8</v>
      </c>
      <c r="E644" t="s">
        <v>31</v>
      </c>
      <c r="F644" t="s">
        <v>4686</v>
      </c>
      <c r="G644" t="s">
        <v>4250</v>
      </c>
      <c r="H644" s="16">
        <v>4.84</v>
      </c>
      <c r="I644" t="s">
        <v>4764</v>
      </c>
      <c r="J644" t="s">
        <v>4614</v>
      </c>
    </row>
    <row r="645" spans="1:10">
      <c r="A645" t="s">
        <v>875</v>
      </c>
      <c r="B645" s="2">
        <v>43905</v>
      </c>
      <c r="C645">
        <v>2020</v>
      </c>
      <c r="D645" t="s">
        <v>12</v>
      </c>
      <c r="E645" t="s">
        <v>3862</v>
      </c>
      <c r="F645" t="s">
        <v>4685</v>
      </c>
      <c r="G645" t="s">
        <v>4251</v>
      </c>
      <c r="H645" s="16">
        <v>0.17</v>
      </c>
      <c r="I645" t="s">
        <v>4764</v>
      </c>
      <c r="J645" t="s">
        <v>4614</v>
      </c>
    </row>
    <row r="646" spans="1:10">
      <c r="A646" t="s">
        <v>876</v>
      </c>
      <c r="B646" s="2">
        <v>43909</v>
      </c>
      <c r="C646">
        <v>2020</v>
      </c>
      <c r="D646" t="s">
        <v>15</v>
      </c>
      <c r="E646" t="s">
        <v>3832</v>
      </c>
      <c r="F646" t="s">
        <v>4688</v>
      </c>
      <c r="G646" t="s">
        <v>4252</v>
      </c>
      <c r="H646" s="16">
        <v>0.49</v>
      </c>
      <c r="I646" t="s">
        <v>4764</v>
      </c>
      <c r="J646" t="s">
        <v>4614</v>
      </c>
    </row>
    <row r="647" spans="1:10">
      <c r="A647" t="s">
        <v>877</v>
      </c>
      <c r="B647" s="2">
        <v>43910</v>
      </c>
      <c r="C647">
        <v>2020</v>
      </c>
      <c r="D647" t="s">
        <v>33</v>
      </c>
      <c r="E647" t="s">
        <v>3839</v>
      </c>
      <c r="F647" t="s">
        <v>4687</v>
      </c>
      <c r="G647" t="s">
        <v>4096</v>
      </c>
      <c r="H647" s="16">
        <v>0.59</v>
      </c>
      <c r="I647" t="s">
        <v>4764</v>
      </c>
      <c r="J647" t="s">
        <v>4614</v>
      </c>
    </row>
    <row r="648" spans="1:10">
      <c r="A648" t="s">
        <v>878</v>
      </c>
      <c r="B648" s="2">
        <v>43922</v>
      </c>
      <c r="C648">
        <v>2020</v>
      </c>
      <c r="D648" t="s">
        <v>25</v>
      </c>
      <c r="E648" t="s">
        <v>72</v>
      </c>
      <c r="F648" t="s">
        <v>4683</v>
      </c>
      <c r="G648" t="s">
        <v>4253</v>
      </c>
      <c r="H648" s="16">
        <v>0.33</v>
      </c>
      <c r="I648" t="s">
        <v>4764</v>
      </c>
      <c r="J648" t="s">
        <v>4614</v>
      </c>
    </row>
    <row r="649" spans="1:10">
      <c r="A649" t="s">
        <v>879</v>
      </c>
      <c r="B649" s="2">
        <v>43926</v>
      </c>
      <c r="C649">
        <v>2020</v>
      </c>
      <c r="D649" t="s">
        <v>15</v>
      </c>
      <c r="E649" t="s">
        <v>3832</v>
      </c>
      <c r="F649" t="s">
        <v>4688</v>
      </c>
      <c r="G649" t="s">
        <v>880</v>
      </c>
      <c r="H649" s="16">
        <v>2</v>
      </c>
      <c r="I649" t="s">
        <v>4764</v>
      </c>
      <c r="J649" t="s">
        <v>4614</v>
      </c>
    </row>
    <row r="650" spans="1:10">
      <c r="A650" t="s">
        <v>881</v>
      </c>
      <c r="B650" s="2">
        <v>43934</v>
      </c>
      <c r="C650">
        <v>2020</v>
      </c>
      <c r="D650" t="s">
        <v>25</v>
      </c>
      <c r="E650" t="s">
        <v>3870</v>
      </c>
      <c r="F650" t="s">
        <v>4683</v>
      </c>
      <c r="G650" t="s">
        <v>882</v>
      </c>
      <c r="H650" s="16">
        <v>0.05</v>
      </c>
      <c r="I650" t="s">
        <v>4764</v>
      </c>
      <c r="J650" t="s">
        <v>4614</v>
      </c>
    </row>
    <row r="651" spans="1:10">
      <c r="A651" t="s">
        <v>883</v>
      </c>
      <c r="B651" s="2">
        <v>43935</v>
      </c>
      <c r="C651">
        <v>2020</v>
      </c>
      <c r="D651" t="s">
        <v>8</v>
      </c>
      <c r="E651" t="s">
        <v>3846</v>
      </c>
      <c r="F651" t="s">
        <v>4686</v>
      </c>
      <c r="G651" t="s">
        <v>4254</v>
      </c>
      <c r="H651" s="16">
        <v>0.28000000000000003</v>
      </c>
      <c r="I651" t="s">
        <v>4764</v>
      </c>
      <c r="J651" t="s">
        <v>4614</v>
      </c>
    </row>
    <row r="652" spans="1:10">
      <c r="A652" t="s">
        <v>884</v>
      </c>
      <c r="B652" s="2">
        <v>43938</v>
      </c>
      <c r="C652">
        <v>2020</v>
      </c>
      <c r="D652" t="s">
        <v>25</v>
      </c>
      <c r="E652" t="s">
        <v>3870</v>
      </c>
      <c r="F652" t="s">
        <v>4683</v>
      </c>
      <c r="G652" t="s">
        <v>4255</v>
      </c>
      <c r="H652" s="16">
        <v>0.2</v>
      </c>
      <c r="I652" t="s">
        <v>4764</v>
      </c>
      <c r="J652" t="s">
        <v>4614</v>
      </c>
    </row>
    <row r="653" spans="1:10">
      <c r="A653" t="s">
        <v>885</v>
      </c>
      <c r="B653" s="2">
        <v>43942</v>
      </c>
      <c r="C653">
        <v>2020</v>
      </c>
      <c r="D653" t="s">
        <v>25</v>
      </c>
      <c r="E653" t="s">
        <v>3836</v>
      </c>
      <c r="F653" t="s">
        <v>4683</v>
      </c>
      <c r="G653" t="s">
        <v>4256</v>
      </c>
      <c r="H653" s="16">
        <v>0.09</v>
      </c>
      <c r="I653" t="s">
        <v>4764</v>
      </c>
      <c r="J653" t="s">
        <v>4614</v>
      </c>
    </row>
    <row r="654" spans="1:10">
      <c r="A654" t="s">
        <v>886</v>
      </c>
      <c r="B654" s="2">
        <v>43943</v>
      </c>
      <c r="C654">
        <v>2020</v>
      </c>
      <c r="D654" t="s">
        <v>25</v>
      </c>
      <c r="E654" t="s">
        <v>3854</v>
      </c>
      <c r="F654" t="s">
        <v>4683</v>
      </c>
      <c r="G654" t="s">
        <v>887</v>
      </c>
      <c r="H654" s="16">
        <v>0.25</v>
      </c>
      <c r="I654" t="s">
        <v>4764</v>
      </c>
      <c r="J654" t="s">
        <v>4614</v>
      </c>
    </row>
    <row r="655" spans="1:10">
      <c r="A655" t="s">
        <v>888</v>
      </c>
      <c r="B655" s="2">
        <v>43944</v>
      </c>
      <c r="C655">
        <v>2020</v>
      </c>
      <c r="D655" t="s">
        <v>25</v>
      </c>
      <c r="E655" t="s">
        <v>4257</v>
      </c>
      <c r="F655" t="s">
        <v>4689</v>
      </c>
      <c r="G655" t="s">
        <v>889</v>
      </c>
      <c r="H655" s="16">
        <v>0.14000000000000001</v>
      </c>
      <c r="I655" t="s">
        <v>4764</v>
      </c>
      <c r="J655" t="s">
        <v>4613</v>
      </c>
    </row>
    <row r="656" spans="1:10">
      <c r="A656" t="s">
        <v>890</v>
      </c>
      <c r="B656" s="2">
        <v>43945</v>
      </c>
      <c r="C656">
        <v>2020</v>
      </c>
      <c r="D656" t="s">
        <v>15</v>
      </c>
      <c r="E656" t="s">
        <v>3832</v>
      </c>
      <c r="F656" t="s">
        <v>4688</v>
      </c>
      <c r="G656" t="s">
        <v>4258</v>
      </c>
      <c r="H656" s="16">
        <v>0.32</v>
      </c>
      <c r="I656" t="s">
        <v>4764</v>
      </c>
      <c r="J656" t="s">
        <v>4614</v>
      </c>
    </row>
    <row r="657" spans="1:10">
      <c r="A657" t="s">
        <v>891</v>
      </c>
      <c r="B657" s="2">
        <v>43954</v>
      </c>
      <c r="C657">
        <v>2020</v>
      </c>
      <c r="D657" t="s">
        <v>21</v>
      </c>
      <c r="E657" t="s">
        <v>49</v>
      </c>
      <c r="F657" t="s">
        <v>4684</v>
      </c>
      <c r="G657" t="s">
        <v>4259</v>
      </c>
      <c r="H657" s="16">
        <v>0.1</v>
      </c>
      <c r="I657" t="s">
        <v>4764</v>
      </c>
      <c r="J657" t="s">
        <v>4614</v>
      </c>
    </row>
    <row r="658" spans="1:10">
      <c r="A658" t="s">
        <v>892</v>
      </c>
      <c r="B658" s="2">
        <v>43961</v>
      </c>
      <c r="C658">
        <v>2020</v>
      </c>
      <c r="D658" t="s">
        <v>12</v>
      </c>
      <c r="E658" t="s">
        <v>3862</v>
      </c>
      <c r="F658" t="s">
        <v>4685</v>
      </c>
      <c r="G658" t="s">
        <v>4260</v>
      </c>
      <c r="H658" s="16">
        <v>0.05</v>
      </c>
      <c r="I658" t="s">
        <v>4764</v>
      </c>
      <c r="J658" t="s">
        <v>4614</v>
      </c>
    </row>
    <row r="659" spans="1:10">
      <c r="A659" t="s">
        <v>893</v>
      </c>
      <c r="B659" s="2">
        <v>43962</v>
      </c>
      <c r="C659">
        <v>2020</v>
      </c>
      <c r="D659" t="s">
        <v>12</v>
      </c>
      <c r="E659" t="s">
        <v>45</v>
      </c>
      <c r="F659" t="s">
        <v>4685</v>
      </c>
      <c r="G659" t="s">
        <v>4261</v>
      </c>
      <c r="H659" s="16">
        <v>0.26</v>
      </c>
      <c r="I659" t="s">
        <v>4764</v>
      </c>
      <c r="J659" t="s">
        <v>4614</v>
      </c>
    </row>
    <row r="660" spans="1:10">
      <c r="A660" t="s">
        <v>894</v>
      </c>
      <c r="B660" s="2">
        <v>43964</v>
      </c>
      <c r="C660">
        <v>2020</v>
      </c>
      <c r="D660" t="s">
        <v>8</v>
      </c>
      <c r="E660" t="s">
        <v>130</v>
      </c>
      <c r="F660" t="s">
        <v>4686</v>
      </c>
      <c r="G660" t="s">
        <v>4262</v>
      </c>
      <c r="H660" s="16">
        <v>15.05</v>
      </c>
      <c r="I660" t="s">
        <v>4763</v>
      </c>
      <c r="J660" t="s">
        <v>4614</v>
      </c>
    </row>
    <row r="661" spans="1:10">
      <c r="A661" t="s">
        <v>895</v>
      </c>
      <c r="B661" s="2">
        <v>43967</v>
      </c>
      <c r="C661">
        <v>2020</v>
      </c>
      <c r="D661" t="s">
        <v>33</v>
      </c>
      <c r="E661" t="s">
        <v>3839</v>
      </c>
      <c r="F661" t="s">
        <v>4687</v>
      </c>
      <c r="G661" t="s">
        <v>896</v>
      </c>
      <c r="H661" s="16">
        <v>0.09</v>
      </c>
      <c r="I661" t="s">
        <v>4764</v>
      </c>
      <c r="J661" t="s">
        <v>4614</v>
      </c>
    </row>
    <row r="662" spans="1:10">
      <c r="A662" t="s">
        <v>897</v>
      </c>
      <c r="B662" s="2">
        <v>43967</v>
      </c>
      <c r="C662">
        <v>2020</v>
      </c>
      <c r="D662" t="s">
        <v>33</v>
      </c>
      <c r="E662" t="s">
        <v>49</v>
      </c>
      <c r="F662" t="s">
        <v>4687</v>
      </c>
      <c r="G662" t="s">
        <v>4263</v>
      </c>
      <c r="H662" s="16">
        <v>1.25</v>
      </c>
      <c r="I662" t="s">
        <v>4764</v>
      </c>
      <c r="J662" t="s">
        <v>4614</v>
      </c>
    </row>
    <row r="663" spans="1:10">
      <c r="A663" t="s">
        <v>898</v>
      </c>
      <c r="B663" s="2">
        <v>43971</v>
      </c>
      <c r="C663">
        <v>2020</v>
      </c>
      <c r="D663" t="s">
        <v>12</v>
      </c>
      <c r="E663" t="s">
        <v>29</v>
      </c>
      <c r="F663" t="s">
        <v>4685</v>
      </c>
      <c r="G663" t="s">
        <v>4264</v>
      </c>
      <c r="H663" s="16">
        <v>0.94</v>
      </c>
      <c r="I663" t="s">
        <v>4764</v>
      </c>
      <c r="J663" t="s">
        <v>4614</v>
      </c>
    </row>
    <row r="664" spans="1:10">
      <c r="A664" t="s">
        <v>899</v>
      </c>
      <c r="B664" s="2">
        <v>43971</v>
      </c>
      <c r="C664">
        <v>2020</v>
      </c>
      <c r="D664" t="s">
        <v>21</v>
      </c>
      <c r="E664" t="s">
        <v>19</v>
      </c>
      <c r="F664" t="s">
        <v>4684</v>
      </c>
      <c r="G664" t="s">
        <v>900</v>
      </c>
      <c r="H664" s="16">
        <v>0.17</v>
      </c>
      <c r="I664" t="s">
        <v>4764</v>
      </c>
      <c r="J664" t="s">
        <v>4614</v>
      </c>
    </row>
    <row r="665" spans="1:10">
      <c r="A665" t="s">
        <v>901</v>
      </c>
      <c r="B665" s="2">
        <v>43972</v>
      </c>
      <c r="C665">
        <v>2020</v>
      </c>
      <c r="D665" t="s">
        <v>25</v>
      </c>
      <c r="E665" t="s">
        <v>3836</v>
      </c>
      <c r="F665" t="s">
        <v>4683</v>
      </c>
      <c r="G665" t="s">
        <v>902</v>
      </c>
      <c r="H665" s="16">
        <v>0.27</v>
      </c>
      <c r="I665" t="s">
        <v>4764</v>
      </c>
      <c r="J665" t="s">
        <v>4614</v>
      </c>
    </row>
    <row r="666" spans="1:10">
      <c r="A666" t="s">
        <v>903</v>
      </c>
      <c r="B666" s="2">
        <v>43973</v>
      </c>
      <c r="C666">
        <v>2020</v>
      </c>
      <c r="D666" t="s">
        <v>25</v>
      </c>
      <c r="E666" t="s">
        <v>3862</v>
      </c>
      <c r="F666" t="s">
        <v>4683</v>
      </c>
      <c r="G666" t="s">
        <v>4265</v>
      </c>
      <c r="H666" s="16">
        <v>0.12</v>
      </c>
      <c r="I666" t="s">
        <v>4764</v>
      </c>
      <c r="J666" t="s">
        <v>4614</v>
      </c>
    </row>
    <row r="667" spans="1:10">
      <c r="A667" t="s">
        <v>904</v>
      </c>
      <c r="B667" s="2">
        <v>43977</v>
      </c>
      <c r="C667">
        <v>2020</v>
      </c>
      <c r="D667" t="s">
        <v>8</v>
      </c>
      <c r="E667" t="s">
        <v>9</v>
      </c>
      <c r="F667" t="s">
        <v>4686</v>
      </c>
      <c r="G667" t="s">
        <v>4266</v>
      </c>
      <c r="H667" s="16">
        <v>3.5</v>
      </c>
      <c r="I667" t="s">
        <v>4764</v>
      </c>
      <c r="J667" t="s">
        <v>4614</v>
      </c>
    </row>
    <row r="668" spans="1:10">
      <c r="A668" t="s">
        <v>905</v>
      </c>
      <c r="B668" s="2">
        <v>43978</v>
      </c>
      <c r="C668">
        <v>2020</v>
      </c>
      <c r="D668" t="s">
        <v>33</v>
      </c>
      <c r="E668" t="s">
        <v>72</v>
      </c>
      <c r="F668" t="s">
        <v>4687</v>
      </c>
      <c r="G668" t="s">
        <v>4267</v>
      </c>
      <c r="H668" s="16">
        <v>0.46</v>
      </c>
      <c r="I668" t="s">
        <v>4764</v>
      </c>
      <c r="J668" t="s">
        <v>4614</v>
      </c>
    </row>
    <row r="669" spans="1:10">
      <c r="A669" t="s">
        <v>906</v>
      </c>
      <c r="B669" s="2">
        <v>43995</v>
      </c>
      <c r="C669">
        <v>2020</v>
      </c>
      <c r="D669" t="s">
        <v>8</v>
      </c>
      <c r="E669" t="s">
        <v>3860</v>
      </c>
      <c r="F669" t="s">
        <v>4686</v>
      </c>
      <c r="G669" t="s">
        <v>4268</v>
      </c>
      <c r="H669" s="16">
        <v>12.8</v>
      </c>
      <c r="I669" t="s">
        <v>4763</v>
      </c>
      <c r="J669" t="s">
        <v>4614</v>
      </c>
    </row>
    <row r="670" spans="1:10">
      <c r="A670" t="s">
        <v>907</v>
      </c>
      <c r="B670" s="2">
        <v>44000</v>
      </c>
      <c r="C670">
        <v>2020</v>
      </c>
      <c r="D670" t="s">
        <v>15</v>
      </c>
      <c r="E670" t="s">
        <v>3832</v>
      </c>
      <c r="F670" t="s">
        <v>4688</v>
      </c>
      <c r="G670" t="s">
        <v>4269</v>
      </c>
      <c r="H670" s="16">
        <v>1.63</v>
      </c>
      <c r="I670" t="s">
        <v>4764</v>
      </c>
      <c r="J670" t="s">
        <v>4614</v>
      </c>
    </row>
    <row r="671" spans="1:10">
      <c r="A671" t="s">
        <v>908</v>
      </c>
      <c r="B671" s="2">
        <v>44006</v>
      </c>
      <c r="C671">
        <v>2020</v>
      </c>
      <c r="D671" t="s">
        <v>8</v>
      </c>
      <c r="E671" t="s">
        <v>3903</v>
      </c>
      <c r="F671" t="s">
        <v>4686</v>
      </c>
      <c r="G671" t="s">
        <v>4270</v>
      </c>
      <c r="H671" s="16">
        <v>0.02</v>
      </c>
      <c r="I671" t="s">
        <v>4764</v>
      </c>
      <c r="J671" t="s">
        <v>4614</v>
      </c>
    </row>
    <row r="672" spans="1:10">
      <c r="A672" t="s">
        <v>909</v>
      </c>
      <c r="B672" s="2">
        <v>44013</v>
      </c>
      <c r="C672">
        <v>2020</v>
      </c>
      <c r="D672" t="s">
        <v>25</v>
      </c>
      <c r="E672" t="s">
        <v>3870</v>
      </c>
      <c r="F672" t="s">
        <v>4683</v>
      </c>
      <c r="G672" t="s">
        <v>910</v>
      </c>
      <c r="H672" s="16">
        <v>0.18</v>
      </c>
      <c r="I672" t="s">
        <v>4764</v>
      </c>
      <c r="J672" t="s">
        <v>4614</v>
      </c>
    </row>
    <row r="673" spans="1:10">
      <c r="A673" t="s">
        <v>911</v>
      </c>
      <c r="B673" s="2">
        <v>44013</v>
      </c>
      <c r="C673">
        <v>2020</v>
      </c>
      <c r="D673" t="s">
        <v>8</v>
      </c>
      <c r="E673" t="s">
        <v>3846</v>
      </c>
      <c r="F673" t="s">
        <v>4686</v>
      </c>
      <c r="G673" t="s">
        <v>869</v>
      </c>
      <c r="H673" s="16">
        <v>1.94</v>
      </c>
      <c r="I673" t="s">
        <v>4764</v>
      </c>
      <c r="J673" t="s">
        <v>4614</v>
      </c>
    </row>
    <row r="674" spans="1:10">
      <c r="A674" t="s">
        <v>912</v>
      </c>
      <c r="B674" s="2">
        <v>44019</v>
      </c>
      <c r="C674">
        <v>2020</v>
      </c>
      <c r="D674" t="s">
        <v>25</v>
      </c>
      <c r="E674" t="s">
        <v>34</v>
      </c>
      <c r="F674" t="s">
        <v>4683</v>
      </c>
      <c r="G674" t="s">
        <v>3919</v>
      </c>
      <c r="H674" s="16">
        <v>0.19</v>
      </c>
      <c r="I674" t="s">
        <v>4764</v>
      </c>
      <c r="J674" t="s">
        <v>4614</v>
      </c>
    </row>
    <row r="675" spans="1:10">
      <c r="A675" t="s">
        <v>913</v>
      </c>
      <c r="B675" s="2">
        <v>44021</v>
      </c>
      <c r="C675">
        <v>2020</v>
      </c>
      <c r="D675" t="s">
        <v>12</v>
      </c>
      <c r="E675" t="s">
        <v>3854</v>
      </c>
      <c r="F675" t="s">
        <v>4685</v>
      </c>
      <c r="G675" t="s">
        <v>4271</v>
      </c>
      <c r="H675" s="16">
        <v>7.0000000000000007E-2</v>
      </c>
      <c r="I675" t="s">
        <v>4764</v>
      </c>
      <c r="J675" t="s">
        <v>4614</v>
      </c>
    </row>
    <row r="676" spans="1:10">
      <c r="A676" t="s">
        <v>914</v>
      </c>
      <c r="B676" s="2">
        <v>44026</v>
      </c>
      <c r="C676">
        <v>2020</v>
      </c>
      <c r="D676" t="s">
        <v>25</v>
      </c>
      <c r="E676" t="s">
        <v>3854</v>
      </c>
      <c r="F676" t="s">
        <v>4683</v>
      </c>
      <c r="G676" t="s">
        <v>4272</v>
      </c>
      <c r="H676" s="16">
        <v>0.26</v>
      </c>
      <c r="I676" t="s">
        <v>4764</v>
      </c>
      <c r="J676" t="s">
        <v>4614</v>
      </c>
    </row>
    <row r="677" spans="1:10">
      <c r="A677" t="s">
        <v>915</v>
      </c>
      <c r="B677" s="2">
        <v>44028</v>
      </c>
      <c r="C677">
        <v>2020</v>
      </c>
      <c r="D677" t="s">
        <v>25</v>
      </c>
      <c r="E677" t="s">
        <v>72</v>
      </c>
      <c r="F677" t="s">
        <v>4683</v>
      </c>
      <c r="G677" t="s">
        <v>916</v>
      </c>
      <c r="H677" s="16">
        <v>0.21</v>
      </c>
      <c r="I677" t="s">
        <v>4764</v>
      </c>
      <c r="J677" t="s">
        <v>4614</v>
      </c>
    </row>
    <row r="678" spans="1:10">
      <c r="A678" t="s">
        <v>917</v>
      </c>
      <c r="B678" s="2">
        <v>44035</v>
      </c>
      <c r="C678">
        <v>2020</v>
      </c>
      <c r="D678" t="s">
        <v>8</v>
      </c>
      <c r="E678" t="s">
        <v>9</v>
      </c>
      <c r="F678" t="s">
        <v>4686</v>
      </c>
      <c r="G678" t="s">
        <v>4273</v>
      </c>
      <c r="H678" s="16">
        <v>3.39</v>
      </c>
      <c r="I678" t="s">
        <v>4764</v>
      </c>
      <c r="J678" t="s">
        <v>4614</v>
      </c>
    </row>
    <row r="679" spans="1:10">
      <c r="A679" t="s">
        <v>918</v>
      </c>
      <c r="B679" s="2">
        <v>44045</v>
      </c>
      <c r="C679">
        <v>2020</v>
      </c>
      <c r="D679" t="s">
        <v>8</v>
      </c>
      <c r="E679" t="s">
        <v>17</v>
      </c>
      <c r="F679" t="s">
        <v>4686</v>
      </c>
      <c r="G679" t="s">
        <v>4274</v>
      </c>
      <c r="H679" s="16">
        <v>34.299999999999997</v>
      </c>
      <c r="I679" t="s">
        <v>4763</v>
      </c>
      <c r="J679" t="s">
        <v>4614</v>
      </c>
    </row>
    <row r="680" spans="1:10">
      <c r="A680" t="s">
        <v>919</v>
      </c>
      <c r="B680" s="2">
        <v>44046</v>
      </c>
      <c r="C680">
        <v>2020</v>
      </c>
      <c r="D680" t="s">
        <v>25</v>
      </c>
      <c r="E680" t="s">
        <v>34</v>
      </c>
      <c r="F680" t="s">
        <v>4683</v>
      </c>
      <c r="G680" t="s">
        <v>4275</v>
      </c>
      <c r="H680" s="16">
        <v>0.08</v>
      </c>
      <c r="I680" t="s">
        <v>4764</v>
      </c>
      <c r="J680" t="s">
        <v>4614</v>
      </c>
    </row>
    <row r="681" spans="1:10">
      <c r="A681" t="s">
        <v>920</v>
      </c>
      <c r="B681" s="2">
        <v>44049</v>
      </c>
      <c r="C681">
        <v>2020</v>
      </c>
      <c r="D681" t="s">
        <v>8</v>
      </c>
      <c r="E681" t="s">
        <v>215</v>
      </c>
      <c r="F681" t="s">
        <v>4686</v>
      </c>
      <c r="G681" t="s">
        <v>4276</v>
      </c>
      <c r="H681" s="16">
        <v>7.3</v>
      </c>
      <c r="I681" t="s">
        <v>4764</v>
      </c>
      <c r="J681" t="s">
        <v>4614</v>
      </c>
    </row>
    <row r="682" spans="1:10">
      <c r="A682" t="s">
        <v>921</v>
      </c>
      <c r="B682" s="2">
        <v>44055</v>
      </c>
      <c r="C682">
        <v>2020</v>
      </c>
      <c r="D682" t="s">
        <v>12</v>
      </c>
      <c r="E682" t="s">
        <v>47</v>
      </c>
      <c r="F682" t="s">
        <v>4685</v>
      </c>
      <c r="G682" t="s">
        <v>4277</v>
      </c>
      <c r="H682" s="16">
        <v>0.14000000000000001</v>
      </c>
      <c r="I682" t="s">
        <v>4764</v>
      </c>
      <c r="J682" t="s">
        <v>4614</v>
      </c>
    </row>
    <row r="683" spans="1:10">
      <c r="A683" t="s">
        <v>922</v>
      </c>
      <c r="B683" s="2">
        <v>44059</v>
      </c>
      <c r="C683">
        <v>2020</v>
      </c>
      <c r="D683" t="s">
        <v>12</v>
      </c>
      <c r="E683" t="s">
        <v>13</v>
      </c>
      <c r="F683" t="s">
        <v>4685</v>
      </c>
      <c r="G683" t="s">
        <v>4278</v>
      </c>
      <c r="H683" s="16">
        <v>7.0000000000000007E-2</v>
      </c>
      <c r="I683" t="s">
        <v>4764</v>
      </c>
      <c r="J683" t="s">
        <v>4614</v>
      </c>
    </row>
    <row r="684" spans="1:10">
      <c r="A684" t="s">
        <v>923</v>
      </c>
      <c r="B684" s="2">
        <v>44060</v>
      </c>
      <c r="C684">
        <v>2020</v>
      </c>
      <c r="D684" t="s">
        <v>15</v>
      </c>
      <c r="E684" t="s">
        <v>3832</v>
      </c>
      <c r="F684" t="s">
        <v>4688</v>
      </c>
      <c r="G684" t="s">
        <v>4279</v>
      </c>
      <c r="H684" s="16">
        <v>0.7</v>
      </c>
      <c r="I684" t="s">
        <v>4764</v>
      </c>
      <c r="J684" t="s">
        <v>4614</v>
      </c>
    </row>
    <row r="685" spans="1:10">
      <c r="A685" t="s">
        <v>924</v>
      </c>
      <c r="B685" s="2">
        <v>44060</v>
      </c>
      <c r="C685">
        <v>2020</v>
      </c>
      <c r="D685" t="s">
        <v>21</v>
      </c>
      <c r="E685" t="s">
        <v>47</v>
      </c>
      <c r="F685" t="s">
        <v>4684</v>
      </c>
      <c r="G685" t="s">
        <v>589</v>
      </c>
      <c r="H685" s="16">
        <v>0.06</v>
      </c>
      <c r="I685" t="s">
        <v>4764</v>
      </c>
      <c r="J685" t="s">
        <v>4614</v>
      </c>
    </row>
    <row r="686" spans="1:10">
      <c r="A686" t="s">
        <v>925</v>
      </c>
      <c r="B686" s="2">
        <v>44069</v>
      </c>
      <c r="C686">
        <v>2020</v>
      </c>
      <c r="D686" t="s">
        <v>21</v>
      </c>
      <c r="E686" t="s">
        <v>3854</v>
      </c>
      <c r="F686" t="s">
        <v>4684</v>
      </c>
      <c r="G686" t="s">
        <v>926</v>
      </c>
      <c r="H686" s="16">
        <v>0.16</v>
      </c>
      <c r="I686" t="s">
        <v>4764</v>
      </c>
      <c r="J686" t="s">
        <v>4614</v>
      </c>
    </row>
    <row r="687" spans="1:10">
      <c r="A687" t="s">
        <v>927</v>
      </c>
      <c r="B687" s="2">
        <v>44070</v>
      </c>
      <c r="C687">
        <v>2020</v>
      </c>
      <c r="D687" t="s">
        <v>33</v>
      </c>
      <c r="E687" t="s">
        <v>45</v>
      </c>
      <c r="F687" t="s">
        <v>4687</v>
      </c>
      <c r="G687" t="s">
        <v>4280</v>
      </c>
      <c r="H687" s="16">
        <v>0.37</v>
      </c>
      <c r="I687" t="s">
        <v>4764</v>
      </c>
      <c r="J687" t="s">
        <v>4614</v>
      </c>
    </row>
    <row r="688" spans="1:10">
      <c r="A688" t="s">
        <v>928</v>
      </c>
      <c r="B688" s="2">
        <v>44090</v>
      </c>
      <c r="C688">
        <v>2020</v>
      </c>
      <c r="D688" t="s">
        <v>12</v>
      </c>
      <c r="E688" t="s">
        <v>3839</v>
      </c>
      <c r="F688" t="s">
        <v>4685</v>
      </c>
      <c r="G688" t="s">
        <v>4281</v>
      </c>
      <c r="H688" s="16">
        <v>0.84</v>
      </c>
      <c r="I688" t="s">
        <v>4764</v>
      </c>
      <c r="J688" t="s">
        <v>4614</v>
      </c>
    </row>
    <row r="689" spans="1:10">
      <c r="A689" t="s">
        <v>929</v>
      </c>
      <c r="B689" s="2">
        <v>44096</v>
      </c>
      <c r="C689">
        <v>2020</v>
      </c>
      <c r="D689" t="s">
        <v>25</v>
      </c>
      <c r="E689" t="s">
        <v>13</v>
      </c>
      <c r="F689" t="s">
        <v>4683</v>
      </c>
      <c r="G689" t="s">
        <v>930</v>
      </c>
      <c r="H689" s="16">
        <v>0.02</v>
      </c>
      <c r="I689" t="s">
        <v>4764</v>
      </c>
      <c r="J689" t="s">
        <v>4614</v>
      </c>
    </row>
    <row r="690" spans="1:10">
      <c r="A690" t="s">
        <v>931</v>
      </c>
      <c r="B690" s="2">
        <v>44101</v>
      </c>
      <c r="C690">
        <v>2020</v>
      </c>
      <c r="D690" t="s">
        <v>8</v>
      </c>
      <c r="E690" t="s">
        <v>130</v>
      </c>
      <c r="F690" t="s">
        <v>4690</v>
      </c>
      <c r="G690" t="s">
        <v>932</v>
      </c>
      <c r="H690" s="16">
        <v>21</v>
      </c>
      <c r="I690" t="s">
        <v>4763</v>
      </c>
      <c r="J690" t="s">
        <v>4613</v>
      </c>
    </row>
    <row r="691" spans="1:10">
      <c r="A691" t="s">
        <v>933</v>
      </c>
      <c r="B691" s="2">
        <v>44106</v>
      </c>
      <c r="C691">
        <v>2020</v>
      </c>
      <c r="D691" t="s">
        <v>12</v>
      </c>
      <c r="E691" t="s">
        <v>45</v>
      </c>
      <c r="F691" t="s">
        <v>4685</v>
      </c>
      <c r="G691" t="s">
        <v>4282</v>
      </c>
      <c r="H691" s="16">
        <v>0</v>
      </c>
      <c r="I691" t="s">
        <v>4764</v>
      </c>
      <c r="J691" t="s">
        <v>4614</v>
      </c>
    </row>
    <row r="692" spans="1:10">
      <c r="A692" t="s">
        <v>934</v>
      </c>
      <c r="B692" s="2">
        <v>44124</v>
      </c>
      <c r="C692">
        <v>2020</v>
      </c>
      <c r="D692" t="s">
        <v>15</v>
      </c>
      <c r="E692" t="s">
        <v>3832</v>
      </c>
      <c r="F692" t="s">
        <v>4688</v>
      </c>
      <c r="G692" t="s">
        <v>4283</v>
      </c>
      <c r="H692" s="16">
        <v>0.24</v>
      </c>
      <c r="I692" t="s">
        <v>4764</v>
      </c>
      <c r="J692" t="s">
        <v>4614</v>
      </c>
    </row>
    <row r="693" spans="1:10">
      <c r="A693" t="s">
        <v>935</v>
      </c>
      <c r="B693" s="2">
        <v>44127</v>
      </c>
      <c r="C693">
        <v>2020</v>
      </c>
      <c r="D693" t="s">
        <v>12</v>
      </c>
      <c r="E693" t="s">
        <v>72</v>
      </c>
      <c r="F693" t="s">
        <v>4685</v>
      </c>
      <c r="G693" t="s">
        <v>4284</v>
      </c>
      <c r="H693" s="16">
        <v>0.16</v>
      </c>
      <c r="I693" t="s">
        <v>4764</v>
      </c>
      <c r="J693" t="s">
        <v>4614</v>
      </c>
    </row>
    <row r="694" spans="1:10">
      <c r="A694" t="s">
        <v>936</v>
      </c>
      <c r="B694" s="2">
        <v>44127</v>
      </c>
      <c r="C694">
        <v>2020</v>
      </c>
      <c r="D694" t="s">
        <v>25</v>
      </c>
      <c r="E694" t="s">
        <v>3862</v>
      </c>
      <c r="F694" t="s">
        <v>4683</v>
      </c>
      <c r="G694" t="s">
        <v>4285</v>
      </c>
      <c r="H694" s="16">
        <v>0.03</v>
      </c>
      <c r="I694" t="s">
        <v>4764</v>
      </c>
      <c r="J694" t="s">
        <v>4614</v>
      </c>
    </row>
    <row r="695" spans="1:10">
      <c r="A695" t="s">
        <v>937</v>
      </c>
      <c r="B695" s="2">
        <v>44128</v>
      </c>
      <c r="C695">
        <v>2020</v>
      </c>
      <c r="D695" t="s">
        <v>12</v>
      </c>
      <c r="E695" t="s">
        <v>47</v>
      </c>
      <c r="F695" t="s">
        <v>4685</v>
      </c>
      <c r="G695" t="s">
        <v>4286</v>
      </c>
      <c r="H695" s="16">
        <v>0.2</v>
      </c>
      <c r="I695" t="s">
        <v>4764</v>
      </c>
      <c r="J695" t="s">
        <v>4614</v>
      </c>
    </row>
    <row r="696" spans="1:10">
      <c r="A696" t="s">
        <v>938</v>
      </c>
      <c r="B696" s="2">
        <v>44147</v>
      </c>
      <c r="C696">
        <v>2020</v>
      </c>
      <c r="D696" t="s">
        <v>15</v>
      </c>
      <c r="E696" t="s">
        <v>3832</v>
      </c>
      <c r="F696" t="s">
        <v>4688</v>
      </c>
      <c r="G696" t="s">
        <v>4287</v>
      </c>
      <c r="H696" s="16">
        <v>0.23</v>
      </c>
      <c r="I696" t="s">
        <v>4764</v>
      </c>
      <c r="J696" t="s">
        <v>4614</v>
      </c>
    </row>
    <row r="697" spans="1:10">
      <c r="A697" t="s">
        <v>939</v>
      </c>
      <c r="B697" s="2">
        <v>44149</v>
      </c>
      <c r="C697">
        <v>2020</v>
      </c>
      <c r="D697" t="s">
        <v>8</v>
      </c>
      <c r="E697" t="s">
        <v>23</v>
      </c>
      <c r="F697" t="s">
        <v>4686</v>
      </c>
      <c r="G697" t="s">
        <v>4288</v>
      </c>
      <c r="H697" s="16">
        <v>3.46</v>
      </c>
      <c r="I697" t="s">
        <v>4764</v>
      </c>
      <c r="J697" t="s">
        <v>4614</v>
      </c>
    </row>
    <row r="698" spans="1:10">
      <c r="A698" t="s">
        <v>940</v>
      </c>
      <c r="B698" s="2">
        <v>44151</v>
      </c>
      <c r="C698">
        <v>2020</v>
      </c>
      <c r="D698" t="s">
        <v>25</v>
      </c>
      <c r="E698" t="s">
        <v>49</v>
      </c>
      <c r="F698" t="s">
        <v>4683</v>
      </c>
      <c r="G698" t="s">
        <v>4289</v>
      </c>
      <c r="H698" s="16">
        <v>0.23</v>
      </c>
      <c r="I698" t="s">
        <v>4764</v>
      </c>
      <c r="J698" t="s">
        <v>4614</v>
      </c>
    </row>
    <row r="699" spans="1:10">
      <c r="A699" t="s">
        <v>941</v>
      </c>
      <c r="B699" s="2">
        <v>44151</v>
      </c>
      <c r="C699">
        <v>2020</v>
      </c>
      <c r="D699" t="s">
        <v>8</v>
      </c>
      <c r="E699" t="s">
        <v>17</v>
      </c>
      <c r="F699" t="s">
        <v>4686</v>
      </c>
      <c r="G699" t="s">
        <v>4290</v>
      </c>
      <c r="H699" s="16">
        <v>11.78</v>
      </c>
      <c r="I699" t="s">
        <v>4763</v>
      </c>
      <c r="J699" t="s">
        <v>4614</v>
      </c>
    </row>
    <row r="700" spans="1:10">
      <c r="A700" t="s">
        <v>942</v>
      </c>
      <c r="B700" s="2">
        <v>44154</v>
      </c>
      <c r="C700">
        <v>2020</v>
      </c>
      <c r="D700" t="s">
        <v>15</v>
      </c>
      <c r="E700" t="s">
        <v>3832</v>
      </c>
      <c r="F700" t="s">
        <v>4691</v>
      </c>
      <c r="G700" t="s">
        <v>943</v>
      </c>
      <c r="H700" s="16">
        <v>0.44</v>
      </c>
      <c r="I700" t="s">
        <v>4764</v>
      </c>
      <c r="J700" t="s">
        <v>4613</v>
      </c>
    </row>
    <row r="701" spans="1:10">
      <c r="A701" t="s">
        <v>944</v>
      </c>
      <c r="B701" s="2">
        <v>44160</v>
      </c>
      <c r="C701">
        <v>2020</v>
      </c>
      <c r="D701" t="s">
        <v>12</v>
      </c>
      <c r="E701" t="s">
        <v>3862</v>
      </c>
      <c r="F701" t="s">
        <v>4685</v>
      </c>
      <c r="G701" t="s">
        <v>425</v>
      </c>
      <c r="H701" s="16">
        <v>0.26</v>
      </c>
      <c r="I701" t="s">
        <v>4764</v>
      </c>
      <c r="J701" t="s">
        <v>4614</v>
      </c>
    </row>
    <row r="702" spans="1:10">
      <c r="A702" t="s">
        <v>945</v>
      </c>
      <c r="B702" s="2">
        <v>44162</v>
      </c>
      <c r="C702">
        <v>2020</v>
      </c>
      <c r="D702" t="s">
        <v>25</v>
      </c>
      <c r="E702" t="s">
        <v>47</v>
      </c>
      <c r="F702" t="s">
        <v>4683</v>
      </c>
      <c r="G702" t="s">
        <v>946</v>
      </c>
      <c r="H702" s="16">
        <v>0.4</v>
      </c>
      <c r="I702" t="s">
        <v>4764</v>
      </c>
      <c r="J702" t="s">
        <v>4614</v>
      </c>
    </row>
    <row r="703" spans="1:10">
      <c r="A703" t="s">
        <v>947</v>
      </c>
      <c r="B703" s="2">
        <v>44169</v>
      </c>
      <c r="C703">
        <v>2020</v>
      </c>
      <c r="D703" t="s">
        <v>25</v>
      </c>
      <c r="E703" t="s">
        <v>13</v>
      </c>
      <c r="F703" t="s">
        <v>4683</v>
      </c>
      <c r="G703" t="s">
        <v>4080</v>
      </c>
      <c r="H703" s="16">
        <v>0.09</v>
      </c>
      <c r="I703" t="s">
        <v>4764</v>
      </c>
      <c r="J703" t="s">
        <v>4614</v>
      </c>
    </row>
    <row r="704" spans="1:10">
      <c r="A704" t="s">
        <v>948</v>
      </c>
      <c r="B704" s="2">
        <v>44170</v>
      </c>
      <c r="C704">
        <v>2020</v>
      </c>
      <c r="D704" t="s">
        <v>12</v>
      </c>
      <c r="E704" t="s">
        <v>29</v>
      </c>
      <c r="F704" t="s">
        <v>4685</v>
      </c>
      <c r="G704" t="s">
        <v>949</v>
      </c>
      <c r="H704" s="16">
        <v>0.12</v>
      </c>
      <c r="I704" t="s">
        <v>4764</v>
      </c>
      <c r="J704" t="s">
        <v>4614</v>
      </c>
    </row>
    <row r="705" spans="1:10">
      <c r="A705" t="s">
        <v>950</v>
      </c>
      <c r="B705" s="2">
        <v>44172</v>
      </c>
      <c r="C705">
        <v>2020</v>
      </c>
      <c r="D705" t="s">
        <v>33</v>
      </c>
      <c r="E705" t="s">
        <v>47</v>
      </c>
      <c r="F705" t="s">
        <v>4687</v>
      </c>
      <c r="G705" t="s">
        <v>4291</v>
      </c>
      <c r="H705" s="16">
        <v>0.57999999999999996</v>
      </c>
      <c r="I705" t="s">
        <v>4764</v>
      </c>
      <c r="J705" t="s">
        <v>4614</v>
      </c>
    </row>
    <row r="706" spans="1:10">
      <c r="A706" t="s">
        <v>951</v>
      </c>
      <c r="B706" s="2">
        <v>44174</v>
      </c>
      <c r="C706">
        <v>2020</v>
      </c>
      <c r="D706" t="s">
        <v>25</v>
      </c>
      <c r="E706" t="s">
        <v>34</v>
      </c>
      <c r="F706" t="s">
        <v>4683</v>
      </c>
      <c r="G706" t="s">
        <v>952</v>
      </c>
      <c r="H706" s="16">
        <v>0.79</v>
      </c>
      <c r="I706" t="s">
        <v>4764</v>
      </c>
      <c r="J706" t="s">
        <v>4614</v>
      </c>
    </row>
    <row r="707" spans="1:10">
      <c r="A707" t="s">
        <v>953</v>
      </c>
      <c r="B707" s="2">
        <v>44177</v>
      </c>
      <c r="C707">
        <v>2020</v>
      </c>
      <c r="D707" t="s">
        <v>8</v>
      </c>
      <c r="E707" t="s">
        <v>3903</v>
      </c>
      <c r="F707" t="s">
        <v>4692</v>
      </c>
      <c r="G707" t="s">
        <v>954</v>
      </c>
      <c r="H707" s="16">
        <v>39</v>
      </c>
      <c r="I707" t="s">
        <v>4763</v>
      </c>
      <c r="J707" t="s">
        <v>4613</v>
      </c>
    </row>
    <row r="708" spans="1:10">
      <c r="A708" t="s">
        <v>955</v>
      </c>
      <c r="B708" s="2">
        <v>44178</v>
      </c>
      <c r="C708">
        <v>2020</v>
      </c>
      <c r="D708" t="s">
        <v>25</v>
      </c>
      <c r="E708" t="s">
        <v>72</v>
      </c>
      <c r="F708" t="s">
        <v>4683</v>
      </c>
      <c r="G708" t="s">
        <v>956</v>
      </c>
      <c r="H708" s="16">
        <v>0.11</v>
      </c>
      <c r="I708" t="s">
        <v>4764</v>
      </c>
      <c r="J708" t="s">
        <v>4614</v>
      </c>
    </row>
    <row r="709" spans="1:10">
      <c r="A709" t="s">
        <v>957</v>
      </c>
      <c r="B709" s="2">
        <v>44178</v>
      </c>
      <c r="C709">
        <v>2020</v>
      </c>
      <c r="D709" t="s">
        <v>15</v>
      </c>
      <c r="E709" t="s">
        <v>3832</v>
      </c>
      <c r="F709" t="s">
        <v>4688</v>
      </c>
      <c r="G709" t="s">
        <v>958</v>
      </c>
      <c r="H709" s="16">
        <v>0.11</v>
      </c>
      <c r="I709" t="s">
        <v>4764</v>
      </c>
      <c r="J709" t="s">
        <v>4614</v>
      </c>
    </row>
    <row r="710" spans="1:10">
      <c r="A710" t="s">
        <v>959</v>
      </c>
      <c r="B710" s="2">
        <v>44182</v>
      </c>
      <c r="C710">
        <v>2020</v>
      </c>
      <c r="D710" t="s">
        <v>25</v>
      </c>
      <c r="E710" t="s">
        <v>13</v>
      </c>
      <c r="F710" t="s">
        <v>4683</v>
      </c>
      <c r="G710" t="s">
        <v>4292</v>
      </c>
      <c r="H710" s="16">
        <v>0.2</v>
      </c>
      <c r="I710" t="s">
        <v>4764</v>
      </c>
      <c r="J710" t="s">
        <v>4614</v>
      </c>
    </row>
    <row r="711" spans="1:10">
      <c r="A711" t="s">
        <v>960</v>
      </c>
      <c r="B711" s="2">
        <v>44183</v>
      </c>
      <c r="C711">
        <v>2020</v>
      </c>
      <c r="D711" t="s">
        <v>25</v>
      </c>
      <c r="E711" t="s">
        <v>3836</v>
      </c>
      <c r="F711" t="s">
        <v>4683</v>
      </c>
      <c r="G711" t="s">
        <v>961</v>
      </c>
      <c r="H711" s="16">
        <v>0.02</v>
      </c>
      <c r="I711" t="s">
        <v>4764</v>
      </c>
      <c r="J711" t="s">
        <v>4614</v>
      </c>
    </row>
    <row r="712" spans="1:10">
      <c r="A712" t="s">
        <v>962</v>
      </c>
      <c r="B712" s="2">
        <v>44186</v>
      </c>
      <c r="C712">
        <v>2020</v>
      </c>
      <c r="D712" t="s">
        <v>33</v>
      </c>
      <c r="E712" t="s">
        <v>72</v>
      </c>
      <c r="F712" t="s">
        <v>4687</v>
      </c>
      <c r="G712" t="s">
        <v>4005</v>
      </c>
      <c r="H712" s="16">
        <v>0.27</v>
      </c>
      <c r="I712" t="s">
        <v>4764</v>
      </c>
      <c r="J712" t="s">
        <v>4614</v>
      </c>
    </row>
    <row r="713" spans="1:10">
      <c r="A713" t="s">
        <v>963</v>
      </c>
      <c r="B713" s="2">
        <v>44187</v>
      </c>
      <c r="C713">
        <v>2020</v>
      </c>
      <c r="D713" t="s">
        <v>25</v>
      </c>
      <c r="E713" t="s">
        <v>19</v>
      </c>
      <c r="F713" t="s">
        <v>4683</v>
      </c>
      <c r="G713" t="s">
        <v>3980</v>
      </c>
      <c r="H713" s="16">
        <v>0.13</v>
      </c>
      <c r="I713" t="s">
        <v>4764</v>
      </c>
      <c r="J713" t="s">
        <v>4614</v>
      </c>
    </row>
    <row r="714" spans="1:10">
      <c r="A714" t="s">
        <v>964</v>
      </c>
      <c r="B714" s="2">
        <v>44190</v>
      </c>
      <c r="C714">
        <v>2020</v>
      </c>
      <c r="D714" t="s">
        <v>25</v>
      </c>
      <c r="E714" t="s">
        <v>19</v>
      </c>
      <c r="F714" t="s">
        <v>4683</v>
      </c>
      <c r="G714" t="s">
        <v>4293</v>
      </c>
      <c r="H714" s="16">
        <v>0.15</v>
      </c>
      <c r="I714" t="s">
        <v>4764</v>
      </c>
      <c r="J714" t="s">
        <v>4614</v>
      </c>
    </row>
    <row r="715" spans="1:10">
      <c r="A715" t="s">
        <v>965</v>
      </c>
      <c r="B715" s="2">
        <v>44191</v>
      </c>
      <c r="C715">
        <v>2020</v>
      </c>
      <c r="D715" t="s">
        <v>8</v>
      </c>
      <c r="E715" t="s">
        <v>9</v>
      </c>
      <c r="F715" t="s">
        <v>4686</v>
      </c>
      <c r="G715" t="s">
        <v>966</v>
      </c>
      <c r="H715" s="16">
        <v>0.04</v>
      </c>
      <c r="I715" t="s">
        <v>4764</v>
      </c>
      <c r="J715" t="s">
        <v>4614</v>
      </c>
    </row>
    <row r="716" spans="1:10">
      <c r="A716" t="s">
        <v>967</v>
      </c>
      <c r="B716" s="2">
        <v>44198</v>
      </c>
      <c r="C716">
        <v>2021</v>
      </c>
      <c r="D716" t="s">
        <v>15</v>
      </c>
      <c r="E716" t="s">
        <v>3832</v>
      </c>
      <c r="F716" t="s">
        <v>4693</v>
      </c>
      <c r="G716" t="s">
        <v>4294</v>
      </c>
      <c r="H716" s="16">
        <v>0.21</v>
      </c>
      <c r="I716" t="s">
        <v>4764</v>
      </c>
      <c r="J716" t="s">
        <v>4614</v>
      </c>
    </row>
    <row r="717" spans="1:10">
      <c r="A717" t="s">
        <v>968</v>
      </c>
      <c r="B717" s="2">
        <v>44202</v>
      </c>
      <c r="C717">
        <v>2021</v>
      </c>
      <c r="D717" t="s">
        <v>25</v>
      </c>
      <c r="E717" t="s">
        <v>72</v>
      </c>
      <c r="F717" t="s">
        <v>4694</v>
      </c>
      <c r="G717" t="s">
        <v>4295</v>
      </c>
      <c r="H717" s="16">
        <v>0.08</v>
      </c>
      <c r="I717" t="s">
        <v>4764</v>
      </c>
      <c r="J717" t="s">
        <v>4614</v>
      </c>
    </row>
    <row r="718" spans="1:10">
      <c r="A718" t="s">
        <v>969</v>
      </c>
      <c r="B718" s="2">
        <v>44203</v>
      </c>
      <c r="C718">
        <v>2021</v>
      </c>
      <c r="D718" t="s">
        <v>15</v>
      </c>
      <c r="E718" t="s">
        <v>3832</v>
      </c>
      <c r="F718" t="s">
        <v>4693</v>
      </c>
      <c r="G718" t="s">
        <v>970</v>
      </c>
      <c r="H718" s="16">
        <v>0.2</v>
      </c>
      <c r="I718" t="s">
        <v>4764</v>
      </c>
      <c r="J718" t="s">
        <v>4614</v>
      </c>
    </row>
    <row r="719" spans="1:10">
      <c r="A719" t="s">
        <v>971</v>
      </c>
      <c r="B719" s="2">
        <v>44205</v>
      </c>
      <c r="C719">
        <v>2021</v>
      </c>
      <c r="D719" t="s">
        <v>12</v>
      </c>
      <c r="E719" t="s">
        <v>19</v>
      </c>
      <c r="F719" t="s">
        <v>4695</v>
      </c>
      <c r="G719" t="s">
        <v>4296</v>
      </c>
      <c r="H719" s="16">
        <v>0.1</v>
      </c>
      <c r="I719" t="s">
        <v>4764</v>
      </c>
      <c r="J719" t="s">
        <v>4614</v>
      </c>
    </row>
    <row r="720" spans="1:10">
      <c r="A720" t="s">
        <v>972</v>
      </c>
      <c r="B720" s="2">
        <v>44210</v>
      </c>
      <c r="C720">
        <v>2021</v>
      </c>
      <c r="D720" t="s">
        <v>12</v>
      </c>
      <c r="E720" t="s">
        <v>3870</v>
      </c>
      <c r="F720" t="s">
        <v>4695</v>
      </c>
      <c r="G720" t="s">
        <v>4297</v>
      </c>
      <c r="H720" s="16">
        <v>0.13</v>
      </c>
      <c r="I720" t="s">
        <v>4764</v>
      </c>
      <c r="J720" t="s">
        <v>4614</v>
      </c>
    </row>
    <row r="721" spans="1:10">
      <c r="A721" t="s">
        <v>973</v>
      </c>
      <c r="B721" s="2">
        <v>44210</v>
      </c>
      <c r="C721">
        <v>2021</v>
      </c>
      <c r="D721" t="s">
        <v>25</v>
      </c>
      <c r="E721" t="s">
        <v>3862</v>
      </c>
      <c r="F721" t="s">
        <v>4694</v>
      </c>
      <c r="G721" t="s">
        <v>4298</v>
      </c>
      <c r="H721" s="16">
        <v>0.17</v>
      </c>
      <c r="I721" t="s">
        <v>4764</v>
      </c>
      <c r="J721" t="s">
        <v>4614</v>
      </c>
    </row>
    <row r="722" spans="1:10">
      <c r="A722" t="s">
        <v>974</v>
      </c>
      <c r="B722" s="2">
        <v>44211</v>
      </c>
      <c r="C722">
        <v>2021</v>
      </c>
      <c r="D722" t="s">
        <v>25</v>
      </c>
      <c r="E722" t="s">
        <v>47</v>
      </c>
      <c r="F722" t="s">
        <v>4694</v>
      </c>
      <c r="G722" t="s">
        <v>4299</v>
      </c>
      <c r="H722" s="16">
        <v>7.0000000000000007E-2</v>
      </c>
      <c r="I722" t="s">
        <v>4764</v>
      </c>
      <c r="J722" t="s">
        <v>4614</v>
      </c>
    </row>
    <row r="723" spans="1:10">
      <c r="A723" t="s">
        <v>975</v>
      </c>
      <c r="B723" s="2">
        <v>44213</v>
      </c>
      <c r="C723">
        <v>2021</v>
      </c>
      <c r="D723" t="s">
        <v>8</v>
      </c>
      <c r="E723" t="s">
        <v>3860</v>
      </c>
      <c r="F723" t="s">
        <v>4696</v>
      </c>
      <c r="G723" t="s">
        <v>976</v>
      </c>
      <c r="H723" s="16">
        <v>50</v>
      </c>
      <c r="I723" t="s">
        <v>4763</v>
      </c>
      <c r="J723" t="s">
        <v>4614</v>
      </c>
    </row>
    <row r="724" spans="1:10">
      <c r="A724" t="s">
        <v>977</v>
      </c>
      <c r="B724" s="2">
        <v>44213</v>
      </c>
      <c r="C724">
        <v>2021</v>
      </c>
      <c r="D724" t="s">
        <v>25</v>
      </c>
      <c r="E724" t="s">
        <v>13</v>
      </c>
      <c r="F724" t="s">
        <v>4694</v>
      </c>
      <c r="G724" t="s">
        <v>4131</v>
      </c>
      <c r="H724" s="16">
        <v>0.22</v>
      </c>
      <c r="I724" t="s">
        <v>4764</v>
      </c>
      <c r="J724" t="s">
        <v>4614</v>
      </c>
    </row>
    <row r="725" spans="1:10">
      <c r="A725" t="s">
        <v>978</v>
      </c>
      <c r="B725" s="2">
        <v>44218</v>
      </c>
      <c r="C725">
        <v>2021</v>
      </c>
      <c r="D725" t="s">
        <v>12</v>
      </c>
      <c r="E725" t="s">
        <v>3839</v>
      </c>
      <c r="F725" t="s">
        <v>4695</v>
      </c>
      <c r="G725" t="s">
        <v>4300</v>
      </c>
      <c r="H725" s="16">
        <v>0.12</v>
      </c>
      <c r="I725" t="s">
        <v>4764</v>
      </c>
      <c r="J725" t="s">
        <v>4614</v>
      </c>
    </row>
    <row r="726" spans="1:10">
      <c r="A726" t="s">
        <v>979</v>
      </c>
      <c r="B726" s="2">
        <v>44220</v>
      </c>
      <c r="C726">
        <v>2021</v>
      </c>
      <c r="D726" t="s">
        <v>12</v>
      </c>
      <c r="E726" t="s">
        <v>47</v>
      </c>
      <c r="F726" t="s">
        <v>4695</v>
      </c>
      <c r="G726" t="s">
        <v>980</v>
      </c>
      <c r="H726" s="16">
        <v>0.19</v>
      </c>
      <c r="I726" t="s">
        <v>4764</v>
      </c>
      <c r="J726" t="s">
        <v>4614</v>
      </c>
    </row>
    <row r="727" spans="1:10">
      <c r="A727" t="s">
        <v>981</v>
      </c>
      <c r="B727" s="2">
        <v>44231</v>
      </c>
      <c r="C727">
        <v>2021</v>
      </c>
      <c r="D727" t="s">
        <v>15</v>
      </c>
      <c r="E727" t="s">
        <v>3832</v>
      </c>
      <c r="F727" t="s">
        <v>4697</v>
      </c>
      <c r="G727" t="s">
        <v>982</v>
      </c>
      <c r="H727" s="16">
        <v>0.59</v>
      </c>
      <c r="I727" t="s">
        <v>4764</v>
      </c>
      <c r="J727" t="s">
        <v>4613</v>
      </c>
    </row>
    <row r="728" spans="1:10">
      <c r="A728" t="s">
        <v>983</v>
      </c>
      <c r="B728" s="2">
        <v>44233</v>
      </c>
      <c r="C728">
        <v>2021</v>
      </c>
      <c r="D728" t="s">
        <v>25</v>
      </c>
      <c r="E728" t="s">
        <v>3862</v>
      </c>
      <c r="F728" t="s">
        <v>4694</v>
      </c>
      <c r="G728" t="s">
        <v>4168</v>
      </c>
      <c r="H728" s="16">
        <v>0.39</v>
      </c>
      <c r="I728" t="s">
        <v>4764</v>
      </c>
      <c r="J728" t="s">
        <v>4614</v>
      </c>
    </row>
    <row r="729" spans="1:10">
      <c r="A729" t="s">
        <v>984</v>
      </c>
      <c r="B729" s="2">
        <v>44233</v>
      </c>
      <c r="C729">
        <v>2021</v>
      </c>
      <c r="D729" t="s">
        <v>12</v>
      </c>
      <c r="E729" t="s">
        <v>3870</v>
      </c>
      <c r="F729" t="s">
        <v>4695</v>
      </c>
      <c r="G729" t="s">
        <v>4301</v>
      </c>
      <c r="H729" s="16">
        <v>0.52</v>
      </c>
      <c r="I729" t="s">
        <v>4764</v>
      </c>
      <c r="J729" t="s">
        <v>4614</v>
      </c>
    </row>
    <row r="730" spans="1:10">
      <c r="A730" t="s">
        <v>985</v>
      </c>
      <c r="B730" s="2">
        <v>44236</v>
      </c>
      <c r="C730">
        <v>2021</v>
      </c>
      <c r="D730" t="s">
        <v>33</v>
      </c>
      <c r="E730" t="s">
        <v>45</v>
      </c>
      <c r="F730" t="s">
        <v>4698</v>
      </c>
      <c r="G730" t="s">
        <v>4302</v>
      </c>
      <c r="H730" s="16">
        <v>0.1</v>
      </c>
      <c r="I730" t="s">
        <v>4764</v>
      </c>
      <c r="J730" t="s">
        <v>4614</v>
      </c>
    </row>
    <row r="731" spans="1:10">
      <c r="A731" t="s">
        <v>986</v>
      </c>
      <c r="B731" s="2">
        <v>44241</v>
      </c>
      <c r="C731">
        <v>2021</v>
      </c>
      <c r="D731" t="s">
        <v>33</v>
      </c>
      <c r="E731" t="s">
        <v>34</v>
      </c>
      <c r="F731" t="s">
        <v>4698</v>
      </c>
      <c r="G731" t="s">
        <v>987</v>
      </c>
      <c r="H731" s="16">
        <v>0.1</v>
      </c>
      <c r="I731" t="s">
        <v>4764</v>
      </c>
      <c r="J731" t="s">
        <v>4614</v>
      </c>
    </row>
    <row r="732" spans="1:10">
      <c r="A732" t="s">
        <v>988</v>
      </c>
      <c r="B732" s="2">
        <v>44243</v>
      </c>
      <c r="C732">
        <v>2021</v>
      </c>
      <c r="D732" t="s">
        <v>15</v>
      </c>
      <c r="E732" t="s">
        <v>3832</v>
      </c>
      <c r="F732" t="s">
        <v>4693</v>
      </c>
      <c r="G732" t="s">
        <v>989</v>
      </c>
      <c r="H732" s="16">
        <v>0.34</v>
      </c>
      <c r="I732" t="s">
        <v>4764</v>
      </c>
      <c r="J732" t="s">
        <v>4614</v>
      </c>
    </row>
    <row r="733" spans="1:10">
      <c r="A733" t="s">
        <v>990</v>
      </c>
      <c r="B733" s="2">
        <v>44244</v>
      </c>
      <c r="C733">
        <v>2021</v>
      </c>
      <c r="D733" t="s">
        <v>8</v>
      </c>
      <c r="E733" t="s">
        <v>3850</v>
      </c>
      <c r="F733" t="s">
        <v>4696</v>
      </c>
      <c r="G733" t="s">
        <v>4303</v>
      </c>
      <c r="H733" s="16">
        <v>0.98</v>
      </c>
      <c r="I733" t="s">
        <v>4764</v>
      </c>
      <c r="J733" t="s">
        <v>4614</v>
      </c>
    </row>
    <row r="734" spans="1:10">
      <c r="A734" t="s">
        <v>991</v>
      </c>
      <c r="B734" s="2">
        <v>44256</v>
      </c>
      <c r="C734">
        <v>2021</v>
      </c>
      <c r="D734" t="s">
        <v>8</v>
      </c>
      <c r="E734" t="s">
        <v>23</v>
      </c>
      <c r="F734" t="s">
        <v>4696</v>
      </c>
      <c r="G734" t="s">
        <v>4304</v>
      </c>
      <c r="H734" s="16">
        <v>3.21</v>
      </c>
      <c r="I734" t="s">
        <v>4764</v>
      </c>
      <c r="J734" t="s">
        <v>4614</v>
      </c>
    </row>
    <row r="735" spans="1:10">
      <c r="A735" t="s">
        <v>992</v>
      </c>
      <c r="B735" s="2">
        <v>44256</v>
      </c>
      <c r="C735">
        <v>2021</v>
      </c>
      <c r="D735" t="s">
        <v>15</v>
      </c>
      <c r="E735" t="s">
        <v>3832</v>
      </c>
      <c r="F735" t="s">
        <v>4693</v>
      </c>
      <c r="G735" t="s">
        <v>4305</v>
      </c>
      <c r="H735" s="16">
        <v>0.44</v>
      </c>
      <c r="I735" t="s">
        <v>4764</v>
      </c>
      <c r="J735" t="s">
        <v>4614</v>
      </c>
    </row>
    <row r="736" spans="1:10">
      <c r="A736" t="s">
        <v>993</v>
      </c>
      <c r="B736" s="2">
        <v>44257</v>
      </c>
      <c r="C736">
        <v>2021</v>
      </c>
      <c r="D736" t="s">
        <v>25</v>
      </c>
      <c r="E736" t="s">
        <v>29</v>
      </c>
      <c r="F736" t="s">
        <v>4694</v>
      </c>
      <c r="G736" t="s">
        <v>4190</v>
      </c>
      <c r="H736" s="16">
        <v>0.37</v>
      </c>
      <c r="I736" t="s">
        <v>4764</v>
      </c>
      <c r="J736" t="s">
        <v>4614</v>
      </c>
    </row>
    <row r="737" spans="1:10">
      <c r="A737" t="s">
        <v>994</v>
      </c>
      <c r="B737" s="2">
        <v>44259</v>
      </c>
      <c r="C737">
        <v>2021</v>
      </c>
      <c r="D737" t="s">
        <v>25</v>
      </c>
      <c r="E737" t="s">
        <v>3862</v>
      </c>
      <c r="F737" t="s">
        <v>4694</v>
      </c>
      <c r="G737" t="s">
        <v>995</v>
      </c>
      <c r="H737" s="16">
        <v>0.41</v>
      </c>
      <c r="I737" t="s">
        <v>4764</v>
      </c>
      <c r="J737" t="s">
        <v>4614</v>
      </c>
    </row>
    <row r="738" spans="1:10">
      <c r="A738" t="s">
        <v>996</v>
      </c>
      <c r="B738" s="2">
        <v>44259</v>
      </c>
      <c r="C738">
        <v>2021</v>
      </c>
      <c r="D738" t="s">
        <v>8</v>
      </c>
      <c r="E738" t="s">
        <v>31</v>
      </c>
      <c r="F738" t="s">
        <v>4696</v>
      </c>
      <c r="G738" t="s">
        <v>4306</v>
      </c>
      <c r="H738" s="16">
        <v>50</v>
      </c>
      <c r="I738" t="s">
        <v>4763</v>
      </c>
      <c r="J738" t="s">
        <v>4614</v>
      </c>
    </row>
    <row r="739" spans="1:10">
      <c r="A739" t="s">
        <v>997</v>
      </c>
      <c r="B739" s="2">
        <v>44261</v>
      </c>
      <c r="C739">
        <v>2021</v>
      </c>
      <c r="D739" t="s">
        <v>15</v>
      </c>
      <c r="E739" t="s">
        <v>3832</v>
      </c>
      <c r="F739" t="s">
        <v>4693</v>
      </c>
      <c r="G739" t="s">
        <v>4307</v>
      </c>
      <c r="H739" s="16">
        <v>1.89</v>
      </c>
      <c r="I739" t="s">
        <v>4764</v>
      </c>
      <c r="J739" t="s">
        <v>4614</v>
      </c>
    </row>
    <row r="740" spans="1:10">
      <c r="A740" t="s">
        <v>998</v>
      </c>
      <c r="B740" s="2">
        <v>44265</v>
      </c>
      <c r="C740">
        <v>2021</v>
      </c>
      <c r="D740" t="s">
        <v>8</v>
      </c>
      <c r="E740" t="s">
        <v>3850</v>
      </c>
      <c r="F740" t="s">
        <v>4696</v>
      </c>
      <c r="G740" t="s">
        <v>999</v>
      </c>
      <c r="H740" s="16">
        <v>1.78</v>
      </c>
      <c r="I740" t="s">
        <v>4764</v>
      </c>
      <c r="J740" t="s">
        <v>4614</v>
      </c>
    </row>
    <row r="741" spans="1:10">
      <c r="A741" t="s">
        <v>1000</v>
      </c>
      <c r="B741" s="2">
        <v>44271</v>
      </c>
      <c r="C741">
        <v>2021</v>
      </c>
      <c r="D741" t="s">
        <v>12</v>
      </c>
      <c r="E741" t="s">
        <v>3839</v>
      </c>
      <c r="F741" t="s">
        <v>4695</v>
      </c>
      <c r="G741" t="s">
        <v>4308</v>
      </c>
      <c r="H741" s="16">
        <v>0.26</v>
      </c>
      <c r="I741" t="s">
        <v>4764</v>
      </c>
      <c r="J741" t="s">
        <v>4614</v>
      </c>
    </row>
    <row r="742" spans="1:10">
      <c r="A742" t="s">
        <v>1001</v>
      </c>
      <c r="B742" s="2">
        <v>44271</v>
      </c>
      <c r="C742">
        <v>2021</v>
      </c>
      <c r="D742" t="s">
        <v>25</v>
      </c>
      <c r="E742" t="s">
        <v>3839</v>
      </c>
      <c r="F742" t="s">
        <v>4694</v>
      </c>
      <c r="G742" t="s">
        <v>4309</v>
      </c>
      <c r="H742" s="16">
        <v>0.12</v>
      </c>
      <c r="I742" t="s">
        <v>4764</v>
      </c>
      <c r="J742" t="s">
        <v>4614</v>
      </c>
    </row>
    <row r="743" spans="1:10">
      <c r="A743" t="s">
        <v>1002</v>
      </c>
      <c r="B743" s="2">
        <v>44272</v>
      </c>
      <c r="C743">
        <v>2021</v>
      </c>
      <c r="D743" t="s">
        <v>33</v>
      </c>
      <c r="E743" t="s">
        <v>45</v>
      </c>
      <c r="F743" t="s">
        <v>4698</v>
      </c>
      <c r="G743" t="s">
        <v>4310</v>
      </c>
      <c r="H743" s="16">
        <v>0.35</v>
      </c>
      <c r="I743" t="s">
        <v>4764</v>
      </c>
      <c r="J743" t="s">
        <v>4614</v>
      </c>
    </row>
    <row r="744" spans="1:10">
      <c r="A744" t="s">
        <v>1003</v>
      </c>
      <c r="B744" s="2">
        <v>44277</v>
      </c>
      <c r="C744">
        <v>2021</v>
      </c>
      <c r="D744" t="s">
        <v>25</v>
      </c>
      <c r="E744" t="s">
        <v>3839</v>
      </c>
      <c r="F744" t="s">
        <v>4694</v>
      </c>
      <c r="G744" t="s">
        <v>3962</v>
      </c>
      <c r="H744" s="16">
        <v>0.22</v>
      </c>
      <c r="I744" t="s">
        <v>4764</v>
      </c>
      <c r="J744" t="s">
        <v>4614</v>
      </c>
    </row>
    <row r="745" spans="1:10">
      <c r="A745" t="s">
        <v>1004</v>
      </c>
      <c r="B745" s="2">
        <v>44277</v>
      </c>
      <c r="C745">
        <v>2021</v>
      </c>
      <c r="D745" t="s">
        <v>8</v>
      </c>
      <c r="E745" t="s">
        <v>23</v>
      </c>
      <c r="F745" t="s">
        <v>4696</v>
      </c>
      <c r="G745" t="s">
        <v>1005</v>
      </c>
      <c r="H745" s="16">
        <v>0.56999999999999995</v>
      </c>
      <c r="I745" t="s">
        <v>4764</v>
      </c>
      <c r="J745" t="s">
        <v>4614</v>
      </c>
    </row>
    <row r="746" spans="1:10">
      <c r="A746" t="s">
        <v>1006</v>
      </c>
      <c r="B746" s="2">
        <v>44282</v>
      </c>
      <c r="C746">
        <v>2021</v>
      </c>
      <c r="D746" t="s">
        <v>12</v>
      </c>
      <c r="E746" t="s">
        <v>3839</v>
      </c>
      <c r="F746" t="s">
        <v>4695</v>
      </c>
      <c r="G746" t="s">
        <v>4311</v>
      </c>
      <c r="H746" s="16">
        <v>0.64</v>
      </c>
      <c r="I746" t="s">
        <v>4764</v>
      </c>
      <c r="J746" t="s">
        <v>4614</v>
      </c>
    </row>
    <row r="747" spans="1:10">
      <c r="A747" t="s">
        <v>1007</v>
      </c>
      <c r="B747" s="2">
        <v>44282</v>
      </c>
      <c r="C747">
        <v>2021</v>
      </c>
      <c r="D747" t="s">
        <v>25</v>
      </c>
      <c r="E747" t="s">
        <v>13</v>
      </c>
      <c r="F747" t="s">
        <v>4694</v>
      </c>
      <c r="G747" t="s">
        <v>4312</v>
      </c>
      <c r="H747" s="16">
        <v>0.2</v>
      </c>
      <c r="I747" t="s">
        <v>4764</v>
      </c>
      <c r="J747" t="s">
        <v>4614</v>
      </c>
    </row>
    <row r="748" spans="1:10">
      <c r="A748" t="s">
        <v>1008</v>
      </c>
      <c r="B748" s="2">
        <v>44282</v>
      </c>
      <c r="C748">
        <v>2021</v>
      </c>
      <c r="D748" t="s">
        <v>12</v>
      </c>
      <c r="E748" t="s">
        <v>3870</v>
      </c>
      <c r="F748" t="s">
        <v>4695</v>
      </c>
      <c r="G748" t="s">
        <v>1009</v>
      </c>
      <c r="H748" s="16">
        <v>0.34</v>
      </c>
      <c r="I748" t="s">
        <v>4764</v>
      </c>
      <c r="J748" t="s">
        <v>4614</v>
      </c>
    </row>
    <row r="749" spans="1:10">
      <c r="A749" t="s">
        <v>1010</v>
      </c>
      <c r="B749" s="2">
        <v>44288</v>
      </c>
      <c r="C749">
        <v>2021</v>
      </c>
      <c r="D749" t="s">
        <v>25</v>
      </c>
      <c r="E749" t="s">
        <v>3862</v>
      </c>
      <c r="F749" t="s">
        <v>4694</v>
      </c>
      <c r="G749" t="s">
        <v>1011</v>
      </c>
      <c r="H749" s="16">
        <v>0.01</v>
      </c>
      <c r="I749" t="s">
        <v>4764</v>
      </c>
      <c r="J749" t="s">
        <v>4614</v>
      </c>
    </row>
    <row r="750" spans="1:10">
      <c r="A750" t="s">
        <v>1012</v>
      </c>
      <c r="B750" s="2">
        <v>44288</v>
      </c>
      <c r="C750">
        <v>2021</v>
      </c>
      <c r="D750" t="s">
        <v>25</v>
      </c>
      <c r="E750" t="s">
        <v>3836</v>
      </c>
      <c r="F750" t="s">
        <v>4694</v>
      </c>
      <c r="G750" t="s">
        <v>4313</v>
      </c>
      <c r="H750" s="16">
        <v>0.22</v>
      </c>
      <c r="I750" t="s">
        <v>4764</v>
      </c>
      <c r="J750" t="s">
        <v>4614</v>
      </c>
    </row>
    <row r="751" spans="1:10">
      <c r="A751" t="s">
        <v>1013</v>
      </c>
      <c r="B751" s="2">
        <v>44292</v>
      </c>
      <c r="C751">
        <v>2021</v>
      </c>
      <c r="D751" t="s">
        <v>25</v>
      </c>
      <c r="E751" t="s">
        <v>49</v>
      </c>
      <c r="F751" t="s">
        <v>4694</v>
      </c>
      <c r="G751" t="s">
        <v>4314</v>
      </c>
      <c r="H751" s="16">
        <v>0.52</v>
      </c>
      <c r="I751" t="s">
        <v>4764</v>
      </c>
      <c r="J751" t="s">
        <v>4614</v>
      </c>
    </row>
    <row r="752" spans="1:10">
      <c r="A752" t="s">
        <v>1014</v>
      </c>
      <c r="B752" s="2">
        <v>44294</v>
      </c>
      <c r="C752">
        <v>2021</v>
      </c>
      <c r="D752" t="s">
        <v>25</v>
      </c>
      <c r="E752" t="s">
        <v>13</v>
      </c>
      <c r="F752" t="s">
        <v>4694</v>
      </c>
      <c r="G752" t="s">
        <v>4315</v>
      </c>
      <c r="H752" s="16">
        <v>0.1</v>
      </c>
      <c r="I752" t="s">
        <v>4764</v>
      </c>
      <c r="J752" t="s">
        <v>4614</v>
      </c>
    </row>
    <row r="753" spans="1:10">
      <c r="A753" t="s">
        <v>1015</v>
      </c>
      <c r="B753" s="2">
        <v>44303</v>
      </c>
      <c r="C753">
        <v>2021</v>
      </c>
      <c r="D753" t="s">
        <v>33</v>
      </c>
      <c r="E753" t="s">
        <v>45</v>
      </c>
      <c r="F753" t="s">
        <v>4698</v>
      </c>
      <c r="G753" t="s">
        <v>1016</v>
      </c>
      <c r="H753" s="16">
        <v>0.06</v>
      </c>
      <c r="I753" t="s">
        <v>4764</v>
      </c>
      <c r="J753" t="s">
        <v>4614</v>
      </c>
    </row>
    <row r="754" spans="1:10">
      <c r="A754" t="s">
        <v>1017</v>
      </c>
      <c r="B754" s="2">
        <v>44309</v>
      </c>
      <c r="C754">
        <v>2021</v>
      </c>
      <c r="D754" t="s">
        <v>12</v>
      </c>
      <c r="E754" t="s">
        <v>34</v>
      </c>
      <c r="F754" t="s">
        <v>4695</v>
      </c>
      <c r="G754" t="s">
        <v>666</v>
      </c>
      <c r="H754" s="16">
        <v>0.05</v>
      </c>
      <c r="I754" t="s">
        <v>4764</v>
      </c>
      <c r="J754" t="s">
        <v>4614</v>
      </c>
    </row>
    <row r="755" spans="1:10">
      <c r="A755" t="s">
        <v>1018</v>
      </c>
      <c r="B755" s="2">
        <v>44317</v>
      </c>
      <c r="C755">
        <v>2021</v>
      </c>
      <c r="D755" t="s">
        <v>33</v>
      </c>
      <c r="E755" t="s">
        <v>34</v>
      </c>
      <c r="F755" t="s">
        <v>4698</v>
      </c>
      <c r="G755" t="s">
        <v>4316</v>
      </c>
      <c r="H755" s="16">
        <v>0.03</v>
      </c>
      <c r="I755" t="s">
        <v>4764</v>
      </c>
      <c r="J755" t="s">
        <v>4614</v>
      </c>
    </row>
    <row r="756" spans="1:10">
      <c r="A756" t="s">
        <v>1019</v>
      </c>
      <c r="B756" s="2">
        <v>44318</v>
      </c>
      <c r="C756">
        <v>2021</v>
      </c>
      <c r="D756" t="s">
        <v>8</v>
      </c>
      <c r="E756" t="s">
        <v>376</v>
      </c>
      <c r="F756" t="s">
        <v>4696</v>
      </c>
      <c r="G756" t="s">
        <v>4317</v>
      </c>
      <c r="H756" s="16">
        <v>50</v>
      </c>
      <c r="I756" t="s">
        <v>4763</v>
      </c>
      <c r="J756" t="s">
        <v>4614</v>
      </c>
    </row>
    <row r="757" spans="1:10">
      <c r="A757" t="s">
        <v>1020</v>
      </c>
      <c r="B757" s="2">
        <v>44319</v>
      </c>
      <c r="C757">
        <v>2021</v>
      </c>
      <c r="D757" t="s">
        <v>25</v>
      </c>
      <c r="E757" t="s">
        <v>29</v>
      </c>
      <c r="F757" t="s">
        <v>4694</v>
      </c>
      <c r="G757" t="s">
        <v>4318</v>
      </c>
      <c r="H757" s="16">
        <v>0.09</v>
      </c>
      <c r="I757" t="s">
        <v>4764</v>
      </c>
      <c r="J757" t="s">
        <v>4614</v>
      </c>
    </row>
    <row r="758" spans="1:10">
      <c r="A758" t="s">
        <v>1021</v>
      </c>
      <c r="B758" s="2">
        <v>44322</v>
      </c>
      <c r="C758">
        <v>2021</v>
      </c>
      <c r="D758" t="s">
        <v>25</v>
      </c>
      <c r="E758" t="s">
        <v>72</v>
      </c>
      <c r="F758" t="s">
        <v>4694</v>
      </c>
      <c r="G758" t="s">
        <v>4319</v>
      </c>
      <c r="H758" s="16">
        <v>7.0000000000000007E-2</v>
      </c>
      <c r="I758" t="s">
        <v>4764</v>
      </c>
      <c r="J758" t="s">
        <v>4614</v>
      </c>
    </row>
    <row r="759" spans="1:10">
      <c r="A759" t="s">
        <v>1022</v>
      </c>
      <c r="B759" s="2">
        <v>44323</v>
      </c>
      <c r="C759">
        <v>2021</v>
      </c>
      <c r="D759" t="s">
        <v>8</v>
      </c>
      <c r="E759" t="s">
        <v>125</v>
      </c>
      <c r="F759" t="s">
        <v>4696</v>
      </c>
      <c r="G759" t="s">
        <v>529</v>
      </c>
      <c r="H759" s="16">
        <v>8.9499999999999993</v>
      </c>
      <c r="I759" t="s">
        <v>4764</v>
      </c>
      <c r="J759" t="s">
        <v>4614</v>
      </c>
    </row>
    <row r="760" spans="1:10">
      <c r="A760" t="s">
        <v>1023</v>
      </c>
      <c r="B760" s="2">
        <v>44324</v>
      </c>
      <c r="C760">
        <v>2021</v>
      </c>
      <c r="D760" t="s">
        <v>8</v>
      </c>
      <c r="E760" t="s">
        <v>53</v>
      </c>
      <c r="F760" t="s">
        <v>4696</v>
      </c>
      <c r="G760" t="s">
        <v>1024</v>
      </c>
      <c r="H760" s="16">
        <v>14.05</v>
      </c>
      <c r="I760" t="s">
        <v>4763</v>
      </c>
      <c r="J760" t="s">
        <v>4614</v>
      </c>
    </row>
    <row r="761" spans="1:10">
      <c r="A761" t="s">
        <v>1025</v>
      </c>
      <c r="B761" s="2">
        <v>44324</v>
      </c>
      <c r="C761">
        <v>2021</v>
      </c>
      <c r="D761" t="s">
        <v>33</v>
      </c>
      <c r="E761" t="s">
        <v>72</v>
      </c>
      <c r="F761" t="s">
        <v>4698</v>
      </c>
      <c r="G761" t="s">
        <v>284</v>
      </c>
      <c r="H761" s="16">
        <v>0.33</v>
      </c>
      <c r="I761" t="s">
        <v>4764</v>
      </c>
      <c r="J761" t="s">
        <v>4614</v>
      </c>
    </row>
    <row r="762" spans="1:10">
      <c r="A762" t="s">
        <v>1026</v>
      </c>
      <c r="B762" s="2">
        <v>44327</v>
      </c>
      <c r="C762">
        <v>2021</v>
      </c>
      <c r="D762" t="s">
        <v>8</v>
      </c>
      <c r="E762" t="s">
        <v>9</v>
      </c>
      <c r="F762" t="s">
        <v>4696</v>
      </c>
      <c r="G762" t="s">
        <v>4320</v>
      </c>
      <c r="H762" s="16">
        <v>1.47</v>
      </c>
      <c r="I762" t="s">
        <v>4764</v>
      </c>
      <c r="J762" t="s">
        <v>4614</v>
      </c>
    </row>
    <row r="763" spans="1:10">
      <c r="A763" t="s">
        <v>1027</v>
      </c>
      <c r="B763" s="2">
        <v>44328</v>
      </c>
      <c r="C763">
        <v>2021</v>
      </c>
      <c r="D763" t="s">
        <v>25</v>
      </c>
      <c r="E763" t="s">
        <v>49</v>
      </c>
      <c r="F763" t="s">
        <v>4694</v>
      </c>
      <c r="G763" t="s">
        <v>4321</v>
      </c>
      <c r="H763" s="16">
        <v>0.13</v>
      </c>
      <c r="I763" t="s">
        <v>4764</v>
      </c>
      <c r="J763" t="s">
        <v>4614</v>
      </c>
    </row>
    <row r="764" spans="1:10">
      <c r="A764" t="s">
        <v>1028</v>
      </c>
      <c r="B764" s="2">
        <v>44329</v>
      </c>
      <c r="C764">
        <v>2021</v>
      </c>
      <c r="D764" t="s">
        <v>25</v>
      </c>
      <c r="E764" t="s">
        <v>3839</v>
      </c>
      <c r="F764" t="s">
        <v>4694</v>
      </c>
      <c r="G764" t="s">
        <v>4322</v>
      </c>
      <c r="H764" s="16">
        <v>0.13</v>
      </c>
      <c r="I764" t="s">
        <v>4764</v>
      </c>
      <c r="J764" t="s">
        <v>4614</v>
      </c>
    </row>
    <row r="765" spans="1:10">
      <c r="A765" t="s">
        <v>1029</v>
      </c>
      <c r="B765" s="2">
        <v>44334</v>
      </c>
      <c r="C765">
        <v>2021</v>
      </c>
      <c r="D765" t="s">
        <v>25</v>
      </c>
      <c r="E765" t="s">
        <v>29</v>
      </c>
      <c r="F765" t="s">
        <v>4694</v>
      </c>
      <c r="G765" t="s">
        <v>4323</v>
      </c>
      <c r="H765" s="16">
        <v>0.27</v>
      </c>
      <c r="I765" t="s">
        <v>4764</v>
      </c>
      <c r="J765" t="s">
        <v>4614</v>
      </c>
    </row>
    <row r="766" spans="1:10">
      <c r="A766" t="s">
        <v>1030</v>
      </c>
      <c r="B766" s="2">
        <v>44334</v>
      </c>
      <c r="C766">
        <v>2021</v>
      </c>
      <c r="D766" t="s">
        <v>8</v>
      </c>
      <c r="E766" t="s">
        <v>3846</v>
      </c>
      <c r="F766" t="s">
        <v>4696</v>
      </c>
      <c r="G766" t="s">
        <v>4324</v>
      </c>
      <c r="H766" s="16">
        <v>11.42</v>
      </c>
      <c r="I766" t="s">
        <v>4763</v>
      </c>
      <c r="J766" t="s">
        <v>4614</v>
      </c>
    </row>
    <row r="767" spans="1:10">
      <c r="A767" t="s">
        <v>1031</v>
      </c>
      <c r="B767" s="2">
        <v>44335</v>
      </c>
      <c r="C767">
        <v>2021</v>
      </c>
      <c r="D767" t="s">
        <v>8</v>
      </c>
      <c r="E767" t="s">
        <v>3903</v>
      </c>
      <c r="F767" t="s">
        <v>4696</v>
      </c>
      <c r="G767" t="s">
        <v>4325</v>
      </c>
      <c r="H767" s="16">
        <v>16.91</v>
      </c>
      <c r="I767" t="s">
        <v>4763</v>
      </c>
      <c r="J767" t="s">
        <v>4614</v>
      </c>
    </row>
    <row r="768" spans="1:10">
      <c r="A768" t="s">
        <v>1032</v>
      </c>
      <c r="B768" s="2">
        <v>44336</v>
      </c>
      <c r="C768">
        <v>2021</v>
      </c>
      <c r="D768" t="s">
        <v>12</v>
      </c>
      <c r="E768" t="s">
        <v>45</v>
      </c>
      <c r="F768" t="s">
        <v>4695</v>
      </c>
      <c r="G768" t="s">
        <v>4326</v>
      </c>
      <c r="H768" s="16">
        <v>0.48</v>
      </c>
      <c r="I768" t="s">
        <v>4764</v>
      </c>
      <c r="J768" t="s">
        <v>4614</v>
      </c>
    </row>
    <row r="769" spans="1:10">
      <c r="A769" t="s">
        <v>1033</v>
      </c>
      <c r="B769" s="2">
        <v>44339</v>
      </c>
      <c r="C769">
        <v>2021</v>
      </c>
      <c r="D769" t="s">
        <v>15</v>
      </c>
      <c r="E769" t="s">
        <v>3832</v>
      </c>
      <c r="F769" t="s">
        <v>4693</v>
      </c>
      <c r="G769" t="s">
        <v>4327</v>
      </c>
      <c r="H769" s="16">
        <v>0.91</v>
      </c>
      <c r="I769" t="s">
        <v>4764</v>
      </c>
      <c r="J769" t="s">
        <v>4614</v>
      </c>
    </row>
    <row r="770" spans="1:10">
      <c r="A770" t="s">
        <v>1034</v>
      </c>
      <c r="B770" s="2">
        <v>44339</v>
      </c>
      <c r="C770">
        <v>2021</v>
      </c>
      <c r="D770" t="s">
        <v>25</v>
      </c>
      <c r="E770" t="s">
        <v>45</v>
      </c>
      <c r="F770" t="s">
        <v>4694</v>
      </c>
      <c r="G770" t="s">
        <v>4328</v>
      </c>
      <c r="H770" s="16">
        <v>0.11</v>
      </c>
      <c r="I770" t="s">
        <v>4764</v>
      </c>
      <c r="J770" t="s">
        <v>4614</v>
      </c>
    </row>
    <row r="771" spans="1:10">
      <c r="A771" t="s">
        <v>1035</v>
      </c>
      <c r="B771" s="2">
        <v>44342</v>
      </c>
      <c r="C771">
        <v>2021</v>
      </c>
      <c r="D771" t="s">
        <v>15</v>
      </c>
      <c r="E771" t="s">
        <v>3832</v>
      </c>
      <c r="F771" t="s">
        <v>4693</v>
      </c>
      <c r="G771" t="s">
        <v>4329</v>
      </c>
      <c r="H771" s="16">
        <v>0.33</v>
      </c>
      <c r="I771" t="s">
        <v>4764</v>
      </c>
      <c r="J771" t="s">
        <v>4614</v>
      </c>
    </row>
    <row r="772" spans="1:10">
      <c r="A772" t="s">
        <v>1036</v>
      </c>
      <c r="B772" s="2">
        <v>44351</v>
      </c>
      <c r="C772">
        <v>2021</v>
      </c>
      <c r="D772" t="s">
        <v>8</v>
      </c>
      <c r="E772" t="s">
        <v>17</v>
      </c>
      <c r="F772" t="s">
        <v>4696</v>
      </c>
      <c r="G772" t="s">
        <v>1037</v>
      </c>
      <c r="H772" s="16">
        <v>0.76</v>
      </c>
      <c r="I772" t="s">
        <v>4764</v>
      </c>
      <c r="J772" t="s">
        <v>4614</v>
      </c>
    </row>
    <row r="773" spans="1:10">
      <c r="A773" t="s">
        <v>1038</v>
      </c>
      <c r="B773" s="2">
        <v>44351</v>
      </c>
      <c r="C773">
        <v>2021</v>
      </c>
      <c r="D773" t="s">
        <v>25</v>
      </c>
      <c r="E773" t="s">
        <v>72</v>
      </c>
      <c r="F773" t="s">
        <v>4694</v>
      </c>
      <c r="G773" t="s">
        <v>4330</v>
      </c>
      <c r="H773" s="16">
        <v>0.19</v>
      </c>
      <c r="I773" t="s">
        <v>4764</v>
      </c>
      <c r="J773" t="s">
        <v>4614</v>
      </c>
    </row>
    <row r="774" spans="1:10">
      <c r="A774" t="s">
        <v>1039</v>
      </c>
      <c r="B774" s="2">
        <v>44354</v>
      </c>
      <c r="C774">
        <v>2021</v>
      </c>
      <c r="D774" t="s">
        <v>12</v>
      </c>
      <c r="E774" t="s">
        <v>3854</v>
      </c>
      <c r="F774" t="s">
        <v>4695</v>
      </c>
      <c r="G774" t="s">
        <v>4331</v>
      </c>
      <c r="H774" s="16">
        <v>0.12</v>
      </c>
      <c r="I774" t="s">
        <v>4764</v>
      </c>
      <c r="J774" t="s">
        <v>4614</v>
      </c>
    </row>
    <row r="775" spans="1:10">
      <c r="A775" t="s">
        <v>1040</v>
      </c>
      <c r="B775" s="2">
        <v>44361</v>
      </c>
      <c r="C775">
        <v>2021</v>
      </c>
      <c r="D775" t="s">
        <v>25</v>
      </c>
      <c r="E775" t="s">
        <v>47</v>
      </c>
      <c r="F775" t="s">
        <v>4694</v>
      </c>
      <c r="G775" t="s">
        <v>4332</v>
      </c>
      <c r="H775" s="16">
        <v>0.06</v>
      </c>
      <c r="I775" t="s">
        <v>4764</v>
      </c>
      <c r="J775" t="s">
        <v>4614</v>
      </c>
    </row>
    <row r="776" spans="1:10">
      <c r="A776" t="s">
        <v>1041</v>
      </c>
      <c r="B776" s="2">
        <v>44362</v>
      </c>
      <c r="C776">
        <v>2021</v>
      </c>
      <c r="D776" t="s">
        <v>25</v>
      </c>
      <c r="E776" t="s">
        <v>72</v>
      </c>
      <c r="F776" t="s">
        <v>4694</v>
      </c>
      <c r="G776" t="s">
        <v>4333</v>
      </c>
      <c r="H776" s="16">
        <v>0.26</v>
      </c>
      <c r="I776" t="s">
        <v>4764</v>
      </c>
      <c r="J776" t="s">
        <v>4614</v>
      </c>
    </row>
    <row r="777" spans="1:10">
      <c r="A777" t="s">
        <v>1042</v>
      </c>
      <c r="B777" s="2">
        <v>44364</v>
      </c>
      <c r="C777">
        <v>2021</v>
      </c>
      <c r="D777" t="s">
        <v>25</v>
      </c>
      <c r="E777" t="s">
        <v>47</v>
      </c>
      <c r="F777" t="s">
        <v>4694</v>
      </c>
      <c r="G777" t="s">
        <v>4334</v>
      </c>
      <c r="H777" s="16">
        <v>0.54</v>
      </c>
      <c r="I777" t="s">
        <v>4764</v>
      </c>
      <c r="J777" t="s">
        <v>4614</v>
      </c>
    </row>
    <row r="778" spans="1:10">
      <c r="A778" t="s">
        <v>1043</v>
      </c>
      <c r="B778" s="2">
        <v>44370</v>
      </c>
      <c r="C778">
        <v>2021</v>
      </c>
      <c r="D778" t="s">
        <v>12</v>
      </c>
      <c r="E778" t="s">
        <v>45</v>
      </c>
      <c r="F778" t="s">
        <v>4695</v>
      </c>
      <c r="G778" t="s">
        <v>4335</v>
      </c>
      <c r="H778" s="16">
        <v>1.02</v>
      </c>
      <c r="I778" t="s">
        <v>4764</v>
      </c>
      <c r="J778" t="s">
        <v>4614</v>
      </c>
    </row>
    <row r="779" spans="1:10">
      <c r="A779" t="s">
        <v>1044</v>
      </c>
      <c r="B779" s="2">
        <v>44371</v>
      </c>
      <c r="C779">
        <v>2021</v>
      </c>
      <c r="D779" t="s">
        <v>25</v>
      </c>
      <c r="E779" t="s">
        <v>19</v>
      </c>
      <c r="F779" t="s">
        <v>4694</v>
      </c>
      <c r="G779" t="s">
        <v>4268</v>
      </c>
      <c r="H779" s="16">
        <v>0.09</v>
      </c>
      <c r="I779" t="s">
        <v>4764</v>
      </c>
      <c r="J779" t="s">
        <v>4614</v>
      </c>
    </row>
    <row r="780" spans="1:10">
      <c r="A780" t="s">
        <v>1045</v>
      </c>
      <c r="B780" s="2">
        <v>44371</v>
      </c>
      <c r="C780">
        <v>2021</v>
      </c>
      <c r="D780" t="s">
        <v>33</v>
      </c>
      <c r="E780" t="s">
        <v>13</v>
      </c>
      <c r="F780" t="s">
        <v>4698</v>
      </c>
      <c r="G780" t="s">
        <v>4304</v>
      </c>
      <c r="H780" s="16">
        <v>0.7</v>
      </c>
      <c r="I780" t="s">
        <v>4764</v>
      </c>
      <c r="J780" t="s">
        <v>4614</v>
      </c>
    </row>
    <row r="781" spans="1:10">
      <c r="A781" t="s">
        <v>1046</v>
      </c>
      <c r="B781" s="2">
        <v>44373</v>
      </c>
      <c r="C781">
        <v>2021</v>
      </c>
      <c r="D781" t="s">
        <v>25</v>
      </c>
      <c r="E781" t="s">
        <v>3854</v>
      </c>
      <c r="F781" t="s">
        <v>4694</v>
      </c>
      <c r="G781" t="s">
        <v>4336</v>
      </c>
      <c r="H781" s="16">
        <v>0.06</v>
      </c>
      <c r="I781" t="s">
        <v>4764</v>
      </c>
      <c r="J781" t="s">
        <v>4614</v>
      </c>
    </row>
    <row r="782" spans="1:10">
      <c r="A782" t="s">
        <v>1047</v>
      </c>
      <c r="B782" s="2">
        <v>44374</v>
      </c>
      <c r="C782">
        <v>2021</v>
      </c>
      <c r="D782" t="s">
        <v>25</v>
      </c>
      <c r="E782" t="s">
        <v>29</v>
      </c>
      <c r="F782" t="s">
        <v>4694</v>
      </c>
      <c r="G782" t="s">
        <v>1048</v>
      </c>
      <c r="H782" s="16">
        <v>0.08</v>
      </c>
      <c r="I782" t="s">
        <v>4764</v>
      </c>
      <c r="J782" t="s">
        <v>4614</v>
      </c>
    </row>
    <row r="783" spans="1:10">
      <c r="A783" t="s">
        <v>1049</v>
      </c>
      <c r="B783" s="2">
        <v>44378</v>
      </c>
      <c r="C783">
        <v>2021</v>
      </c>
      <c r="D783" t="s">
        <v>25</v>
      </c>
      <c r="E783" t="s">
        <v>3862</v>
      </c>
      <c r="F783" t="s">
        <v>4694</v>
      </c>
      <c r="G783" t="s">
        <v>4337</v>
      </c>
      <c r="H783" s="16">
        <v>0.12</v>
      </c>
      <c r="I783" t="s">
        <v>4764</v>
      </c>
      <c r="J783" t="s">
        <v>4614</v>
      </c>
    </row>
    <row r="784" spans="1:10">
      <c r="A784" t="s">
        <v>1050</v>
      </c>
      <c r="B784" s="2">
        <v>44380</v>
      </c>
      <c r="C784">
        <v>2021</v>
      </c>
      <c r="D784" t="s">
        <v>33</v>
      </c>
      <c r="E784" t="s">
        <v>3836</v>
      </c>
      <c r="F784" t="s">
        <v>4698</v>
      </c>
      <c r="G784" t="s">
        <v>4338</v>
      </c>
      <c r="H784" s="16">
        <v>0.19</v>
      </c>
      <c r="I784" t="s">
        <v>4764</v>
      </c>
      <c r="J784" t="s">
        <v>4614</v>
      </c>
    </row>
    <row r="785" spans="1:10">
      <c r="A785" t="s">
        <v>1051</v>
      </c>
      <c r="B785" s="2">
        <v>44381</v>
      </c>
      <c r="C785">
        <v>2021</v>
      </c>
      <c r="D785" t="s">
        <v>25</v>
      </c>
      <c r="E785" t="s">
        <v>45</v>
      </c>
      <c r="F785" t="s">
        <v>4694</v>
      </c>
      <c r="G785" t="s">
        <v>329</v>
      </c>
      <c r="H785" s="16">
        <v>0.14000000000000001</v>
      </c>
      <c r="I785" t="s">
        <v>4764</v>
      </c>
      <c r="J785" t="s">
        <v>4614</v>
      </c>
    </row>
    <row r="786" spans="1:10">
      <c r="A786" t="s">
        <v>1052</v>
      </c>
      <c r="B786" s="2">
        <v>44383</v>
      </c>
      <c r="C786">
        <v>2021</v>
      </c>
      <c r="D786" t="s">
        <v>25</v>
      </c>
      <c r="E786" t="s">
        <v>47</v>
      </c>
      <c r="F786" t="s">
        <v>4694</v>
      </c>
      <c r="G786" t="s">
        <v>4339</v>
      </c>
      <c r="H786" s="16">
        <v>7.0000000000000007E-2</v>
      </c>
      <c r="I786" t="s">
        <v>4764</v>
      </c>
      <c r="J786" t="s">
        <v>4614</v>
      </c>
    </row>
    <row r="787" spans="1:10">
      <c r="A787" t="s">
        <v>1053</v>
      </c>
      <c r="B787" s="2">
        <v>44392</v>
      </c>
      <c r="C787">
        <v>2021</v>
      </c>
      <c r="D787" t="s">
        <v>15</v>
      </c>
      <c r="E787" t="s">
        <v>3832</v>
      </c>
      <c r="F787" t="s">
        <v>4699</v>
      </c>
      <c r="G787" t="s">
        <v>1054</v>
      </c>
      <c r="H787" s="16">
        <v>0.27</v>
      </c>
      <c r="I787" t="s">
        <v>4764</v>
      </c>
      <c r="J787" t="s">
        <v>4613</v>
      </c>
    </row>
    <row r="788" spans="1:10">
      <c r="A788" t="s">
        <v>1055</v>
      </c>
      <c r="B788" s="2">
        <v>44393</v>
      </c>
      <c r="C788">
        <v>2021</v>
      </c>
      <c r="D788" t="s">
        <v>12</v>
      </c>
      <c r="E788" t="s">
        <v>49</v>
      </c>
      <c r="F788" t="s">
        <v>4695</v>
      </c>
      <c r="G788" t="s">
        <v>4340</v>
      </c>
      <c r="H788" s="16">
        <v>0.02</v>
      </c>
      <c r="I788" t="s">
        <v>4764</v>
      </c>
      <c r="J788" t="s">
        <v>4614</v>
      </c>
    </row>
    <row r="789" spans="1:10">
      <c r="A789" t="s">
        <v>1056</v>
      </c>
      <c r="B789" s="2">
        <v>44394</v>
      </c>
      <c r="C789">
        <v>2021</v>
      </c>
      <c r="D789" t="s">
        <v>8</v>
      </c>
      <c r="E789" t="s">
        <v>3903</v>
      </c>
      <c r="F789" t="s">
        <v>4696</v>
      </c>
      <c r="G789" t="s">
        <v>4308</v>
      </c>
      <c r="H789" s="16">
        <v>0.85</v>
      </c>
      <c r="I789" t="s">
        <v>4764</v>
      </c>
      <c r="J789" t="s">
        <v>4614</v>
      </c>
    </row>
    <row r="790" spans="1:10">
      <c r="A790" t="s">
        <v>1057</v>
      </c>
      <c r="B790" s="2">
        <v>44397</v>
      </c>
      <c r="C790">
        <v>2021</v>
      </c>
      <c r="D790" t="s">
        <v>15</v>
      </c>
      <c r="E790" t="s">
        <v>3832</v>
      </c>
      <c r="F790" t="s">
        <v>4693</v>
      </c>
      <c r="G790" t="s">
        <v>4341</v>
      </c>
      <c r="H790" s="16">
        <v>0.05</v>
      </c>
      <c r="I790" t="s">
        <v>4764</v>
      </c>
      <c r="J790" t="s">
        <v>4614</v>
      </c>
    </row>
    <row r="791" spans="1:10">
      <c r="A791" t="s">
        <v>1058</v>
      </c>
      <c r="B791" s="2">
        <v>44397</v>
      </c>
      <c r="C791">
        <v>2021</v>
      </c>
      <c r="D791" t="s">
        <v>8</v>
      </c>
      <c r="E791" t="s">
        <v>125</v>
      </c>
      <c r="F791" t="s">
        <v>4696</v>
      </c>
      <c r="G791" t="s">
        <v>4342</v>
      </c>
      <c r="H791" s="16">
        <v>2.78</v>
      </c>
      <c r="I791" t="s">
        <v>4764</v>
      </c>
      <c r="J791" t="s">
        <v>4614</v>
      </c>
    </row>
    <row r="792" spans="1:10">
      <c r="A792" t="s">
        <v>1059</v>
      </c>
      <c r="B792" s="2">
        <v>44398</v>
      </c>
      <c r="C792">
        <v>2021</v>
      </c>
      <c r="D792" t="s">
        <v>33</v>
      </c>
      <c r="E792" t="s">
        <v>3870</v>
      </c>
      <c r="F792" t="s">
        <v>4698</v>
      </c>
      <c r="G792" t="s">
        <v>770</v>
      </c>
      <c r="H792" s="16">
        <v>0.56000000000000005</v>
      </c>
      <c r="I792" t="s">
        <v>4764</v>
      </c>
      <c r="J792" t="s">
        <v>4614</v>
      </c>
    </row>
    <row r="793" spans="1:10">
      <c r="A793" t="s">
        <v>1060</v>
      </c>
      <c r="B793" s="2">
        <v>44400</v>
      </c>
      <c r="C793">
        <v>2021</v>
      </c>
      <c r="D793" t="s">
        <v>25</v>
      </c>
      <c r="E793" t="s">
        <v>34</v>
      </c>
      <c r="F793" t="s">
        <v>4694</v>
      </c>
      <c r="G793" t="s">
        <v>1061</v>
      </c>
      <c r="H793" s="16">
        <v>1.22</v>
      </c>
      <c r="I793" t="s">
        <v>4764</v>
      </c>
      <c r="J793" t="s">
        <v>4614</v>
      </c>
    </row>
    <row r="794" spans="1:10">
      <c r="A794" t="s">
        <v>1062</v>
      </c>
      <c r="B794" s="2">
        <v>44410</v>
      </c>
      <c r="C794">
        <v>2021</v>
      </c>
      <c r="D794" t="s">
        <v>25</v>
      </c>
      <c r="E794" t="s">
        <v>29</v>
      </c>
      <c r="F794" t="s">
        <v>4694</v>
      </c>
      <c r="G794" t="s">
        <v>1063</v>
      </c>
      <c r="H794" s="16">
        <v>0.16</v>
      </c>
      <c r="I794" t="s">
        <v>4764</v>
      </c>
      <c r="J794" t="s">
        <v>4614</v>
      </c>
    </row>
    <row r="795" spans="1:10">
      <c r="A795" t="s">
        <v>1064</v>
      </c>
      <c r="B795" s="2">
        <v>44417</v>
      </c>
      <c r="C795">
        <v>2021</v>
      </c>
      <c r="D795" t="s">
        <v>25</v>
      </c>
      <c r="E795" t="s">
        <v>3854</v>
      </c>
      <c r="F795" t="s">
        <v>4694</v>
      </c>
      <c r="G795" t="s">
        <v>697</v>
      </c>
      <c r="H795" s="16">
        <v>0.04</v>
      </c>
      <c r="I795" t="s">
        <v>4764</v>
      </c>
      <c r="J795" t="s">
        <v>4614</v>
      </c>
    </row>
    <row r="796" spans="1:10">
      <c r="A796" t="s">
        <v>1065</v>
      </c>
      <c r="B796" s="2">
        <v>44417</v>
      </c>
      <c r="C796">
        <v>2021</v>
      </c>
      <c r="D796" t="s">
        <v>33</v>
      </c>
      <c r="E796" t="s">
        <v>49</v>
      </c>
      <c r="F796" t="s">
        <v>4698</v>
      </c>
      <c r="G796" t="s">
        <v>1066</v>
      </c>
      <c r="H796" s="16">
        <v>7.0000000000000007E-2</v>
      </c>
      <c r="I796" t="s">
        <v>4764</v>
      </c>
      <c r="J796" t="s">
        <v>4614</v>
      </c>
    </row>
    <row r="797" spans="1:10">
      <c r="A797" t="s">
        <v>1067</v>
      </c>
      <c r="B797" s="2">
        <v>44418</v>
      </c>
      <c r="C797">
        <v>2021</v>
      </c>
      <c r="D797" t="s">
        <v>12</v>
      </c>
      <c r="E797" t="s">
        <v>49</v>
      </c>
      <c r="F797" t="s">
        <v>4695</v>
      </c>
      <c r="G797" t="s">
        <v>4343</v>
      </c>
      <c r="H797" s="16">
        <v>0.23</v>
      </c>
      <c r="I797" t="s">
        <v>4764</v>
      </c>
      <c r="J797" t="s">
        <v>4614</v>
      </c>
    </row>
    <row r="798" spans="1:10">
      <c r="A798" t="s">
        <v>1068</v>
      </c>
      <c r="B798" s="2">
        <v>44421</v>
      </c>
      <c r="C798">
        <v>2021</v>
      </c>
      <c r="D798" t="s">
        <v>33</v>
      </c>
      <c r="E798" t="s">
        <v>49</v>
      </c>
      <c r="F798" t="s">
        <v>4698</v>
      </c>
      <c r="G798" t="s">
        <v>1069</v>
      </c>
      <c r="H798" s="16">
        <v>0.2</v>
      </c>
      <c r="I798" t="s">
        <v>4764</v>
      </c>
      <c r="J798" t="s">
        <v>4614</v>
      </c>
    </row>
    <row r="799" spans="1:10">
      <c r="A799" t="s">
        <v>1070</v>
      </c>
      <c r="B799" s="2">
        <v>44424</v>
      </c>
      <c r="C799">
        <v>2021</v>
      </c>
      <c r="D799" t="s">
        <v>25</v>
      </c>
      <c r="E799" t="s">
        <v>29</v>
      </c>
      <c r="F799" t="s">
        <v>4694</v>
      </c>
      <c r="G799" t="s">
        <v>1071</v>
      </c>
      <c r="H799" s="16">
        <v>0.06</v>
      </c>
      <c r="I799" t="s">
        <v>4764</v>
      </c>
      <c r="J799" t="s">
        <v>4614</v>
      </c>
    </row>
    <row r="800" spans="1:10">
      <c r="A800" t="s">
        <v>1072</v>
      </c>
      <c r="B800" s="2">
        <v>44425</v>
      </c>
      <c r="C800">
        <v>2021</v>
      </c>
      <c r="D800" t="s">
        <v>12</v>
      </c>
      <c r="E800" t="s">
        <v>72</v>
      </c>
      <c r="F800" t="s">
        <v>4695</v>
      </c>
      <c r="G800" t="s">
        <v>4344</v>
      </c>
      <c r="H800" s="16">
        <v>0.06</v>
      </c>
      <c r="I800" t="s">
        <v>4764</v>
      </c>
      <c r="J800" t="s">
        <v>4614</v>
      </c>
    </row>
    <row r="801" spans="1:10">
      <c r="A801" t="s">
        <v>1073</v>
      </c>
      <c r="B801" s="2">
        <v>44425</v>
      </c>
      <c r="C801">
        <v>2021</v>
      </c>
      <c r="D801" t="s">
        <v>15</v>
      </c>
      <c r="E801" t="s">
        <v>3832</v>
      </c>
      <c r="F801" t="s">
        <v>4693</v>
      </c>
      <c r="G801" t="s">
        <v>4345</v>
      </c>
      <c r="H801" s="16">
        <v>0.46</v>
      </c>
      <c r="I801" t="s">
        <v>4764</v>
      </c>
      <c r="J801" t="s">
        <v>4614</v>
      </c>
    </row>
    <row r="802" spans="1:10">
      <c r="A802" t="s">
        <v>1074</v>
      </c>
      <c r="B802" s="2">
        <v>44427</v>
      </c>
      <c r="C802">
        <v>2021</v>
      </c>
      <c r="D802" t="s">
        <v>25</v>
      </c>
      <c r="E802" t="s">
        <v>34</v>
      </c>
      <c r="F802" t="s">
        <v>4694</v>
      </c>
      <c r="G802" t="s">
        <v>4346</v>
      </c>
      <c r="H802" s="16">
        <v>0.19</v>
      </c>
      <c r="I802" t="s">
        <v>4764</v>
      </c>
      <c r="J802" t="s">
        <v>4614</v>
      </c>
    </row>
    <row r="803" spans="1:10">
      <c r="A803" t="s">
        <v>1075</v>
      </c>
      <c r="B803" s="2">
        <v>44434</v>
      </c>
      <c r="C803">
        <v>2021</v>
      </c>
      <c r="D803" t="s">
        <v>25</v>
      </c>
      <c r="E803" t="s">
        <v>13</v>
      </c>
      <c r="F803" t="s">
        <v>4694</v>
      </c>
      <c r="G803" t="s">
        <v>4145</v>
      </c>
      <c r="H803" s="16">
        <v>0.25</v>
      </c>
      <c r="I803" t="s">
        <v>4764</v>
      </c>
      <c r="J803" t="s">
        <v>4614</v>
      </c>
    </row>
    <row r="804" spans="1:10">
      <c r="A804" t="s">
        <v>1076</v>
      </c>
      <c r="B804" s="2">
        <v>44435</v>
      </c>
      <c r="C804">
        <v>2021</v>
      </c>
      <c r="D804" t="s">
        <v>15</v>
      </c>
      <c r="E804" t="s">
        <v>3832</v>
      </c>
      <c r="F804" t="s">
        <v>4693</v>
      </c>
      <c r="G804" t="s">
        <v>1077</v>
      </c>
      <c r="H804" s="16">
        <v>0.3</v>
      </c>
      <c r="I804" t="s">
        <v>4764</v>
      </c>
      <c r="J804" t="s">
        <v>4614</v>
      </c>
    </row>
    <row r="805" spans="1:10">
      <c r="A805" t="s">
        <v>1078</v>
      </c>
      <c r="B805" s="2">
        <v>44435</v>
      </c>
      <c r="C805">
        <v>2021</v>
      </c>
      <c r="D805" t="s">
        <v>33</v>
      </c>
      <c r="E805" t="s">
        <v>29</v>
      </c>
      <c r="F805" t="s">
        <v>4698</v>
      </c>
      <c r="G805" t="s">
        <v>4347</v>
      </c>
      <c r="H805" s="16">
        <v>0.08</v>
      </c>
      <c r="I805" t="s">
        <v>4764</v>
      </c>
      <c r="J805" t="s">
        <v>4614</v>
      </c>
    </row>
    <row r="806" spans="1:10">
      <c r="A806" t="s">
        <v>1079</v>
      </c>
      <c r="B806" s="2">
        <v>44442</v>
      </c>
      <c r="C806">
        <v>2021</v>
      </c>
      <c r="D806" t="s">
        <v>25</v>
      </c>
      <c r="E806" t="s">
        <v>45</v>
      </c>
      <c r="F806" t="s">
        <v>4694</v>
      </c>
      <c r="G806" t="s">
        <v>4348</v>
      </c>
      <c r="H806" s="16">
        <v>0.11</v>
      </c>
      <c r="I806" t="s">
        <v>4764</v>
      </c>
      <c r="J806" t="s">
        <v>4614</v>
      </c>
    </row>
    <row r="807" spans="1:10">
      <c r="A807" t="s">
        <v>1080</v>
      </c>
      <c r="B807" s="2">
        <v>44444</v>
      </c>
      <c r="C807">
        <v>2021</v>
      </c>
      <c r="D807" t="s">
        <v>25</v>
      </c>
      <c r="E807" t="s">
        <v>49</v>
      </c>
      <c r="F807" t="s">
        <v>4694</v>
      </c>
      <c r="G807" t="s">
        <v>4349</v>
      </c>
      <c r="H807" s="16">
        <v>0.16</v>
      </c>
      <c r="I807" t="s">
        <v>4764</v>
      </c>
      <c r="J807" t="s">
        <v>4614</v>
      </c>
    </row>
    <row r="808" spans="1:10">
      <c r="A808" t="s">
        <v>1081</v>
      </c>
      <c r="B808" s="2">
        <v>44456</v>
      </c>
      <c r="C808">
        <v>2021</v>
      </c>
      <c r="D808" t="s">
        <v>12</v>
      </c>
      <c r="E808" t="s">
        <v>3870</v>
      </c>
      <c r="F808" t="s">
        <v>4695</v>
      </c>
      <c r="G808" t="s">
        <v>4350</v>
      </c>
      <c r="H808" s="16">
        <v>0.45</v>
      </c>
      <c r="I808" t="s">
        <v>4764</v>
      </c>
      <c r="J808" t="s">
        <v>4614</v>
      </c>
    </row>
    <row r="809" spans="1:10">
      <c r="A809" t="s">
        <v>1082</v>
      </c>
      <c r="B809" s="2">
        <v>44460</v>
      </c>
      <c r="C809">
        <v>2021</v>
      </c>
      <c r="D809" t="s">
        <v>25</v>
      </c>
      <c r="E809" t="s">
        <v>3870</v>
      </c>
      <c r="F809" t="s">
        <v>4694</v>
      </c>
      <c r="G809" t="s">
        <v>4293</v>
      </c>
      <c r="H809" s="16">
        <v>0.03</v>
      </c>
      <c r="I809" t="s">
        <v>4764</v>
      </c>
      <c r="J809" t="s">
        <v>4614</v>
      </c>
    </row>
    <row r="810" spans="1:10">
      <c r="A810" t="s">
        <v>1083</v>
      </c>
      <c r="B810" s="2">
        <v>44463</v>
      </c>
      <c r="C810">
        <v>2021</v>
      </c>
      <c r="D810" t="s">
        <v>15</v>
      </c>
      <c r="E810" t="s">
        <v>3832</v>
      </c>
      <c r="F810" t="s">
        <v>4693</v>
      </c>
      <c r="G810" t="s">
        <v>4351</v>
      </c>
      <c r="H810" s="16">
        <v>0.26</v>
      </c>
      <c r="I810" t="s">
        <v>4764</v>
      </c>
      <c r="J810" t="s">
        <v>4614</v>
      </c>
    </row>
    <row r="811" spans="1:10">
      <c r="A811" t="s">
        <v>1084</v>
      </c>
      <c r="B811" s="2">
        <v>44466</v>
      </c>
      <c r="C811">
        <v>2021</v>
      </c>
      <c r="D811" t="s">
        <v>8</v>
      </c>
      <c r="E811" t="s">
        <v>23</v>
      </c>
      <c r="F811" t="s">
        <v>4696</v>
      </c>
      <c r="G811" t="s">
        <v>4352</v>
      </c>
      <c r="H811" s="16">
        <v>0.45</v>
      </c>
      <c r="I811" t="s">
        <v>4764</v>
      </c>
      <c r="J811" t="s">
        <v>4614</v>
      </c>
    </row>
    <row r="812" spans="1:10">
      <c r="A812" t="s">
        <v>1085</v>
      </c>
      <c r="B812" s="2">
        <v>44471</v>
      </c>
      <c r="C812">
        <v>2021</v>
      </c>
      <c r="D812" t="s">
        <v>25</v>
      </c>
      <c r="E812" t="s">
        <v>19</v>
      </c>
      <c r="F812" t="s">
        <v>4694</v>
      </c>
      <c r="G812" t="s">
        <v>4353</v>
      </c>
      <c r="H812" s="16">
        <v>0.14000000000000001</v>
      </c>
      <c r="I812" t="s">
        <v>4764</v>
      </c>
      <c r="J812" t="s">
        <v>4614</v>
      </c>
    </row>
    <row r="813" spans="1:10">
      <c r="A813" t="s">
        <v>1086</v>
      </c>
      <c r="B813" s="2">
        <v>44474</v>
      </c>
      <c r="C813">
        <v>2021</v>
      </c>
      <c r="D813" t="s">
        <v>8</v>
      </c>
      <c r="E813" t="s">
        <v>125</v>
      </c>
      <c r="F813" t="s">
        <v>4696</v>
      </c>
      <c r="G813" t="s">
        <v>4354</v>
      </c>
      <c r="H813" s="16">
        <v>0.22</v>
      </c>
      <c r="I813" t="s">
        <v>4764</v>
      </c>
      <c r="J813" t="s">
        <v>4614</v>
      </c>
    </row>
    <row r="814" spans="1:10">
      <c r="A814" t="s">
        <v>1087</v>
      </c>
      <c r="B814" s="2">
        <v>44481</v>
      </c>
      <c r="C814">
        <v>2021</v>
      </c>
      <c r="D814" t="s">
        <v>33</v>
      </c>
      <c r="E814" t="s">
        <v>45</v>
      </c>
      <c r="F814" t="s">
        <v>4698</v>
      </c>
      <c r="G814" t="s">
        <v>4355</v>
      </c>
      <c r="H814" s="16">
        <v>0.01</v>
      </c>
      <c r="I814" t="s">
        <v>4764</v>
      </c>
      <c r="J814" t="s">
        <v>4614</v>
      </c>
    </row>
    <row r="815" spans="1:10">
      <c r="A815" t="s">
        <v>1088</v>
      </c>
      <c r="B815" s="2">
        <v>44483</v>
      </c>
      <c r="C815">
        <v>2021</v>
      </c>
      <c r="D815" t="s">
        <v>8</v>
      </c>
      <c r="E815" t="s">
        <v>376</v>
      </c>
      <c r="F815" t="s">
        <v>4696</v>
      </c>
      <c r="G815" t="s">
        <v>4356</v>
      </c>
      <c r="H815" s="16">
        <v>0.28999999999999998</v>
      </c>
      <c r="I815" t="s">
        <v>4764</v>
      </c>
      <c r="J815" t="s">
        <v>4614</v>
      </c>
    </row>
    <row r="816" spans="1:10">
      <c r="A816" t="s">
        <v>1089</v>
      </c>
      <c r="B816" s="2">
        <v>44486</v>
      </c>
      <c r="C816">
        <v>2021</v>
      </c>
      <c r="D816" t="s">
        <v>12</v>
      </c>
      <c r="E816" t="s">
        <v>19</v>
      </c>
      <c r="F816" t="s">
        <v>4695</v>
      </c>
      <c r="G816" t="s">
        <v>4357</v>
      </c>
      <c r="H816" s="16">
        <v>0.06</v>
      </c>
      <c r="I816" t="s">
        <v>4764</v>
      </c>
      <c r="J816" t="s">
        <v>4614</v>
      </c>
    </row>
    <row r="817" spans="1:10">
      <c r="A817" t="s">
        <v>1090</v>
      </c>
      <c r="B817" s="2">
        <v>44489</v>
      </c>
      <c r="C817">
        <v>2021</v>
      </c>
      <c r="D817" t="s">
        <v>15</v>
      </c>
      <c r="E817" t="s">
        <v>3832</v>
      </c>
      <c r="F817" t="s">
        <v>4693</v>
      </c>
      <c r="G817" t="s">
        <v>4358</v>
      </c>
      <c r="H817" s="16">
        <v>0.6</v>
      </c>
      <c r="I817" t="s">
        <v>4764</v>
      </c>
      <c r="J817" t="s">
        <v>4614</v>
      </c>
    </row>
    <row r="818" spans="1:10">
      <c r="A818" t="s">
        <v>1091</v>
      </c>
      <c r="B818" s="2">
        <v>44489</v>
      </c>
      <c r="C818">
        <v>2021</v>
      </c>
      <c r="D818" t="s">
        <v>12</v>
      </c>
      <c r="E818" t="s">
        <v>3839</v>
      </c>
      <c r="F818" t="s">
        <v>4695</v>
      </c>
      <c r="G818" t="s">
        <v>4359</v>
      </c>
      <c r="H818" s="16">
        <v>0.06</v>
      </c>
      <c r="I818" t="s">
        <v>4764</v>
      </c>
      <c r="J818" t="s">
        <v>4614</v>
      </c>
    </row>
    <row r="819" spans="1:10">
      <c r="A819" t="s">
        <v>1092</v>
      </c>
      <c r="B819" s="2">
        <v>44489</v>
      </c>
      <c r="C819">
        <v>2021</v>
      </c>
      <c r="D819" t="s">
        <v>25</v>
      </c>
      <c r="E819" t="s">
        <v>45</v>
      </c>
      <c r="F819" t="s">
        <v>4694</v>
      </c>
      <c r="G819" t="s">
        <v>4360</v>
      </c>
      <c r="H819" s="16">
        <v>0.23</v>
      </c>
      <c r="I819" t="s">
        <v>4764</v>
      </c>
      <c r="J819" t="s">
        <v>4614</v>
      </c>
    </row>
    <row r="820" spans="1:10">
      <c r="A820" t="s">
        <v>1093</v>
      </c>
      <c r="B820" s="2">
        <v>44489</v>
      </c>
      <c r="C820">
        <v>2021</v>
      </c>
      <c r="D820" t="s">
        <v>25</v>
      </c>
      <c r="E820" t="s">
        <v>47</v>
      </c>
      <c r="F820" t="s">
        <v>4694</v>
      </c>
      <c r="G820" t="s">
        <v>116</v>
      </c>
      <c r="H820" s="16">
        <v>0.11</v>
      </c>
      <c r="I820" t="s">
        <v>4764</v>
      </c>
      <c r="J820" t="s">
        <v>4614</v>
      </c>
    </row>
    <row r="821" spans="1:10">
      <c r="A821" t="s">
        <v>1094</v>
      </c>
      <c r="B821" s="2">
        <v>44495</v>
      </c>
      <c r="C821">
        <v>2021</v>
      </c>
      <c r="D821" t="s">
        <v>25</v>
      </c>
      <c r="E821" t="s">
        <v>3854</v>
      </c>
      <c r="F821" t="s">
        <v>4694</v>
      </c>
      <c r="G821" t="s">
        <v>4361</v>
      </c>
      <c r="H821" s="16">
        <v>0.12</v>
      </c>
      <c r="I821" t="s">
        <v>4764</v>
      </c>
      <c r="J821" t="s">
        <v>4614</v>
      </c>
    </row>
    <row r="822" spans="1:10">
      <c r="A822" t="s">
        <v>1095</v>
      </c>
      <c r="B822" s="2">
        <v>44501</v>
      </c>
      <c r="C822">
        <v>2021</v>
      </c>
      <c r="D822" t="s">
        <v>33</v>
      </c>
      <c r="E822" t="s">
        <v>49</v>
      </c>
      <c r="F822" t="s">
        <v>4698</v>
      </c>
      <c r="G822" t="s">
        <v>4362</v>
      </c>
      <c r="H822" s="16">
        <v>0.36</v>
      </c>
      <c r="I822" t="s">
        <v>4764</v>
      </c>
      <c r="J822" t="s">
        <v>4614</v>
      </c>
    </row>
    <row r="823" spans="1:10">
      <c r="A823" t="s">
        <v>1096</v>
      </c>
      <c r="B823" s="2">
        <v>44504</v>
      </c>
      <c r="C823">
        <v>2021</v>
      </c>
      <c r="D823" t="s">
        <v>25</v>
      </c>
      <c r="E823" t="s">
        <v>4257</v>
      </c>
      <c r="F823" t="s">
        <v>4700</v>
      </c>
      <c r="G823" t="s">
        <v>1097</v>
      </c>
      <c r="H823" s="16">
        <v>0.37</v>
      </c>
      <c r="I823" t="s">
        <v>4764</v>
      </c>
      <c r="J823" t="s">
        <v>4613</v>
      </c>
    </row>
    <row r="824" spans="1:10">
      <c r="A824" t="s">
        <v>1098</v>
      </c>
      <c r="B824" s="2">
        <v>44505</v>
      </c>
      <c r="C824">
        <v>2021</v>
      </c>
      <c r="D824" t="s">
        <v>25</v>
      </c>
      <c r="E824" t="s">
        <v>49</v>
      </c>
      <c r="F824" t="s">
        <v>4694</v>
      </c>
      <c r="G824" t="s">
        <v>4363</v>
      </c>
      <c r="H824" s="16">
        <v>0.28000000000000003</v>
      </c>
      <c r="I824" t="s">
        <v>4764</v>
      </c>
      <c r="J824" t="s">
        <v>4614</v>
      </c>
    </row>
    <row r="825" spans="1:10">
      <c r="A825" t="s">
        <v>1099</v>
      </c>
      <c r="B825" s="2">
        <v>44506</v>
      </c>
      <c r="C825">
        <v>2021</v>
      </c>
      <c r="D825" t="s">
        <v>15</v>
      </c>
      <c r="E825" t="s">
        <v>3832</v>
      </c>
      <c r="F825" t="s">
        <v>4693</v>
      </c>
      <c r="G825" t="s">
        <v>4272</v>
      </c>
      <c r="H825" s="16">
        <v>0.37</v>
      </c>
      <c r="I825" t="s">
        <v>4764</v>
      </c>
      <c r="J825" t="s">
        <v>4614</v>
      </c>
    </row>
    <row r="826" spans="1:10">
      <c r="A826" t="s">
        <v>1100</v>
      </c>
      <c r="B826" s="2">
        <v>44506</v>
      </c>
      <c r="C826">
        <v>2021</v>
      </c>
      <c r="D826" t="s">
        <v>25</v>
      </c>
      <c r="E826" t="s">
        <v>3854</v>
      </c>
      <c r="F826" t="s">
        <v>4694</v>
      </c>
      <c r="G826" t="s">
        <v>4364</v>
      </c>
      <c r="H826" s="16">
        <v>0.25</v>
      </c>
      <c r="I826" t="s">
        <v>4764</v>
      </c>
      <c r="J826" t="s">
        <v>4614</v>
      </c>
    </row>
    <row r="827" spans="1:10">
      <c r="A827" t="s">
        <v>1101</v>
      </c>
      <c r="B827" s="2">
        <v>44506</v>
      </c>
      <c r="C827">
        <v>2021</v>
      </c>
      <c r="D827" t="s">
        <v>15</v>
      </c>
      <c r="E827" t="s">
        <v>3832</v>
      </c>
      <c r="F827" t="s">
        <v>4693</v>
      </c>
      <c r="G827" t="s">
        <v>4365</v>
      </c>
      <c r="H827" s="16">
        <v>0.85</v>
      </c>
      <c r="I827" t="s">
        <v>4764</v>
      </c>
      <c r="J827" t="s">
        <v>4614</v>
      </c>
    </row>
    <row r="828" spans="1:10">
      <c r="A828" t="s">
        <v>1102</v>
      </c>
      <c r="B828" s="2">
        <v>44507</v>
      </c>
      <c r="C828">
        <v>2021</v>
      </c>
      <c r="D828" t="s">
        <v>25</v>
      </c>
      <c r="E828" t="s">
        <v>45</v>
      </c>
      <c r="F828" t="s">
        <v>4694</v>
      </c>
      <c r="G828" t="s">
        <v>4366</v>
      </c>
      <c r="H828" s="16">
        <v>0.51</v>
      </c>
      <c r="I828" t="s">
        <v>4764</v>
      </c>
      <c r="J828" t="s">
        <v>4614</v>
      </c>
    </row>
    <row r="829" spans="1:10">
      <c r="A829" t="s">
        <v>1103</v>
      </c>
      <c r="B829" s="2">
        <v>44510</v>
      </c>
      <c r="C829">
        <v>2021</v>
      </c>
      <c r="D829" t="s">
        <v>12</v>
      </c>
      <c r="E829" t="s">
        <v>3870</v>
      </c>
      <c r="F829" t="s">
        <v>4695</v>
      </c>
      <c r="G829" t="s">
        <v>4367</v>
      </c>
      <c r="H829" s="16">
        <v>0.05</v>
      </c>
      <c r="I829" t="s">
        <v>4764</v>
      </c>
      <c r="J829" t="s">
        <v>4614</v>
      </c>
    </row>
    <row r="830" spans="1:10">
      <c r="A830" t="s">
        <v>1104</v>
      </c>
      <c r="B830" s="2">
        <v>44514</v>
      </c>
      <c r="C830">
        <v>2021</v>
      </c>
      <c r="D830" t="s">
        <v>15</v>
      </c>
      <c r="E830" t="s">
        <v>3832</v>
      </c>
      <c r="F830" t="s">
        <v>4693</v>
      </c>
      <c r="G830" t="s">
        <v>4368</v>
      </c>
      <c r="H830" s="16">
        <v>0.67</v>
      </c>
      <c r="I830" t="s">
        <v>4764</v>
      </c>
      <c r="J830" t="s">
        <v>4614</v>
      </c>
    </row>
    <row r="831" spans="1:10">
      <c r="A831" t="s">
        <v>1105</v>
      </c>
      <c r="B831" s="2">
        <v>44517</v>
      </c>
      <c r="C831">
        <v>2021</v>
      </c>
      <c r="D831" t="s">
        <v>15</v>
      </c>
      <c r="E831" t="s">
        <v>3832</v>
      </c>
      <c r="F831" t="s">
        <v>4693</v>
      </c>
      <c r="G831" t="s">
        <v>4369</v>
      </c>
      <c r="H831" s="16">
        <v>0.08</v>
      </c>
      <c r="I831" t="s">
        <v>4764</v>
      </c>
      <c r="J831" t="s">
        <v>4614</v>
      </c>
    </row>
    <row r="832" spans="1:10">
      <c r="A832" t="s">
        <v>1106</v>
      </c>
      <c r="B832" s="2">
        <v>44522</v>
      </c>
      <c r="C832">
        <v>2021</v>
      </c>
      <c r="D832" t="s">
        <v>12</v>
      </c>
      <c r="E832" t="s">
        <v>3836</v>
      </c>
      <c r="F832" t="s">
        <v>4695</v>
      </c>
      <c r="G832" t="s">
        <v>109</v>
      </c>
      <c r="H832" s="16">
        <v>0.06</v>
      </c>
      <c r="I832" t="s">
        <v>4764</v>
      </c>
      <c r="J832" t="s">
        <v>4614</v>
      </c>
    </row>
    <row r="833" spans="1:10">
      <c r="A833" t="s">
        <v>1107</v>
      </c>
      <c r="B833" s="2">
        <v>44522</v>
      </c>
      <c r="C833">
        <v>2021</v>
      </c>
      <c r="D833" t="s">
        <v>21</v>
      </c>
      <c r="E833" t="s">
        <v>47</v>
      </c>
      <c r="F833" t="s">
        <v>4701</v>
      </c>
      <c r="G833" t="s">
        <v>4370</v>
      </c>
      <c r="H833" s="16">
        <v>0.02</v>
      </c>
      <c r="I833" t="s">
        <v>4764</v>
      </c>
      <c r="J833" t="s">
        <v>4614</v>
      </c>
    </row>
    <row r="834" spans="1:10">
      <c r="A834" t="s">
        <v>1108</v>
      </c>
      <c r="B834" s="2">
        <v>44525</v>
      </c>
      <c r="C834">
        <v>2021</v>
      </c>
      <c r="D834" t="s">
        <v>8</v>
      </c>
      <c r="E834" t="s">
        <v>3903</v>
      </c>
      <c r="F834" t="s">
        <v>4696</v>
      </c>
      <c r="G834" t="s">
        <v>4371</v>
      </c>
      <c r="H834" s="16">
        <v>1</v>
      </c>
      <c r="I834" t="s">
        <v>4764</v>
      </c>
      <c r="J834" t="s">
        <v>4614</v>
      </c>
    </row>
    <row r="835" spans="1:10">
      <c r="A835" t="s">
        <v>1109</v>
      </c>
      <c r="B835" s="2">
        <v>44526</v>
      </c>
      <c r="C835">
        <v>2021</v>
      </c>
      <c r="D835" t="s">
        <v>12</v>
      </c>
      <c r="E835" t="s">
        <v>3862</v>
      </c>
      <c r="F835" t="s">
        <v>4695</v>
      </c>
      <c r="G835" t="s">
        <v>4372</v>
      </c>
      <c r="H835" s="16">
        <v>0.1</v>
      </c>
      <c r="I835" t="s">
        <v>4764</v>
      </c>
      <c r="J835" t="s">
        <v>4614</v>
      </c>
    </row>
    <row r="836" spans="1:10">
      <c r="A836" t="s">
        <v>1110</v>
      </c>
      <c r="B836" s="2">
        <v>44533</v>
      </c>
      <c r="C836">
        <v>2021</v>
      </c>
      <c r="D836" t="s">
        <v>15</v>
      </c>
      <c r="E836" t="s">
        <v>3832</v>
      </c>
      <c r="F836" t="s">
        <v>4693</v>
      </c>
      <c r="G836" t="s">
        <v>1066</v>
      </c>
      <c r="H836" s="16">
        <v>0.3</v>
      </c>
      <c r="I836" t="s">
        <v>4764</v>
      </c>
      <c r="J836" t="s">
        <v>4614</v>
      </c>
    </row>
    <row r="837" spans="1:10">
      <c r="A837" t="s">
        <v>1111</v>
      </c>
      <c r="B837" s="2">
        <v>44534</v>
      </c>
      <c r="C837">
        <v>2021</v>
      </c>
      <c r="D837" t="s">
        <v>12</v>
      </c>
      <c r="E837" t="s">
        <v>29</v>
      </c>
      <c r="F837" t="s">
        <v>4695</v>
      </c>
      <c r="G837" t="s">
        <v>1112</v>
      </c>
      <c r="H837" s="16">
        <v>0.1</v>
      </c>
      <c r="I837" t="s">
        <v>4764</v>
      </c>
      <c r="J837" t="s">
        <v>4614</v>
      </c>
    </row>
    <row r="838" spans="1:10">
      <c r="A838" t="s">
        <v>1113</v>
      </c>
      <c r="B838" s="2">
        <v>44538</v>
      </c>
      <c r="C838">
        <v>2021</v>
      </c>
      <c r="D838" t="s">
        <v>25</v>
      </c>
      <c r="E838" t="s">
        <v>3854</v>
      </c>
      <c r="F838" t="s">
        <v>4694</v>
      </c>
      <c r="G838" t="s">
        <v>4373</v>
      </c>
      <c r="H838" s="16">
        <v>0.11</v>
      </c>
      <c r="I838" t="s">
        <v>4764</v>
      </c>
      <c r="J838" t="s">
        <v>4614</v>
      </c>
    </row>
    <row r="839" spans="1:10">
      <c r="A839" t="s">
        <v>1114</v>
      </c>
      <c r="B839" s="2">
        <v>44539</v>
      </c>
      <c r="C839">
        <v>2021</v>
      </c>
      <c r="D839" t="s">
        <v>25</v>
      </c>
      <c r="E839" t="s">
        <v>3862</v>
      </c>
      <c r="F839" t="s">
        <v>4694</v>
      </c>
      <c r="G839" t="s">
        <v>4374</v>
      </c>
      <c r="H839" s="16">
        <v>0.15</v>
      </c>
      <c r="I839" t="s">
        <v>4764</v>
      </c>
      <c r="J839" t="s">
        <v>4614</v>
      </c>
    </row>
    <row r="840" spans="1:10">
      <c r="A840" t="s">
        <v>1115</v>
      </c>
      <c r="B840" s="2">
        <v>44540</v>
      </c>
      <c r="C840">
        <v>2021</v>
      </c>
      <c r="D840" t="s">
        <v>25</v>
      </c>
      <c r="E840" t="s">
        <v>19</v>
      </c>
      <c r="F840" t="s">
        <v>4694</v>
      </c>
      <c r="G840" t="s">
        <v>172</v>
      </c>
      <c r="H840" s="16">
        <v>0.28000000000000003</v>
      </c>
      <c r="I840" t="s">
        <v>4764</v>
      </c>
      <c r="J840" t="s">
        <v>4614</v>
      </c>
    </row>
    <row r="841" spans="1:10">
      <c r="A841" t="s">
        <v>1116</v>
      </c>
      <c r="B841" s="2">
        <v>44541</v>
      </c>
      <c r="C841">
        <v>2021</v>
      </c>
      <c r="D841" t="s">
        <v>21</v>
      </c>
      <c r="E841" t="s">
        <v>47</v>
      </c>
      <c r="F841" t="s">
        <v>4701</v>
      </c>
      <c r="G841" t="s">
        <v>1117</v>
      </c>
      <c r="H841" s="16">
        <v>0.11</v>
      </c>
      <c r="I841" t="s">
        <v>4764</v>
      </c>
      <c r="J841" t="s">
        <v>4614</v>
      </c>
    </row>
    <row r="842" spans="1:10">
      <c r="A842" t="s">
        <v>1118</v>
      </c>
      <c r="B842" s="2">
        <v>44541</v>
      </c>
      <c r="C842">
        <v>2021</v>
      </c>
      <c r="D842" t="s">
        <v>25</v>
      </c>
      <c r="E842" t="s">
        <v>13</v>
      </c>
      <c r="F842" t="s">
        <v>4694</v>
      </c>
      <c r="G842" t="s">
        <v>4375</v>
      </c>
      <c r="H842" s="16">
        <v>0.13</v>
      </c>
      <c r="I842" t="s">
        <v>4764</v>
      </c>
      <c r="J842" t="s">
        <v>4614</v>
      </c>
    </row>
    <row r="843" spans="1:10">
      <c r="A843" t="s">
        <v>1119</v>
      </c>
      <c r="B843" s="2">
        <v>44545</v>
      </c>
      <c r="C843">
        <v>2021</v>
      </c>
      <c r="D843" t="s">
        <v>8</v>
      </c>
      <c r="E843" t="s">
        <v>17</v>
      </c>
      <c r="F843" t="s">
        <v>4696</v>
      </c>
      <c r="G843" t="s">
        <v>1120</v>
      </c>
      <c r="H843" s="16">
        <v>18.38</v>
      </c>
      <c r="I843" t="s">
        <v>4763</v>
      </c>
      <c r="J843" t="s">
        <v>4614</v>
      </c>
    </row>
    <row r="844" spans="1:10">
      <c r="A844" t="s">
        <v>1121</v>
      </c>
      <c r="B844" s="2">
        <v>44547</v>
      </c>
      <c r="C844">
        <v>2021</v>
      </c>
      <c r="D844" t="s">
        <v>25</v>
      </c>
      <c r="E844" t="s">
        <v>45</v>
      </c>
      <c r="F844" t="s">
        <v>4694</v>
      </c>
      <c r="G844" t="s">
        <v>3877</v>
      </c>
      <c r="H844" s="16">
        <v>0.63</v>
      </c>
      <c r="I844" t="s">
        <v>4764</v>
      </c>
      <c r="J844" t="s">
        <v>4614</v>
      </c>
    </row>
    <row r="845" spans="1:10">
      <c r="A845" t="s">
        <v>1122</v>
      </c>
      <c r="B845" s="2">
        <v>44548</v>
      </c>
      <c r="C845">
        <v>2021</v>
      </c>
      <c r="D845" t="s">
        <v>25</v>
      </c>
      <c r="E845" t="s">
        <v>29</v>
      </c>
      <c r="F845" t="s">
        <v>4694</v>
      </c>
      <c r="G845" t="s">
        <v>4376</v>
      </c>
      <c r="H845" s="16">
        <v>0.06</v>
      </c>
      <c r="I845" t="s">
        <v>4764</v>
      </c>
      <c r="J845" t="s">
        <v>4614</v>
      </c>
    </row>
    <row r="846" spans="1:10">
      <c r="A846" t="s">
        <v>1123</v>
      </c>
      <c r="B846" s="2">
        <v>44552</v>
      </c>
      <c r="C846">
        <v>2021</v>
      </c>
      <c r="D846" t="s">
        <v>25</v>
      </c>
      <c r="E846" t="s">
        <v>29</v>
      </c>
      <c r="F846" t="s">
        <v>4694</v>
      </c>
      <c r="G846" t="s">
        <v>1124</v>
      </c>
      <c r="H846" s="16">
        <v>0.1</v>
      </c>
      <c r="I846" t="s">
        <v>4764</v>
      </c>
      <c r="J846" t="s">
        <v>4614</v>
      </c>
    </row>
    <row r="847" spans="1:10">
      <c r="A847" t="s">
        <v>1125</v>
      </c>
      <c r="B847" s="2">
        <v>44553</v>
      </c>
      <c r="C847">
        <v>2021</v>
      </c>
      <c r="D847" t="s">
        <v>25</v>
      </c>
      <c r="E847" t="s">
        <v>19</v>
      </c>
      <c r="F847" t="s">
        <v>4694</v>
      </c>
      <c r="G847" t="s">
        <v>4377</v>
      </c>
      <c r="H847" s="16">
        <v>0.53</v>
      </c>
      <c r="I847" t="s">
        <v>4764</v>
      </c>
      <c r="J847" t="s">
        <v>4614</v>
      </c>
    </row>
    <row r="848" spans="1:10">
      <c r="A848" t="s">
        <v>1126</v>
      </c>
      <c r="B848" s="2">
        <v>44556</v>
      </c>
      <c r="C848">
        <v>2021</v>
      </c>
      <c r="D848" t="s">
        <v>25</v>
      </c>
      <c r="E848" t="s">
        <v>34</v>
      </c>
      <c r="F848" t="s">
        <v>4694</v>
      </c>
      <c r="G848" t="s">
        <v>4378</v>
      </c>
      <c r="H848" s="16">
        <v>0.14000000000000001</v>
      </c>
      <c r="I848" t="s">
        <v>4764</v>
      </c>
      <c r="J848" t="s">
        <v>4614</v>
      </c>
    </row>
    <row r="849" spans="1:10">
      <c r="A849" t="s">
        <v>1127</v>
      </c>
      <c r="B849" s="2">
        <v>44563</v>
      </c>
      <c r="C849">
        <v>2022</v>
      </c>
      <c r="D849" t="s">
        <v>15</v>
      </c>
      <c r="E849" t="s">
        <v>3832</v>
      </c>
      <c r="F849" t="s">
        <v>4702</v>
      </c>
      <c r="G849" t="s">
        <v>4379</v>
      </c>
      <c r="H849" s="16">
        <v>0.87</v>
      </c>
      <c r="I849" t="s">
        <v>4764</v>
      </c>
      <c r="J849" t="s">
        <v>4614</v>
      </c>
    </row>
    <row r="850" spans="1:10">
      <c r="A850" t="s">
        <v>1128</v>
      </c>
      <c r="B850" s="2">
        <v>44564</v>
      </c>
      <c r="C850">
        <v>2022</v>
      </c>
      <c r="D850" t="s">
        <v>12</v>
      </c>
      <c r="E850" t="s">
        <v>72</v>
      </c>
      <c r="F850" t="s">
        <v>4703</v>
      </c>
      <c r="G850" t="s">
        <v>4380</v>
      </c>
      <c r="H850" s="16">
        <v>0.14000000000000001</v>
      </c>
      <c r="I850" t="s">
        <v>4764</v>
      </c>
      <c r="J850" t="s">
        <v>4614</v>
      </c>
    </row>
    <row r="851" spans="1:10">
      <c r="A851" t="s">
        <v>1129</v>
      </c>
      <c r="B851" s="2">
        <v>44566</v>
      </c>
      <c r="C851">
        <v>2022</v>
      </c>
      <c r="D851" t="s">
        <v>12</v>
      </c>
      <c r="E851" t="s">
        <v>3854</v>
      </c>
      <c r="F851" t="s">
        <v>4703</v>
      </c>
      <c r="G851" t="s">
        <v>4381</v>
      </c>
      <c r="H851" s="16">
        <v>0.79</v>
      </c>
      <c r="I851" t="s">
        <v>4764</v>
      </c>
      <c r="J851" t="s">
        <v>4614</v>
      </c>
    </row>
    <row r="852" spans="1:10">
      <c r="A852" t="s">
        <v>1130</v>
      </c>
      <c r="B852" s="2">
        <v>44566</v>
      </c>
      <c r="C852">
        <v>2022</v>
      </c>
      <c r="D852" t="s">
        <v>8</v>
      </c>
      <c r="E852" t="s">
        <v>53</v>
      </c>
      <c r="F852" t="s">
        <v>4704</v>
      </c>
      <c r="G852" t="s">
        <v>1131</v>
      </c>
      <c r="H852" s="16">
        <v>4.5999999999999996</v>
      </c>
      <c r="I852" t="s">
        <v>4764</v>
      </c>
      <c r="J852" t="s">
        <v>4614</v>
      </c>
    </row>
    <row r="853" spans="1:10">
      <c r="A853" t="s">
        <v>1132</v>
      </c>
      <c r="B853" s="2">
        <v>44567</v>
      </c>
      <c r="C853">
        <v>2022</v>
      </c>
      <c r="D853" t="s">
        <v>25</v>
      </c>
      <c r="E853" t="s">
        <v>45</v>
      </c>
      <c r="F853" t="s">
        <v>4705</v>
      </c>
      <c r="G853" t="s">
        <v>4382</v>
      </c>
      <c r="H853" s="16">
        <v>0.5</v>
      </c>
      <c r="I853" t="s">
        <v>4764</v>
      </c>
      <c r="J853" t="s">
        <v>4614</v>
      </c>
    </row>
    <row r="854" spans="1:10">
      <c r="A854" t="s">
        <v>1133</v>
      </c>
      <c r="B854" s="2">
        <v>44570</v>
      </c>
      <c r="C854">
        <v>2022</v>
      </c>
      <c r="D854" t="s">
        <v>15</v>
      </c>
      <c r="E854" t="s">
        <v>3832</v>
      </c>
      <c r="F854" t="s">
        <v>4702</v>
      </c>
      <c r="G854" t="s">
        <v>4383</v>
      </c>
      <c r="H854" s="16">
        <v>0.24</v>
      </c>
      <c r="I854" t="s">
        <v>4764</v>
      </c>
      <c r="J854" t="s">
        <v>4614</v>
      </c>
    </row>
    <row r="855" spans="1:10">
      <c r="A855" t="s">
        <v>1134</v>
      </c>
      <c r="B855" s="2">
        <v>44574</v>
      </c>
      <c r="C855">
        <v>2022</v>
      </c>
      <c r="D855" t="s">
        <v>25</v>
      </c>
      <c r="E855" t="s">
        <v>34</v>
      </c>
      <c r="F855" t="s">
        <v>4705</v>
      </c>
      <c r="G855" t="s">
        <v>1135</v>
      </c>
      <c r="H855" s="16">
        <v>0.08</v>
      </c>
      <c r="I855" t="s">
        <v>4764</v>
      </c>
      <c r="J855" t="s">
        <v>4614</v>
      </c>
    </row>
    <row r="856" spans="1:10">
      <c r="A856" t="s">
        <v>1136</v>
      </c>
      <c r="B856" s="2">
        <v>44582</v>
      </c>
      <c r="C856">
        <v>2022</v>
      </c>
      <c r="D856" t="s">
        <v>12</v>
      </c>
      <c r="E856" t="s">
        <v>3854</v>
      </c>
      <c r="F856" t="s">
        <v>4703</v>
      </c>
      <c r="G856" t="s">
        <v>4384</v>
      </c>
      <c r="H856" s="16">
        <v>0.35</v>
      </c>
      <c r="I856" t="s">
        <v>4764</v>
      </c>
      <c r="J856" t="s">
        <v>4614</v>
      </c>
    </row>
    <row r="857" spans="1:10">
      <c r="A857" t="s">
        <v>1137</v>
      </c>
      <c r="B857" s="2">
        <v>44597</v>
      </c>
      <c r="C857">
        <v>2022</v>
      </c>
      <c r="D857" t="s">
        <v>25</v>
      </c>
      <c r="E857" t="s">
        <v>3862</v>
      </c>
      <c r="F857" t="s">
        <v>4705</v>
      </c>
      <c r="G857" t="s">
        <v>4385</v>
      </c>
      <c r="H857" s="16">
        <v>0.08</v>
      </c>
      <c r="I857" t="s">
        <v>4764</v>
      </c>
      <c r="J857" t="s">
        <v>4614</v>
      </c>
    </row>
    <row r="858" spans="1:10">
      <c r="A858" t="s">
        <v>1138</v>
      </c>
      <c r="B858" s="2">
        <v>44603</v>
      </c>
      <c r="C858">
        <v>2022</v>
      </c>
      <c r="D858" t="s">
        <v>25</v>
      </c>
      <c r="E858" t="s">
        <v>72</v>
      </c>
      <c r="F858" t="s">
        <v>4705</v>
      </c>
      <c r="G858" t="s">
        <v>4386</v>
      </c>
      <c r="H858" s="16">
        <v>0.11</v>
      </c>
      <c r="I858" t="s">
        <v>4764</v>
      </c>
      <c r="J858" t="s">
        <v>4614</v>
      </c>
    </row>
    <row r="859" spans="1:10">
      <c r="A859" t="s">
        <v>1139</v>
      </c>
      <c r="B859" s="2">
        <v>44606</v>
      </c>
      <c r="C859">
        <v>2022</v>
      </c>
      <c r="D859" t="s">
        <v>8</v>
      </c>
      <c r="E859" t="s">
        <v>3903</v>
      </c>
      <c r="F859" t="s">
        <v>4704</v>
      </c>
      <c r="G859" t="s">
        <v>787</v>
      </c>
      <c r="H859" s="16">
        <v>2.84</v>
      </c>
      <c r="I859" t="s">
        <v>4764</v>
      </c>
      <c r="J859" t="s">
        <v>4614</v>
      </c>
    </row>
    <row r="860" spans="1:10">
      <c r="A860" t="s">
        <v>1140</v>
      </c>
      <c r="B860" s="2">
        <v>44608</v>
      </c>
      <c r="C860">
        <v>2022</v>
      </c>
      <c r="D860" t="s">
        <v>25</v>
      </c>
      <c r="E860" t="s">
        <v>3836</v>
      </c>
      <c r="F860" t="s">
        <v>4705</v>
      </c>
      <c r="G860" t="s">
        <v>4387</v>
      </c>
      <c r="H860" s="16">
        <v>0.02</v>
      </c>
      <c r="I860" t="s">
        <v>4764</v>
      </c>
      <c r="J860" t="s">
        <v>4614</v>
      </c>
    </row>
    <row r="861" spans="1:10">
      <c r="A861" t="s">
        <v>1141</v>
      </c>
      <c r="B861" s="2">
        <v>44609</v>
      </c>
      <c r="C861">
        <v>2022</v>
      </c>
      <c r="D861" t="s">
        <v>25</v>
      </c>
      <c r="E861" t="s">
        <v>13</v>
      </c>
      <c r="F861" t="s">
        <v>4705</v>
      </c>
      <c r="G861" t="s">
        <v>1142</v>
      </c>
      <c r="H861" s="16">
        <v>0.13</v>
      </c>
      <c r="I861" t="s">
        <v>4764</v>
      </c>
      <c r="J861" t="s">
        <v>4614</v>
      </c>
    </row>
    <row r="862" spans="1:10">
      <c r="A862" t="s">
        <v>1143</v>
      </c>
      <c r="B862" s="2">
        <v>44609</v>
      </c>
      <c r="C862">
        <v>2022</v>
      </c>
      <c r="D862" t="s">
        <v>8</v>
      </c>
      <c r="E862" t="s">
        <v>3846</v>
      </c>
      <c r="F862" t="s">
        <v>4704</v>
      </c>
      <c r="G862" t="s">
        <v>4070</v>
      </c>
      <c r="H862" s="16">
        <v>19.37</v>
      </c>
      <c r="I862" t="s">
        <v>4763</v>
      </c>
      <c r="J862" t="s">
        <v>4614</v>
      </c>
    </row>
    <row r="863" spans="1:10">
      <c r="A863" t="s">
        <v>1144</v>
      </c>
      <c r="B863" s="2">
        <v>44610</v>
      </c>
      <c r="C863">
        <v>2022</v>
      </c>
      <c r="D863" t="s">
        <v>25</v>
      </c>
      <c r="E863" t="s">
        <v>3839</v>
      </c>
      <c r="F863" t="s">
        <v>4705</v>
      </c>
      <c r="G863" t="s">
        <v>4388</v>
      </c>
      <c r="H863" s="16">
        <v>0.11</v>
      </c>
      <c r="I863" t="s">
        <v>4764</v>
      </c>
      <c r="J863" t="s">
        <v>4614</v>
      </c>
    </row>
    <row r="864" spans="1:10">
      <c r="A864" t="s">
        <v>1145</v>
      </c>
      <c r="B864" s="2">
        <v>44613</v>
      </c>
      <c r="C864">
        <v>2022</v>
      </c>
      <c r="D864" t="s">
        <v>21</v>
      </c>
      <c r="E864" t="s">
        <v>3854</v>
      </c>
      <c r="F864" t="s">
        <v>4706</v>
      </c>
      <c r="G864" t="s">
        <v>1146</v>
      </c>
      <c r="H864" s="16">
        <v>0.16</v>
      </c>
      <c r="I864" t="s">
        <v>4764</v>
      </c>
      <c r="J864" t="s">
        <v>4614</v>
      </c>
    </row>
    <row r="865" spans="1:10">
      <c r="A865" t="s">
        <v>1147</v>
      </c>
      <c r="B865" s="2">
        <v>44622</v>
      </c>
      <c r="C865">
        <v>2022</v>
      </c>
      <c r="D865" t="s">
        <v>33</v>
      </c>
      <c r="E865" t="s">
        <v>49</v>
      </c>
      <c r="F865" t="s">
        <v>4707</v>
      </c>
      <c r="G865" t="s">
        <v>1148</v>
      </c>
      <c r="H865" s="16">
        <v>0.03</v>
      </c>
      <c r="I865" t="s">
        <v>4764</v>
      </c>
      <c r="J865" t="s">
        <v>4614</v>
      </c>
    </row>
    <row r="866" spans="1:10">
      <c r="A866" t="s">
        <v>1149</v>
      </c>
      <c r="B866" s="2">
        <v>44623</v>
      </c>
      <c r="C866">
        <v>2022</v>
      </c>
      <c r="D866" t="s">
        <v>15</v>
      </c>
      <c r="E866" t="s">
        <v>3832</v>
      </c>
      <c r="F866" t="s">
        <v>4702</v>
      </c>
      <c r="G866" t="s">
        <v>1150</v>
      </c>
      <c r="H866" s="16">
        <v>0.28999999999999998</v>
      </c>
      <c r="I866" t="s">
        <v>4764</v>
      </c>
      <c r="J866" t="s">
        <v>4614</v>
      </c>
    </row>
    <row r="867" spans="1:10">
      <c r="A867" t="s">
        <v>1151</v>
      </c>
      <c r="B867" s="2">
        <v>44623</v>
      </c>
      <c r="C867">
        <v>2022</v>
      </c>
      <c r="D867" t="s">
        <v>12</v>
      </c>
      <c r="E867" t="s">
        <v>3870</v>
      </c>
      <c r="F867" t="s">
        <v>4703</v>
      </c>
      <c r="G867" t="s">
        <v>1152</v>
      </c>
      <c r="H867" s="16">
        <v>0.16</v>
      </c>
      <c r="I867" t="s">
        <v>4764</v>
      </c>
      <c r="J867" t="s">
        <v>4614</v>
      </c>
    </row>
    <row r="868" spans="1:10">
      <c r="A868" t="s">
        <v>1153</v>
      </c>
      <c r="B868" s="2">
        <v>44630</v>
      </c>
      <c r="C868">
        <v>2022</v>
      </c>
      <c r="D868" t="s">
        <v>25</v>
      </c>
      <c r="E868" t="s">
        <v>3839</v>
      </c>
      <c r="F868" t="s">
        <v>4705</v>
      </c>
      <c r="G868" t="s">
        <v>4389</v>
      </c>
      <c r="H868" s="16">
        <v>0.02</v>
      </c>
      <c r="I868" t="s">
        <v>4764</v>
      </c>
      <c r="J868" t="s">
        <v>4614</v>
      </c>
    </row>
    <row r="869" spans="1:10">
      <c r="A869" t="s">
        <v>1154</v>
      </c>
      <c r="B869" s="2">
        <v>44632</v>
      </c>
      <c r="C869">
        <v>2022</v>
      </c>
      <c r="D869" t="s">
        <v>15</v>
      </c>
      <c r="E869" t="s">
        <v>3832</v>
      </c>
      <c r="F869" t="s">
        <v>4702</v>
      </c>
      <c r="G869" t="s">
        <v>1155</v>
      </c>
      <c r="H869" s="16">
        <v>0.18</v>
      </c>
      <c r="I869" t="s">
        <v>4764</v>
      </c>
      <c r="J869" t="s">
        <v>4614</v>
      </c>
    </row>
    <row r="870" spans="1:10">
      <c r="A870" t="s">
        <v>1156</v>
      </c>
      <c r="B870" s="2">
        <v>44632</v>
      </c>
      <c r="C870">
        <v>2022</v>
      </c>
      <c r="D870" t="s">
        <v>25</v>
      </c>
      <c r="E870" t="s">
        <v>45</v>
      </c>
      <c r="F870" t="s">
        <v>4705</v>
      </c>
      <c r="G870" t="s">
        <v>1157</v>
      </c>
      <c r="H870" s="16">
        <v>0.5</v>
      </c>
      <c r="I870" t="s">
        <v>4764</v>
      </c>
      <c r="J870" t="s">
        <v>4614</v>
      </c>
    </row>
    <row r="871" spans="1:10">
      <c r="A871" t="s">
        <v>1158</v>
      </c>
      <c r="B871" s="2">
        <v>44632</v>
      </c>
      <c r="C871">
        <v>2022</v>
      </c>
      <c r="D871" t="s">
        <v>25</v>
      </c>
      <c r="E871" t="s">
        <v>47</v>
      </c>
      <c r="F871" t="s">
        <v>4705</v>
      </c>
      <c r="G871" t="s">
        <v>3961</v>
      </c>
      <c r="H871" s="16">
        <v>0.56999999999999995</v>
      </c>
      <c r="I871" t="s">
        <v>4764</v>
      </c>
      <c r="J871" t="s">
        <v>4614</v>
      </c>
    </row>
    <row r="872" spans="1:10">
      <c r="A872" t="s">
        <v>1159</v>
      </c>
      <c r="B872" s="2">
        <v>44639</v>
      </c>
      <c r="C872">
        <v>2022</v>
      </c>
      <c r="D872" t="s">
        <v>12</v>
      </c>
      <c r="E872" t="s">
        <v>3862</v>
      </c>
      <c r="F872" t="s">
        <v>4703</v>
      </c>
      <c r="G872" t="s">
        <v>4390</v>
      </c>
      <c r="H872" s="16">
        <v>0.23</v>
      </c>
      <c r="I872" t="s">
        <v>4764</v>
      </c>
      <c r="J872" t="s">
        <v>4614</v>
      </c>
    </row>
    <row r="873" spans="1:10">
      <c r="A873" t="s">
        <v>1160</v>
      </c>
      <c r="B873" s="2">
        <v>44647</v>
      </c>
      <c r="C873">
        <v>2022</v>
      </c>
      <c r="D873" t="s">
        <v>25</v>
      </c>
      <c r="E873" t="s">
        <v>3862</v>
      </c>
      <c r="F873" t="s">
        <v>4705</v>
      </c>
      <c r="G873" t="s">
        <v>1161</v>
      </c>
      <c r="H873" s="16">
        <v>0.02</v>
      </c>
      <c r="I873" t="s">
        <v>4764</v>
      </c>
      <c r="J873" t="s">
        <v>4614</v>
      </c>
    </row>
    <row r="874" spans="1:10">
      <c r="A874" t="s">
        <v>1162</v>
      </c>
      <c r="B874" s="2">
        <v>44653</v>
      </c>
      <c r="C874">
        <v>2022</v>
      </c>
      <c r="D874" t="s">
        <v>25</v>
      </c>
      <c r="E874" t="s">
        <v>3854</v>
      </c>
      <c r="F874" t="s">
        <v>4705</v>
      </c>
      <c r="G874" t="s">
        <v>4391</v>
      </c>
      <c r="H874" s="16">
        <v>0.09</v>
      </c>
      <c r="I874" t="s">
        <v>4764</v>
      </c>
      <c r="J874" t="s">
        <v>4614</v>
      </c>
    </row>
    <row r="875" spans="1:10">
      <c r="A875" t="s">
        <v>1163</v>
      </c>
      <c r="B875" s="2">
        <v>44654</v>
      </c>
      <c r="C875">
        <v>2022</v>
      </c>
      <c r="D875" t="s">
        <v>25</v>
      </c>
      <c r="E875" t="s">
        <v>3870</v>
      </c>
      <c r="F875" t="s">
        <v>4705</v>
      </c>
      <c r="G875" t="s">
        <v>4392</v>
      </c>
      <c r="H875" s="16">
        <v>0.13</v>
      </c>
      <c r="I875" t="s">
        <v>4764</v>
      </c>
      <c r="J875" t="s">
        <v>4614</v>
      </c>
    </row>
    <row r="876" spans="1:10">
      <c r="A876" t="s">
        <v>1164</v>
      </c>
      <c r="B876" s="2">
        <v>44654</v>
      </c>
      <c r="C876">
        <v>2022</v>
      </c>
      <c r="D876" t="s">
        <v>25</v>
      </c>
      <c r="E876" t="s">
        <v>3839</v>
      </c>
      <c r="F876" t="s">
        <v>4705</v>
      </c>
      <c r="G876" t="s">
        <v>1165</v>
      </c>
      <c r="H876" s="16">
        <v>0.03</v>
      </c>
      <c r="I876" t="s">
        <v>4764</v>
      </c>
      <c r="J876" t="s">
        <v>4614</v>
      </c>
    </row>
    <row r="877" spans="1:10">
      <c r="A877" t="s">
        <v>1166</v>
      </c>
      <c r="B877" s="2">
        <v>44657</v>
      </c>
      <c r="C877">
        <v>2022</v>
      </c>
      <c r="D877" t="s">
        <v>21</v>
      </c>
      <c r="E877" t="s">
        <v>47</v>
      </c>
      <c r="F877" t="s">
        <v>4706</v>
      </c>
      <c r="G877" t="s">
        <v>4393</v>
      </c>
      <c r="H877" s="16">
        <v>0.2</v>
      </c>
      <c r="I877" t="s">
        <v>4764</v>
      </c>
      <c r="J877" t="s">
        <v>4614</v>
      </c>
    </row>
    <row r="878" spans="1:10">
      <c r="A878" t="s">
        <v>1167</v>
      </c>
      <c r="B878" s="2">
        <v>44657</v>
      </c>
      <c r="C878">
        <v>2022</v>
      </c>
      <c r="D878" t="s">
        <v>15</v>
      </c>
      <c r="E878" t="s">
        <v>3832</v>
      </c>
      <c r="F878" t="s">
        <v>4702</v>
      </c>
      <c r="G878" t="s">
        <v>4394</v>
      </c>
      <c r="H878" s="16">
        <v>0.22</v>
      </c>
      <c r="I878" t="s">
        <v>4764</v>
      </c>
      <c r="J878" t="s">
        <v>4614</v>
      </c>
    </row>
    <row r="879" spans="1:10">
      <c r="A879" t="s">
        <v>1168</v>
      </c>
      <c r="B879" s="2">
        <v>44670</v>
      </c>
      <c r="C879">
        <v>2022</v>
      </c>
      <c r="D879" t="s">
        <v>33</v>
      </c>
      <c r="E879" t="s">
        <v>19</v>
      </c>
      <c r="F879" t="s">
        <v>4707</v>
      </c>
      <c r="G879" t="s">
        <v>4395</v>
      </c>
      <c r="H879" s="16">
        <v>0.19</v>
      </c>
      <c r="I879" t="s">
        <v>4764</v>
      </c>
      <c r="J879" t="s">
        <v>4614</v>
      </c>
    </row>
    <row r="880" spans="1:10">
      <c r="A880" t="s">
        <v>1169</v>
      </c>
      <c r="B880" s="2">
        <v>44673</v>
      </c>
      <c r="C880">
        <v>2022</v>
      </c>
      <c r="D880" t="s">
        <v>12</v>
      </c>
      <c r="E880" t="s">
        <v>3854</v>
      </c>
      <c r="F880" t="s">
        <v>4703</v>
      </c>
      <c r="G880" t="s">
        <v>4396</v>
      </c>
      <c r="H880" s="16">
        <v>1.06</v>
      </c>
      <c r="I880" t="s">
        <v>4764</v>
      </c>
      <c r="J880" t="s">
        <v>4614</v>
      </c>
    </row>
    <row r="881" spans="1:10">
      <c r="A881" t="s">
        <v>1170</v>
      </c>
      <c r="B881" s="2">
        <v>44675</v>
      </c>
      <c r="C881">
        <v>2022</v>
      </c>
      <c r="D881" t="s">
        <v>25</v>
      </c>
      <c r="E881" t="s">
        <v>3839</v>
      </c>
      <c r="F881" t="s">
        <v>4705</v>
      </c>
      <c r="G881" t="s">
        <v>1171</v>
      </c>
      <c r="H881" s="16">
        <v>0.05</v>
      </c>
      <c r="I881" t="s">
        <v>4764</v>
      </c>
      <c r="J881" t="s">
        <v>4614</v>
      </c>
    </row>
    <row r="882" spans="1:10">
      <c r="A882" t="s">
        <v>1172</v>
      </c>
      <c r="B882" s="2">
        <v>44675</v>
      </c>
      <c r="C882">
        <v>2022</v>
      </c>
      <c r="D882" t="s">
        <v>15</v>
      </c>
      <c r="E882" t="s">
        <v>3832</v>
      </c>
      <c r="F882" t="s">
        <v>4702</v>
      </c>
      <c r="G882" t="s">
        <v>4397</v>
      </c>
      <c r="H882" s="16">
        <v>0.12</v>
      </c>
      <c r="I882" t="s">
        <v>4764</v>
      </c>
      <c r="J882" t="s">
        <v>4614</v>
      </c>
    </row>
    <row r="883" spans="1:10">
      <c r="A883" t="s">
        <v>1173</v>
      </c>
      <c r="B883" s="2">
        <v>44677</v>
      </c>
      <c r="C883">
        <v>2022</v>
      </c>
      <c r="D883" t="s">
        <v>25</v>
      </c>
      <c r="E883" t="s">
        <v>49</v>
      </c>
      <c r="F883" t="s">
        <v>4705</v>
      </c>
      <c r="G883" t="s">
        <v>4398</v>
      </c>
      <c r="H883" s="16">
        <v>0.08</v>
      </c>
      <c r="I883" t="s">
        <v>4764</v>
      </c>
      <c r="J883" t="s">
        <v>4614</v>
      </c>
    </row>
    <row r="884" spans="1:10">
      <c r="A884" t="s">
        <v>1174</v>
      </c>
      <c r="B884" s="2">
        <v>44682</v>
      </c>
      <c r="C884">
        <v>2022</v>
      </c>
      <c r="D884" t="s">
        <v>33</v>
      </c>
      <c r="E884" t="s">
        <v>13</v>
      </c>
      <c r="F884" t="s">
        <v>4707</v>
      </c>
      <c r="G884" t="s">
        <v>1175</v>
      </c>
      <c r="H884" s="16">
        <v>0.25</v>
      </c>
      <c r="I884" t="s">
        <v>4764</v>
      </c>
      <c r="J884" t="s">
        <v>4614</v>
      </c>
    </row>
    <row r="885" spans="1:10">
      <c r="A885" t="s">
        <v>1176</v>
      </c>
      <c r="B885" s="2">
        <v>44683</v>
      </c>
      <c r="C885">
        <v>2022</v>
      </c>
      <c r="D885" t="s">
        <v>25</v>
      </c>
      <c r="E885" t="s">
        <v>3870</v>
      </c>
      <c r="F885" t="s">
        <v>4705</v>
      </c>
      <c r="G885" t="s">
        <v>4399</v>
      </c>
      <c r="H885" s="16">
        <v>0.14000000000000001</v>
      </c>
      <c r="I885" t="s">
        <v>4764</v>
      </c>
      <c r="J885" t="s">
        <v>4614</v>
      </c>
    </row>
    <row r="886" spans="1:10">
      <c r="A886" t="s">
        <v>1177</v>
      </c>
      <c r="B886" s="2">
        <v>44684</v>
      </c>
      <c r="C886">
        <v>2022</v>
      </c>
      <c r="D886" t="s">
        <v>21</v>
      </c>
      <c r="E886" t="s">
        <v>3839</v>
      </c>
      <c r="F886" t="s">
        <v>4706</v>
      </c>
      <c r="G886" t="s">
        <v>4400</v>
      </c>
      <c r="H886" s="16">
        <v>0.65</v>
      </c>
      <c r="I886" t="s">
        <v>4764</v>
      </c>
      <c r="J886" t="s">
        <v>4614</v>
      </c>
    </row>
    <row r="887" spans="1:10">
      <c r="A887" t="s">
        <v>1178</v>
      </c>
      <c r="B887" s="2">
        <v>44686</v>
      </c>
      <c r="C887">
        <v>2022</v>
      </c>
      <c r="D887" t="s">
        <v>25</v>
      </c>
      <c r="E887" t="s">
        <v>3862</v>
      </c>
      <c r="F887" t="s">
        <v>4705</v>
      </c>
      <c r="G887" t="s">
        <v>4374</v>
      </c>
      <c r="H887" s="16">
        <v>0.44</v>
      </c>
      <c r="I887" t="s">
        <v>4764</v>
      </c>
      <c r="J887" t="s">
        <v>4614</v>
      </c>
    </row>
    <row r="888" spans="1:10">
      <c r="A888" t="s">
        <v>1179</v>
      </c>
      <c r="B888" s="2">
        <v>44688</v>
      </c>
      <c r="C888">
        <v>2022</v>
      </c>
      <c r="D888" t="s">
        <v>12</v>
      </c>
      <c r="E888" t="s">
        <v>3870</v>
      </c>
      <c r="F888" t="s">
        <v>4703</v>
      </c>
      <c r="G888" t="s">
        <v>1180</v>
      </c>
      <c r="H888" s="16">
        <v>0.25</v>
      </c>
      <c r="I888" t="s">
        <v>4764</v>
      </c>
      <c r="J888" t="s">
        <v>4614</v>
      </c>
    </row>
    <row r="889" spans="1:10">
      <c r="A889" t="s">
        <v>1181</v>
      </c>
      <c r="B889" s="2">
        <v>44688</v>
      </c>
      <c r="C889">
        <v>2022</v>
      </c>
      <c r="D889" t="s">
        <v>33</v>
      </c>
      <c r="E889" t="s">
        <v>19</v>
      </c>
      <c r="F889" t="s">
        <v>4707</v>
      </c>
      <c r="G889" t="s">
        <v>4401</v>
      </c>
      <c r="H889" s="16">
        <v>0.13</v>
      </c>
      <c r="I889" t="s">
        <v>4764</v>
      </c>
      <c r="J889" t="s">
        <v>4614</v>
      </c>
    </row>
    <row r="890" spans="1:10">
      <c r="A890" t="s">
        <v>1182</v>
      </c>
      <c r="B890" s="2">
        <v>44692</v>
      </c>
      <c r="C890">
        <v>2022</v>
      </c>
      <c r="D890" t="s">
        <v>12</v>
      </c>
      <c r="E890" t="s">
        <v>47</v>
      </c>
      <c r="F890" t="s">
        <v>4703</v>
      </c>
      <c r="G890" t="s">
        <v>1183</v>
      </c>
      <c r="H890" s="16">
        <v>0.19</v>
      </c>
      <c r="I890" t="s">
        <v>4764</v>
      </c>
      <c r="J890" t="s">
        <v>4614</v>
      </c>
    </row>
    <row r="891" spans="1:10">
      <c r="A891" t="s">
        <v>1184</v>
      </c>
      <c r="B891" s="2">
        <v>44694</v>
      </c>
      <c r="C891">
        <v>2022</v>
      </c>
      <c r="D891" t="s">
        <v>33</v>
      </c>
      <c r="E891" t="s">
        <v>49</v>
      </c>
      <c r="F891" t="s">
        <v>4707</v>
      </c>
      <c r="G891" t="s">
        <v>1185</v>
      </c>
      <c r="H891" s="16">
        <v>0.11</v>
      </c>
      <c r="I891" t="s">
        <v>4764</v>
      </c>
      <c r="J891" t="s">
        <v>4614</v>
      </c>
    </row>
    <row r="892" spans="1:10">
      <c r="A892" t="s">
        <v>1186</v>
      </c>
      <c r="B892" s="2">
        <v>44698</v>
      </c>
      <c r="C892">
        <v>2022</v>
      </c>
      <c r="D892" t="s">
        <v>21</v>
      </c>
      <c r="E892" t="s">
        <v>72</v>
      </c>
      <c r="F892" t="s">
        <v>4706</v>
      </c>
      <c r="G892" t="s">
        <v>4402</v>
      </c>
      <c r="H892" s="16">
        <v>0.56000000000000005</v>
      </c>
      <c r="I892" t="s">
        <v>4764</v>
      </c>
      <c r="J892" t="s">
        <v>4614</v>
      </c>
    </row>
    <row r="893" spans="1:10">
      <c r="A893" t="s">
        <v>1187</v>
      </c>
      <c r="B893" s="2">
        <v>44701</v>
      </c>
      <c r="C893">
        <v>2022</v>
      </c>
      <c r="D893" t="s">
        <v>15</v>
      </c>
      <c r="E893" t="s">
        <v>3832</v>
      </c>
      <c r="F893" t="s">
        <v>4702</v>
      </c>
      <c r="G893" t="s">
        <v>4403</v>
      </c>
      <c r="H893" s="16">
        <v>0.25</v>
      </c>
      <c r="I893" t="s">
        <v>4764</v>
      </c>
      <c r="J893" t="s">
        <v>4614</v>
      </c>
    </row>
    <row r="894" spans="1:10">
      <c r="A894" t="s">
        <v>1188</v>
      </c>
      <c r="B894" s="2">
        <v>44702</v>
      </c>
      <c r="C894">
        <v>2022</v>
      </c>
      <c r="D894" t="s">
        <v>33</v>
      </c>
      <c r="E894" t="s">
        <v>3839</v>
      </c>
      <c r="F894" t="s">
        <v>4707</v>
      </c>
      <c r="G894" t="s">
        <v>802</v>
      </c>
      <c r="H894" s="16">
        <v>0.22</v>
      </c>
      <c r="I894" t="s">
        <v>4764</v>
      </c>
      <c r="J894" t="s">
        <v>4614</v>
      </c>
    </row>
    <row r="895" spans="1:10">
      <c r="A895" t="s">
        <v>1189</v>
      </c>
      <c r="B895" s="2">
        <v>44703</v>
      </c>
      <c r="C895">
        <v>2022</v>
      </c>
      <c r="D895" t="s">
        <v>25</v>
      </c>
      <c r="E895" t="s">
        <v>47</v>
      </c>
      <c r="F895" t="s">
        <v>4705</v>
      </c>
      <c r="G895" t="s">
        <v>4404</v>
      </c>
      <c r="H895" s="16">
        <v>0.22</v>
      </c>
      <c r="I895" t="s">
        <v>4764</v>
      </c>
      <c r="J895" t="s">
        <v>4614</v>
      </c>
    </row>
    <row r="896" spans="1:10">
      <c r="A896" t="s">
        <v>1190</v>
      </c>
      <c r="B896" s="2">
        <v>44705</v>
      </c>
      <c r="C896">
        <v>2022</v>
      </c>
      <c r="D896" t="s">
        <v>33</v>
      </c>
      <c r="E896" t="s">
        <v>3862</v>
      </c>
      <c r="F896" t="s">
        <v>4707</v>
      </c>
      <c r="G896" t="s">
        <v>4405</v>
      </c>
      <c r="H896" s="16">
        <v>0.08</v>
      </c>
      <c r="I896" t="s">
        <v>4764</v>
      </c>
      <c r="J896" t="s">
        <v>4614</v>
      </c>
    </row>
    <row r="897" spans="1:10">
      <c r="A897" t="s">
        <v>1191</v>
      </c>
      <c r="B897" s="2">
        <v>44707</v>
      </c>
      <c r="C897">
        <v>2022</v>
      </c>
      <c r="D897" t="s">
        <v>8</v>
      </c>
      <c r="E897" t="s">
        <v>125</v>
      </c>
      <c r="F897" t="s">
        <v>4704</v>
      </c>
      <c r="G897" t="s">
        <v>4406</v>
      </c>
      <c r="H897" s="16">
        <v>3.96</v>
      </c>
      <c r="I897" t="s">
        <v>4764</v>
      </c>
      <c r="J897" t="s">
        <v>4614</v>
      </c>
    </row>
    <row r="898" spans="1:10">
      <c r="A898" t="s">
        <v>1192</v>
      </c>
      <c r="B898" s="2">
        <v>44718</v>
      </c>
      <c r="C898">
        <v>2022</v>
      </c>
      <c r="D898" t="s">
        <v>12</v>
      </c>
      <c r="E898" t="s">
        <v>3862</v>
      </c>
      <c r="F898" t="s">
        <v>4703</v>
      </c>
      <c r="G898" t="s">
        <v>4407</v>
      </c>
      <c r="H898" s="16">
        <v>1.02</v>
      </c>
      <c r="I898" t="s">
        <v>4764</v>
      </c>
      <c r="J898" t="s">
        <v>4614</v>
      </c>
    </row>
    <row r="899" spans="1:10">
      <c r="A899" t="s">
        <v>1193</v>
      </c>
      <c r="B899" s="2">
        <v>44719</v>
      </c>
      <c r="C899">
        <v>2022</v>
      </c>
      <c r="D899" t="s">
        <v>33</v>
      </c>
      <c r="E899" t="s">
        <v>13</v>
      </c>
      <c r="F899" t="s">
        <v>4707</v>
      </c>
      <c r="G899" t="s">
        <v>4408</v>
      </c>
      <c r="H899" s="16">
        <v>0.3</v>
      </c>
      <c r="I899" t="s">
        <v>4764</v>
      </c>
      <c r="J899" t="s">
        <v>4614</v>
      </c>
    </row>
    <row r="900" spans="1:10">
      <c r="A900" t="s">
        <v>1194</v>
      </c>
      <c r="B900" s="2">
        <v>44723</v>
      </c>
      <c r="C900">
        <v>2022</v>
      </c>
      <c r="D900" t="s">
        <v>12</v>
      </c>
      <c r="E900" t="s">
        <v>3854</v>
      </c>
      <c r="F900" t="s">
        <v>4703</v>
      </c>
      <c r="G900" t="s">
        <v>4409</v>
      </c>
      <c r="H900" s="16">
        <v>0.22</v>
      </c>
      <c r="I900" t="s">
        <v>4764</v>
      </c>
      <c r="J900" t="s">
        <v>4614</v>
      </c>
    </row>
    <row r="901" spans="1:10">
      <c r="A901" t="s">
        <v>1195</v>
      </c>
      <c r="B901" s="2">
        <v>44729</v>
      </c>
      <c r="C901">
        <v>2022</v>
      </c>
      <c r="D901" t="s">
        <v>25</v>
      </c>
      <c r="E901" t="s">
        <v>3836</v>
      </c>
      <c r="F901" t="s">
        <v>4705</v>
      </c>
      <c r="G901" t="s">
        <v>4410</v>
      </c>
      <c r="H901" s="16">
        <v>7.0000000000000007E-2</v>
      </c>
      <c r="I901" t="s">
        <v>4764</v>
      </c>
      <c r="J901" t="s">
        <v>4614</v>
      </c>
    </row>
    <row r="902" spans="1:10">
      <c r="A902" t="s">
        <v>1196</v>
      </c>
      <c r="B902" s="2">
        <v>44729</v>
      </c>
      <c r="C902">
        <v>2022</v>
      </c>
      <c r="D902" t="s">
        <v>25</v>
      </c>
      <c r="E902" t="s">
        <v>19</v>
      </c>
      <c r="F902" t="s">
        <v>4705</v>
      </c>
      <c r="G902" t="s">
        <v>4411</v>
      </c>
      <c r="H902" s="16">
        <v>7.0000000000000007E-2</v>
      </c>
      <c r="I902" t="s">
        <v>4764</v>
      </c>
      <c r="J902" t="s">
        <v>4614</v>
      </c>
    </row>
    <row r="903" spans="1:10">
      <c r="A903" t="s">
        <v>1197</v>
      </c>
      <c r="B903" s="2">
        <v>44735</v>
      </c>
      <c r="C903">
        <v>2022</v>
      </c>
      <c r="D903" t="s">
        <v>25</v>
      </c>
      <c r="E903" t="s">
        <v>3870</v>
      </c>
      <c r="F903" t="s">
        <v>4705</v>
      </c>
      <c r="G903" t="s">
        <v>1198</v>
      </c>
      <c r="H903" s="16">
        <v>0.02</v>
      </c>
      <c r="I903" t="s">
        <v>4764</v>
      </c>
      <c r="J903" t="s">
        <v>4614</v>
      </c>
    </row>
    <row r="904" spans="1:10">
      <c r="A904" t="s">
        <v>1199</v>
      </c>
      <c r="B904" s="2">
        <v>44736</v>
      </c>
      <c r="C904">
        <v>2022</v>
      </c>
      <c r="D904" t="s">
        <v>15</v>
      </c>
      <c r="E904" t="s">
        <v>3832</v>
      </c>
      <c r="F904" t="s">
        <v>4702</v>
      </c>
      <c r="G904" t="s">
        <v>4412</v>
      </c>
      <c r="H904" s="16">
        <v>7.0000000000000007E-2</v>
      </c>
      <c r="I904" t="s">
        <v>4764</v>
      </c>
      <c r="J904" t="s">
        <v>4614</v>
      </c>
    </row>
    <row r="905" spans="1:10">
      <c r="A905" t="s">
        <v>1200</v>
      </c>
      <c r="B905" s="2">
        <v>44752</v>
      </c>
      <c r="C905">
        <v>2022</v>
      </c>
      <c r="D905" t="s">
        <v>12</v>
      </c>
      <c r="E905" t="s">
        <v>3836</v>
      </c>
      <c r="F905" t="s">
        <v>4703</v>
      </c>
      <c r="G905" t="s">
        <v>1201</v>
      </c>
      <c r="H905" s="16">
        <v>0.02</v>
      </c>
      <c r="I905" t="s">
        <v>4764</v>
      </c>
      <c r="J905" t="s">
        <v>4614</v>
      </c>
    </row>
    <row r="906" spans="1:10">
      <c r="A906" t="s">
        <v>1202</v>
      </c>
      <c r="B906" s="2">
        <v>44764</v>
      </c>
      <c r="C906">
        <v>2022</v>
      </c>
      <c r="D906" t="s">
        <v>8</v>
      </c>
      <c r="E906" t="s">
        <v>23</v>
      </c>
      <c r="F906" t="s">
        <v>4704</v>
      </c>
      <c r="G906" t="s">
        <v>4413</v>
      </c>
      <c r="H906" s="16">
        <v>22.58</v>
      </c>
      <c r="I906" t="s">
        <v>4763</v>
      </c>
      <c r="J906" t="s">
        <v>4614</v>
      </c>
    </row>
    <row r="907" spans="1:10">
      <c r="A907" t="s">
        <v>1203</v>
      </c>
      <c r="B907" s="2">
        <v>44769</v>
      </c>
      <c r="C907">
        <v>2022</v>
      </c>
      <c r="D907" t="s">
        <v>12</v>
      </c>
      <c r="E907" t="s">
        <v>3862</v>
      </c>
      <c r="F907" t="s">
        <v>4703</v>
      </c>
      <c r="G907" t="s">
        <v>4048</v>
      </c>
      <c r="H907" s="16">
        <v>0.06</v>
      </c>
      <c r="I907" t="s">
        <v>4764</v>
      </c>
      <c r="J907" t="s">
        <v>4614</v>
      </c>
    </row>
    <row r="908" spans="1:10">
      <c r="A908" t="s">
        <v>1204</v>
      </c>
      <c r="B908" s="2">
        <v>44787</v>
      </c>
      <c r="C908">
        <v>2022</v>
      </c>
      <c r="D908" t="s">
        <v>25</v>
      </c>
      <c r="E908" t="s">
        <v>3854</v>
      </c>
      <c r="F908" t="s">
        <v>4705</v>
      </c>
      <c r="G908" t="s">
        <v>4414</v>
      </c>
      <c r="H908" s="16">
        <v>0.21</v>
      </c>
      <c r="I908" t="s">
        <v>4764</v>
      </c>
      <c r="J908" t="s">
        <v>4614</v>
      </c>
    </row>
    <row r="909" spans="1:10">
      <c r="A909" t="s">
        <v>1205</v>
      </c>
      <c r="B909" s="2">
        <v>44788</v>
      </c>
      <c r="C909">
        <v>2022</v>
      </c>
      <c r="D909" t="s">
        <v>25</v>
      </c>
      <c r="E909" t="s">
        <v>45</v>
      </c>
      <c r="F909" t="s">
        <v>4705</v>
      </c>
      <c r="G909" t="s">
        <v>4415</v>
      </c>
      <c r="H909" s="16">
        <v>0.36</v>
      </c>
      <c r="I909" t="s">
        <v>4764</v>
      </c>
      <c r="J909" t="s">
        <v>4614</v>
      </c>
    </row>
    <row r="910" spans="1:10">
      <c r="A910" t="s">
        <v>1206</v>
      </c>
      <c r="B910" s="2">
        <v>44789</v>
      </c>
      <c r="C910">
        <v>2022</v>
      </c>
      <c r="D910" t="s">
        <v>25</v>
      </c>
      <c r="E910" t="s">
        <v>3870</v>
      </c>
      <c r="F910" t="s">
        <v>4705</v>
      </c>
      <c r="G910" t="s">
        <v>1207</v>
      </c>
      <c r="H910" s="16">
        <v>0.11</v>
      </c>
      <c r="I910" t="s">
        <v>4764</v>
      </c>
      <c r="J910" t="s">
        <v>4614</v>
      </c>
    </row>
    <row r="911" spans="1:10">
      <c r="A911" t="s">
        <v>1208</v>
      </c>
      <c r="B911" s="2">
        <v>44790</v>
      </c>
      <c r="C911">
        <v>2022</v>
      </c>
      <c r="D911" t="s">
        <v>33</v>
      </c>
      <c r="E911" t="s">
        <v>49</v>
      </c>
      <c r="F911" t="s">
        <v>4707</v>
      </c>
      <c r="G911" t="s">
        <v>591</v>
      </c>
      <c r="H911" s="16">
        <v>0.11</v>
      </c>
      <c r="I911" t="s">
        <v>4764</v>
      </c>
      <c r="J911" t="s">
        <v>4614</v>
      </c>
    </row>
    <row r="912" spans="1:10">
      <c r="A912" t="s">
        <v>1209</v>
      </c>
      <c r="B912" s="2">
        <v>44792</v>
      </c>
      <c r="C912">
        <v>2022</v>
      </c>
      <c r="D912" t="s">
        <v>25</v>
      </c>
      <c r="E912" t="s">
        <v>47</v>
      </c>
      <c r="F912" t="s">
        <v>4705</v>
      </c>
      <c r="G912" t="s">
        <v>4416</v>
      </c>
      <c r="H912" s="16">
        <v>0.15</v>
      </c>
      <c r="I912" t="s">
        <v>4764</v>
      </c>
      <c r="J912" t="s">
        <v>4614</v>
      </c>
    </row>
    <row r="913" spans="1:10">
      <c r="A913" t="s">
        <v>1210</v>
      </c>
      <c r="B913" s="2">
        <v>44800</v>
      </c>
      <c r="C913">
        <v>2022</v>
      </c>
      <c r="D913" t="s">
        <v>25</v>
      </c>
      <c r="E913" t="s">
        <v>72</v>
      </c>
      <c r="F913" t="s">
        <v>4705</v>
      </c>
      <c r="G913" t="s">
        <v>1211</v>
      </c>
      <c r="H913" s="16">
        <v>0.02</v>
      </c>
      <c r="I913" t="s">
        <v>4764</v>
      </c>
      <c r="J913" t="s">
        <v>4614</v>
      </c>
    </row>
    <row r="914" spans="1:10">
      <c r="A914" t="s">
        <v>1212</v>
      </c>
      <c r="B914" s="2">
        <v>44808</v>
      </c>
      <c r="C914">
        <v>2022</v>
      </c>
      <c r="D914" t="s">
        <v>12</v>
      </c>
      <c r="E914" t="s">
        <v>47</v>
      </c>
      <c r="F914" t="s">
        <v>4703</v>
      </c>
      <c r="G914" t="s">
        <v>1213</v>
      </c>
      <c r="H914" s="16">
        <v>0.19</v>
      </c>
      <c r="I914" t="s">
        <v>4764</v>
      </c>
      <c r="J914" t="s">
        <v>4614</v>
      </c>
    </row>
    <row r="915" spans="1:10">
      <c r="A915" t="s">
        <v>1214</v>
      </c>
      <c r="B915" s="2">
        <v>44810</v>
      </c>
      <c r="C915">
        <v>2022</v>
      </c>
      <c r="D915" t="s">
        <v>21</v>
      </c>
      <c r="E915" t="s">
        <v>3839</v>
      </c>
      <c r="F915" t="s">
        <v>4706</v>
      </c>
      <c r="G915" t="s">
        <v>1215</v>
      </c>
      <c r="H915" s="16">
        <v>0.19</v>
      </c>
      <c r="I915" t="s">
        <v>4764</v>
      </c>
      <c r="J915" t="s">
        <v>4614</v>
      </c>
    </row>
    <row r="916" spans="1:10">
      <c r="A916" t="s">
        <v>1216</v>
      </c>
      <c r="B916" s="2">
        <v>44812</v>
      </c>
      <c r="C916">
        <v>2022</v>
      </c>
      <c r="D916" t="s">
        <v>25</v>
      </c>
      <c r="E916" t="s">
        <v>72</v>
      </c>
      <c r="F916" t="s">
        <v>4705</v>
      </c>
      <c r="G916" t="s">
        <v>1217</v>
      </c>
      <c r="H916" s="16">
        <v>7.0000000000000007E-2</v>
      </c>
      <c r="I916" t="s">
        <v>4764</v>
      </c>
      <c r="J916" t="s">
        <v>4614</v>
      </c>
    </row>
    <row r="917" spans="1:10">
      <c r="A917" t="s">
        <v>1218</v>
      </c>
      <c r="B917" s="2">
        <v>44812</v>
      </c>
      <c r="C917">
        <v>2022</v>
      </c>
      <c r="D917" t="s">
        <v>12</v>
      </c>
      <c r="E917" t="s">
        <v>34</v>
      </c>
      <c r="F917" t="s">
        <v>4703</v>
      </c>
      <c r="G917" t="s">
        <v>4417</v>
      </c>
      <c r="H917" s="16">
        <v>0.16</v>
      </c>
      <c r="I917" t="s">
        <v>4764</v>
      </c>
      <c r="J917" t="s">
        <v>4614</v>
      </c>
    </row>
    <row r="918" spans="1:10">
      <c r="A918" t="s">
        <v>1219</v>
      </c>
      <c r="B918" s="2">
        <v>44817</v>
      </c>
      <c r="C918">
        <v>2022</v>
      </c>
      <c r="D918" t="s">
        <v>25</v>
      </c>
      <c r="E918" t="s">
        <v>4257</v>
      </c>
      <c r="F918" t="s">
        <v>4708</v>
      </c>
      <c r="G918" t="s">
        <v>1220</v>
      </c>
      <c r="H918" s="16">
        <v>3</v>
      </c>
      <c r="I918" t="s">
        <v>4764</v>
      </c>
      <c r="J918" t="s">
        <v>4613</v>
      </c>
    </row>
    <row r="919" spans="1:10">
      <c r="A919" t="s">
        <v>1221</v>
      </c>
      <c r="B919" s="2">
        <v>44817</v>
      </c>
      <c r="C919">
        <v>2022</v>
      </c>
      <c r="D919" t="s">
        <v>8</v>
      </c>
      <c r="E919" t="s">
        <v>3850</v>
      </c>
      <c r="F919" t="s">
        <v>4704</v>
      </c>
      <c r="G919" t="s">
        <v>4418</v>
      </c>
      <c r="H919" s="16">
        <v>0.23</v>
      </c>
      <c r="I919" t="s">
        <v>4764</v>
      </c>
      <c r="J919" t="s">
        <v>4614</v>
      </c>
    </row>
    <row r="920" spans="1:10">
      <c r="A920" t="s">
        <v>1222</v>
      </c>
      <c r="B920" s="2">
        <v>44820</v>
      </c>
      <c r="C920">
        <v>2022</v>
      </c>
      <c r="D920" t="s">
        <v>12</v>
      </c>
      <c r="E920" t="s">
        <v>72</v>
      </c>
      <c r="F920" t="s">
        <v>4703</v>
      </c>
      <c r="G920" t="s">
        <v>4419</v>
      </c>
      <c r="H920" s="16">
        <v>0.57999999999999996</v>
      </c>
      <c r="I920" t="s">
        <v>4764</v>
      </c>
      <c r="J920" t="s">
        <v>4614</v>
      </c>
    </row>
    <row r="921" spans="1:10">
      <c r="A921" t="s">
        <v>1223</v>
      </c>
      <c r="B921" s="2">
        <v>44823</v>
      </c>
      <c r="C921">
        <v>2022</v>
      </c>
      <c r="D921" t="s">
        <v>33</v>
      </c>
      <c r="E921" t="s">
        <v>3854</v>
      </c>
      <c r="F921" t="s">
        <v>4707</v>
      </c>
      <c r="G921" t="s">
        <v>1224</v>
      </c>
      <c r="H921" s="16">
        <v>0.4</v>
      </c>
      <c r="I921" t="s">
        <v>4764</v>
      </c>
      <c r="J921" t="s">
        <v>4614</v>
      </c>
    </row>
    <row r="922" spans="1:10">
      <c r="A922" t="s">
        <v>1225</v>
      </c>
      <c r="B922" s="2">
        <v>44827</v>
      </c>
      <c r="C922">
        <v>2022</v>
      </c>
      <c r="D922" t="s">
        <v>25</v>
      </c>
      <c r="E922" t="s">
        <v>13</v>
      </c>
      <c r="F922" t="s">
        <v>4705</v>
      </c>
      <c r="G922" t="s">
        <v>4420</v>
      </c>
      <c r="H922" s="16">
        <v>0.17</v>
      </c>
      <c r="I922" t="s">
        <v>4764</v>
      </c>
      <c r="J922" t="s">
        <v>4614</v>
      </c>
    </row>
    <row r="923" spans="1:10">
      <c r="A923" t="s">
        <v>1226</v>
      </c>
      <c r="B923" s="2">
        <v>44837</v>
      </c>
      <c r="C923">
        <v>2022</v>
      </c>
      <c r="D923" t="s">
        <v>12</v>
      </c>
      <c r="E923" t="s">
        <v>45</v>
      </c>
      <c r="F923" t="s">
        <v>4703</v>
      </c>
      <c r="G923" t="s">
        <v>4421</v>
      </c>
      <c r="H923" s="16">
        <v>0.13</v>
      </c>
      <c r="I923" t="s">
        <v>4764</v>
      </c>
      <c r="J923" t="s">
        <v>4614</v>
      </c>
    </row>
    <row r="924" spans="1:10">
      <c r="A924" t="s">
        <v>1227</v>
      </c>
      <c r="B924" s="2">
        <v>44838</v>
      </c>
      <c r="C924">
        <v>2022</v>
      </c>
      <c r="D924" t="s">
        <v>25</v>
      </c>
      <c r="E924" t="s">
        <v>3836</v>
      </c>
      <c r="F924" t="s">
        <v>4705</v>
      </c>
      <c r="G924" t="s">
        <v>1228</v>
      </c>
      <c r="H924" s="16">
        <v>0.02</v>
      </c>
      <c r="I924" t="s">
        <v>4764</v>
      </c>
      <c r="J924" t="s">
        <v>4614</v>
      </c>
    </row>
    <row r="925" spans="1:10">
      <c r="A925" t="s">
        <v>1229</v>
      </c>
      <c r="B925" s="2">
        <v>44838</v>
      </c>
      <c r="C925">
        <v>2022</v>
      </c>
      <c r="D925" t="s">
        <v>33</v>
      </c>
      <c r="E925" t="s">
        <v>34</v>
      </c>
      <c r="F925" t="s">
        <v>4707</v>
      </c>
      <c r="G925" t="s">
        <v>4422</v>
      </c>
      <c r="H925" s="16">
        <v>0.27</v>
      </c>
      <c r="I925" t="s">
        <v>4764</v>
      </c>
      <c r="J925" t="s">
        <v>4614</v>
      </c>
    </row>
    <row r="926" spans="1:10">
      <c r="A926" t="s">
        <v>1230</v>
      </c>
      <c r="B926" s="2">
        <v>44838</v>
      </c>
      <c r="C926">
        <v>2022</v>
      </c>
      <c r="D926" t="s">
        <v>15</v>
      </c>
      <c r="E926" t="s">
        <v>3832</v>
      </c>
      <c r="F926" t="s">
        <v>4702</v>
      </c>
      <c r="G926" t="s">
        <v>1231</v>
      </c>
      <c r="H926" s="16">
        <v>0.14000000000000001</v>
      </c>
      <c r="I926" t="s">
        <v>4764</v>
      </c>
      <c r="J926" t="s">
        <v>4614</v>
      </c>
    </row>
    <row r="927" spans="1:10">
      <c r="A927" t="s">
        <v>1232</v>
      </c>
      <c r="B927" s="2">
        <v>44839</v>
      </c>
      <c r="C927">
        <v>2022</v>
      </c>
      <c r="D927" t="s">
        <v>33</v>
      </c>
      <c r="E927" t="s">
        <v>3839</v>
      </c>
      <c r="F927" t="s">
        <v>4707</v>
      </c>
      <c r="G927" t="s">
        <v>4423</v>
      </c>
      <c r="H927" s="16">
        <v>0.33</v>
      </c>
      <c r="I927" t="s">
        <v>4764</v>
      </c>
      <c r="J927" t="s">
        <v>4614</v>
      </c>
    </row>
    <row r="928" spans="1:10">
      <c r="A928" t="s">
        <v>1233</v>
      </c>
      <c r="B928" s="2">
        <v>44850</v>
      </c>
      <c r="C928">
        <v>2022</v>
      </c>
      <c r="D928" t="s">
        <v>25</v>
      </c>
      <c r="E928" t="s">
        <v>47</v>
      </c>
      <c r="F928" t="s">
        <v>4705</v>
      </c>
      <c r="G928" t="s">
        <v>1234</v>
      </c>
      <c r="H928" s="16">
        <v>0.23</v>
      </c>
      <c r="I928" t="s">
        <v>4764</v>
      </c>
      <c r="J928" t="s">
        <v>4614</v>
      </c>
    </row>
    <row r="929" spans="1:10">
      <c r="A929" t="s">
        <v>1235</v>
      </c>
      <c r="B929" s="2">
        <v>44860</v>
      </c>
      <c r="C929">
        <v>2022</v>
      </c>
      <c r="D929" t="s">
        <v>25</v>
      </c>
      <c r="E929" t="s">
        <v>3862</v>
      </c>
      <c r="F929" t="s">
        <v>4705</v>
      </c>
      <c r="G929" t="s">
        <v>4424</v>
      </c>
      <c r="H929" s="16">
        <v>0.12</v>
      </c>
      <c r="I929" t="s">
        <v>4764</v>
      </c>
      <c r="J929" t="s">
        <v>4614</v>
      </c>
    </row>
    <row r="930" spans="1:10">
      <c r="A930" t="s">
        <v>1236</v>
      </c>
      <c r="B930" s="2">
        <v>44860</v>
      </c>
      <c r="C930">
        <v>2022</v>
      </c>
      <c r="D930" t="s">
        <v>12</v>
      </c>
      <c r="E930" t="s">
        <v>13</v>
      </c>
      <c r="F930" t="s">
        <v>4703</v>
      </c>
      <c r="G930" t="s">
        <v>4425</v>
      </c>
      <c r="H930" s="16">
        <v>0.23</v>
      </c>
      <c r="I930" t="s">
        <v>4764</v>
      </c>
      <c r="J930" t="s">
        <v>4614</v>
      </c>
    </row>
    <row r="931" spans="1:10">
      <c r="A931" t="s">
        <v>1237</v>
      </c>
      <c r="B931" s="2">
        <v>44861</v>
      </c>
      <c r="C931">
        <v>2022</v>
      </c>
      <c r="D931" t="s">
        <v>15</v>
      </c>
      <c r="E931" t="s">
        <v>3832</v>
      </c>
      <c r="F931" t="s">
        <v>4702</v>
      </c>
      <c r="G931" t="s">
        <v>4426</v>
      </c>
      <c r="H931" s="16">
        <v>0.81</v>
      </c>
      <c r="I931" t="s">
        <v>4764</v>
      </c>
      <c r="J931" t="s">
        <v>4614</v>
      </c>
    </row>
    <row r="932" spans="1:10">
      <c r="A932" t="s">
        <v>1238</v>
      </c>
      <c r="B932" s="2">
        <v>44873</v>
      </c>
      <c r="C932">
        <v>2022</v>
      </c>
      <c r="D932" t="s">
        <v>12</v>
      </c>
      <c r="E932" t="s">
        <v>34</v>
      </c>
      <c r="F932" t="s">
        <v>4703</v>
      </c>
      <c r="G932" t="s">
        <v>4379</v>
      </c>
      <c r="H932" s="16">
        <v>1.41</v>
      </c>
      <c r="I932" t="s">
        <v>4764</v>
      </c>
      <c r="J932" t="s">
        <v>4614</v>
      </c>
    </row>
    <row r="933" spans="1:10">
      <c r="A933" t="s">
        <v>1239</v>
      </c>
      <c r="B933" s="2">
        <v>44873</v>
      </c>
      <c r="C933">
        <v>2022</v>
      </c>
      <c r="D933" t="s">
        <v>25</v>
      </c>
      <c r="E933" t="s">
        <v>72</v>
      </c>
      <c r="F933" t="s">
        <v>4705</v>
      </c>
      <c r="G933" t="s">
        <v>1016</v>
      </c>
      <c r="H933" s="16">
        <v>0.14000000000000001</v>
      </c>
      <c r="I933" t="s">
        <v>4764</v>
      </c>
      <c r="J933" t="s">
        <v>4614</v>
      </c>
    </row>
    <row r="934" spans="1:10">
      <c r="A934" t="s">
        <v>1240</v>
      </c>
      <c r="B934" s="2">
        <v>44877</v>
      </c>
      <c r="C934">
        <v>2022</v>
      </c>
      <c r="D934" t="s">
        <v>33</v>
      </c>
      <c r="E934" t="s">
        <v>45</v>
      </c>
      <c r="F934" t="s">
        <v>4707</v>
      </c>
      <c r="G934" t="s">
        <v>1241</v>
      </c>
      <c r="H934" s="16">
        <v>0.36</v>
      </c>
      <c r="I934" t="s">
        <v>4764</v>
      </c>
      <c r="J934" t="s">
        <v>4614</v>
      </c>
    </row>
    <row r="935" spans="1:10">
      <c r="A935" t="s">
        <v>1242</v>
      </c>
      <c r="B935" s="2">
        <v>44879</v>
      </c>
      <c r="C935">
        <v>2022</v>
      </c>
      <c r="D935" t="s">
        <v>25</v>
      </c>
      <c r="E935" t="s">
        <v>3836</v>
      </c>
      <c r="F935" t="s">
        <v>4705</v>
      </c>
      <c r="G935" t="s">
        <v>4427</v>
      </c>
      <c r="H935" s="16">
        <v>0.24</v>
      </c>
      <c r="I935" t="s">
        <v>4764</v>
      </c>
      <c r="J935" t="s">
        <v>4614</v>
      </c>
    </row>
    <row r="936" spans="1:10">
      <c r="A936" t="s">
        <v>1243</v>
      </c>
      <c r="B936" s="2">
        <v>44879</v>
      </c>
      <c r="C936">
        <v>2022</v>
      </c>
      <c r="D936" t="s">
        <v>33</v>
      </c>
      <c r="E936" t="s">
        <v>34</v>
      </c>
      <c r="F936" t="s">
        <v>4707</v>
      </c>
      <c r="G936" t="s">
        <v>1244</v>
      </c>
      <c r="H936" s="16">
        <v>0.16</v>
      </c>
      <c r="I936" t="s">
        <v>4764</v>
      </c>
      <c r="J936" t="s">
        <v>4614</v>
      </c>
    </row>
    <row r="937" spans="1:10">
      <c r="A937" t="s">
        <v>1245</v>
      </c>
      <c r="B937" s="2">
        <v>44882</v>
      </c>
      <c r="C937">
        <v>2022</v>
      </c>
      <c r="D937" t="s">
        <v>33</v>
      </c>
      <c r="E937" t="s">
        <v>3870</v>
      </c>
      <c r="F937" t="s">
        <v>4707</v>
      </c>
      <c r="G937" t="s">
        <v>4428</v>
      </c>
      <c r="H937" s="16">
        <v>0.35</v>
      </c>
      <c r="I937" t="s">
        <v>4764</v>
      </c>
      <c r="J937" t="s">
        <v>4614</v>
      </c>
    </row>
    <row r="938" spans="1:10">
      <c r="A938" t="s">
        <v>1246</v>
      </c>
      <c r="B938" s="2">
        <v>44889</v>
      </c>
      <c r="C938">
        <v>2022</v>
      </c>
      <c r="D938" t="s">
        <v>25</v>
      </c>
      <c r="E938" t="s">
        <v>72</v>
      </c>
      <c r="F938" t="s">
        <v>4705</v>
      </c>
      <c r="G938" t="s">
        <v>4429</v>
      </c>
      <c r="H938" s="16">
        <v>0.68</v>
      </c>
      <c r="I938" t="s">
        <v>4764</v>
      </c>
      <c r="J938" t="s">
        <v>4614</v>
      </c>
    </row>
    <row r="939" spans="1:10">
      <c r="A939" t="s">
        <v>1247</v>
      </c>
      <c r="B939" s="2">
        <v>44889</v>
      </c>
      <c r="C939">
        <v>2022</v>
      </c>
      <c r="D939" t="s">
        <v>15</v>
      </c>
      <c r="E939" t="s">
        <v>3832</v>
      </c>
      <c r="F939" t="s">
        <v>4702</v>
      </c>
      <c r="G939" t="s">
        <v>4430</v>
      </c>
      <c r="H939" s="16">
        <v>0.09</v>
      </c>
      <c r="I939" t="s">
        <v>4764</v>
      </c>
      <c r="J939" t="s">
        <v>4614</v>
      </c>
    </row>
    <row r="940" spans="1:10">
      <c r="A940" t="s">
        <v>1248</v>
      </c>
      <c r="B940" s="2">
        <v>44890</v>
      </c>
      <c r="C940">
        <v>2022</v>
      </c>
      <c r="D940" t="s">
        <v>8</v>
      </c>
      <c r="E940" t="s">
        <v>23</v>
      </c>
      <c r="F940" t="s">
        <v>4704</v>
      </c>
      <c r="G940" t="s">
        <v>1249</v>
      </c>
      <c r="H940" s="16">
        <v>3.08</v>
      </c>
      <c r="I940" t="s">
        <v>4764</v>
      </c>
      <c r="J940" t="s">
        <v>4614</v>
      </c>
    </row>
    <row r="941" spans="1:10">
      <c r="A941" t="s">
        <v>1250</v>
      </c>
      <c r="B941" s="2">
        <v>44891</v>
      </c>
      <c r="C941">
        <v>2022</v>
      </c>
      <c r="D941" t="s">
        <v>25</v>
      </c>
      <c r="E941" t="s">
        <v>29</v>
      </c>
      <c r="F941" t="s">
        <v>4705</v>
      </c>
      <c r="G941" t="s">
        <v>4431</v>
      </c>
      <c r="H941" s="16">
        <v>0.46</v>
      </c>
      <c r="I941" t="s">
        <v>4764</v>
      </c>
      <c r="J941" t="s">
        <v>4614</v>
      </c>
    </row>
    <row r="942" spans="1:10">
      <c r="A942" t="s">
        <v>1251</v>
      </c>
      <c r="B942" s="2">
        <v>44899</v>
      </c>
      <c r="C942">
        <v>2022</v>
      </c>
      <c r="D942" t="s">
        <v>25</v>
      </c>
      <c r="E942" t="s">
        <v>49</v>
      </c>
      <c r="F942" t="s">
        <v>4705</v>
      </c>
      <c r="G942" t="s">
        <v>4432</v>
      </c>
      <c r="H942" s="16">
        <v>0.26</v>
      </c>
      <c r="I942" t="s">
        <v>4764</v>
      </c>
      <c r="J942" t="s">
        <v>4614</v>
      </c>
    </row>
    <row r="943" spans="1:10">
      <c r="A943" t="s">
        <v>1252</v>
      </c>
      <c r="B943" s="2">
        <v>44907</v>
      </c>
      <c r="C943">
        <v>2022</v>
      </c>
      <c r="D943" t="s">
        <v>25</v>
      </c>
      <c r="E943" t="s">
        <v>72</v>
      </c>
      <c r="F943" t="s">
        <v>4705</v>
      </c>
      <c r="G943" t="s">
        <v>4433</v>
      </c>
      <c r="H943" s="16">
        <v>0.55000000000000004</v>
      </c>
      <c r="I943" t="s">
        <v>4764</v>
      </c>
      <c r="J943" t="s">
        <v>4614</v>
      </c>
    </row>
    <row r="944" spans="1:10">
      <c r="A944" t="s">
        <v>1253</v>
      </c>
      <c r="B944" s="2">
        <v>44907</v>
      </c>
      <c r="C944">
        <v>2022</v>
      </c>
      <c r="D944" t="s">
        <v>15</v>
      </c>
      <c r="E944" t="s">
        <v>3832</v>
      </c>
      <c r="F944" t="s">
        <v>4702</v>
      </c>
      <c r="G944" t="s">
        <v>4434</v>
      </c>
      <c r="H944" s="16">
        <v>0.97</v>
      </c>
      <c r="I944" t="s">
        <v>4764</v>
      </c>
      <c r="J944" t="s">
        <v>4614</v>
      </c>
    </row>
    <row r="945" spans="1:10">
      <c r="A945" t="s">
        <v>1254</v>
      </c>
      <c r="B945" s="2">
        <v>44908</v>
      </c>
      <c r="C945">
        <v>2022</v>
      </c>
      <c r="D945" t="s">
        <v>8</v>
      </c>
      <c r="E945" t="s">
        <v>31</v>
      </c>
      <c r="F945" t="s">
        <v>4709</v>
      </c>
      <c r="G945" t="s">
        <v>1255</v>
      </c>
      <c r="H945" s="16">
        <v>27.8</v>
      </c>
      <c r="I945" t="s">
        <v>4763</v>
      </c>
      <c r="J945" t="s">
        <v>4613</v>
      </c>
    </row>
    <row r="946" spans="1:10">
      <c r="A946" t="s">
        <v>1256</v>
      </c>
      <c r="B946" s="2">
        <v>44909</v>
      </c>
      <c r="C946">
        <v>2022</v>
      </c>
      <c r="D946" t="s">
        <v>21</v>
      </c>
      <c r="E946" t="s">
        <v>29</v>
      </c>
      <c r="F946" t="s">
        <v>4706</v>
      </c>
      <c r="G946" t="s">
        <v>4435</v>
      </c>
      <c r="H946" s="16">
        <v>0.39</v>
      </c>
      <c r="I946" t="s">
        <v>4764</v>
      </c>
      <c r="J946" t="s">
        <v>4614</v>
      </c>
    </row>
    <row r="947" spans="1:10">
      <c r="A947" t="s">
        <v>1257</v>
      </c>
      <c r="B947" s="2">
        <v>44910</v>
      </c>
      <c r="C947">
        <v>2022</v>
      </c>
      <c r="D947" t="s">
        <v>8</v>
      </c>
      <c r="E947" t="s">
        <v>3860</v>
      </c>
      <c r="F947" t="s">
        <v>4704</v>
      </c>
      <c r="G947" t="s">
        <v>4436</v>
      </c>
      <c r="H947" s="16">
        <v>0.93</v>
      </c>
      <c r="I947" t="s">
        <v>4764</v>
      </c>
      <c r="J947" t="s">
        <v>4614</v>
      </c>
    </row>
    <row r="948" spans="1:10">
      <c r="A948" t="s">
        <v>1258</v>
      </c>
      <c r="B948" s="2">
        <v>44917</v>
      </c>
      <c r="C948">
        <v>2022</v>
      </c>
      <c r="D948" t="s">
        <v>12</v>
      </c>
      <c r="E948" t="s">
        <v>3836</v>
      </c>
      <c r="F948" t="s">
        <v>4703</v>
      </c>
      <c r="G948" t="s">
        <v>4437</v>
      </c>
      <c r="H948" s="16">
        <v>7.0000000000000007E-2</v>
      </c>
      <c r="I948" t="s">
        <v>4764</v>
      </c>
      <c r="J948" t="s">
        <v>4614</v>
      </c>
    </row>
    <row r="949" spans="1:10">
      <c r="A949" t="s">
        <v>1259</v>
      </c>
      <c r="B949" s="2">
        <v>44920</v>
      </c>
      <c r="C949">
        <v>2022</v>
      </c>
      <c r="D949" t="s">
        <v>12</v>
      </c>
      <c r="E949" t="s">
        <v>3836</v>
      </c>
      <c r="F949" t="s">
        <v>4703</v>
      </c>
      <c r="G949" t="s">
        <v>1260</v>
      </c>
      <c r="H949" s="16">
        <v>0.11</v>
      </c>
      <c r="I949" t="s">
        <v>4764</v>
      </c>
      <c r="J949" t="s">
        <v>4614</v>
      </c>
    </row>
    <row r="950" spans="1:10">
      <c r="A950" t="s">
        <v>1261</v>
      </c>
      <c r="B950" s="2">
        <v>44921</v>
      </c>
      <c r="C950">
        <v>2022</v>
      </c>
      <c r="D950" t="s">
        <v>25</v>
      </c>
      <c r="E950" t="s">
        <v>3839</v>
      </c>
      <c r="F950" t="s">
        <v>4705</v>
      </c>
      <c r="G950" t="s">
        <v>4438</v>
      </c>
      <c r="H950" s="16">
        <v>0.15</v>
      </c>
      <c r="I950" t="s">
        <v>4764</v>
      </c>
      <c r="J950" t="s">
        <v>4614</v>
      </c>
    </row>
    <row r="951" spans="1:10">
      <c r="A951" t="s">
        <v>1262</v>
      </c>
      <c r="B951" s="2">
        <v>44929</v>
      </c>
      <c r="C951">
        <v>2023</v>
      </c>
      <c r="D951" t="s">
        <v>25</v>
      </c>
      <c r="E951" t="s">
        <v>29</v>
      </c>
      <c r="F951" t="s">
        <v>4710</v>
      </c>
      <c r="G951" t="s">
        <v>4439</v>
      </c>
      <c r="H951" s="16">
        <v>0.98</v>
      </c>
      <c r="I951" t="s">
        <v>4764</v>
      </c>
      <c r="J951" t="s">
        <v>4614</v>
      </c>
    </row>
    <row r="952" spans="1:10">
      <c r="A952" t="s">
        <v>1263</v>
      </c>
      <c r="B952" s="2">
        <v>44931</v>
      </c>
      <c r="C952">
        <v>2023</v>
      </c>
      <c r="D952" t="s">
        <v>12</v>
      </c>
      <c r="E952" t="s">
        <v>47</v>
      </c>
      <c r="F952" t="s">
        <v>4711</v>
      </c>
      <c r="G952" t="s">
        <v>428</v>
      </c>
      <c r="H952" s="16">
        <v>0.25</v>
      </c>
      <c r="I952" t="s">
        <v>4764</v>
      </c>
      <c r="J952" t="s">
        <v>4614</v>
      </c>
    </row>
    <row r="953" spans="1:10">
      <c r="A953" t="s">
        <v>1264</v>
      </c>
      <c r="B953" s="2">
        <v>44938</v>
      </c>
      <c r="C953">
        <v>2023</v>
      </c>
      <c r="D953" t="s">
        <v>25</v>
      </c>
      <c r="E953" t="s">
        <v>29</v>
      </c>
      <c r="F953" t="s">
        <v>4710</v>
      </c>
      <c r="G953" t="s">
        <v>4440</v>
      </c>
      <c r="H953" s="16">
        <v>0.13</v>
      </c>
      <c r="I953" t="s">
        <v>4764</v>
      </c>
      <c r="J953" t="s">
        <v>4614</v>
      </c>
    </row>
    <row r="954" spans="1:10">
      <c r="A954" t="s">
        <v>1265</v>
      </c>
      <c r="B954" s="2">
        <v>44953</v>
      </c>
      <c r="C954">
        <v>2023</v>
      </c>
      <c r="D954" t="s">
        <v>25</v>
      </c>
      <c r="E954" t="s">
        <v>47</v>
      </c>
      <c r="F954" t="s">
        <v>4710</v>
      </c>
      <c r="G954" t="s">
        <v>4441</v>
      </c>
      <c r="H954" s="16">
        <v>0.09</v>
      </c>
      <c r="I954" t="s">
        <v>4764</v>
      </c>
      <c r="J954" t="s">
        <v>4614</v>
      </c>
    </row>
    <row r="955" spans="1:10">
      <c r="A955" t="s">
        <v>1266</v>
      </c>
      <c r="B955" s="2">
        <v>44966</v>
      </c>
      <c r="C955">
        <v>2023</v>
      </c>
      <c r="D955" t="s">
        <v>15</v>
      </c>
      <c r="E955" t="s">
        <v>3832</v>
      </c>
      <c r="F955" t="s">
        <v>4712</v>
      </c>
      <c r="G955" t="s">
        <v>4442</v>
      </c>
      <c r="H955" s="16">
        <v>0.12</v>
      </c>
      <c r="I955" t="s">
        <v>4764</v>
      </c>
      <c r="J955" t="s">
        <v>4614</v>
      </c>
    </row>
    <row r="956" spans="1:10">
      <c r="A956" t="s">
        <v>1267</v>
      </c>
      <c r="B956" s="2">
        <v>44976</v>
      </c>
      <c r="C956">
        <v>2023</v>
      </c>
      <c r="D956" t="s">
        <v>8</v>
      </c>
      <c r="E956" t="s">
        <v>3846</v>
      </c>
      <c r="F956" t="s">
        <v>4713</v>
      </c>
      <c r="G956" t="s">
        <v>3931</v>
      </c>
      <c r="H956" s="16">
        <v>10.68</v>
      </c>
      <c r="I956" t="s">
        <v>4763</v>
      </c>
      <c r="J956" t="s">
        <v>4614</v>
      </c>
    </row>
    <row r="957" spans="1:10">
      <c r="A957" t="s">
        <v>1268</v>
      </c>
      <c r="B957" s="2">
        <v>44986</v>
      </c>
      <c r="C957">
        <v>2023</v>
      </c>
      <c r="D957" t="s">
        <v>12</v>
      </c>
      <c r="E957" t="s">
        <v>72</v>
      </c>
      <c r="F957" t="s">
        <v>4711</v>
      </c>
      <c r="G957" t="s">
        <v>1269</v>
      </c>
      <c r="H957" s="16">
        <v>0.06</v>
      </c>
      <c r="I957" t="s">
        <v>4764</v>
      </c>
      <c r="J957" t="s">
        <v>4614</v>
      </c>
    </row>
    <row r="958" spans="1:10">
      <c r="A958" t="s">
        <v>1270</v>
      </c>
      <c r="B958" s="2">
        <v>44991</v>
      </c>
      <c r="C958">
        <v>2023</v>
      </c>
      <c r="D958" t="s">
        <v>12</v>
      </c>
      <c r="E958" t="s">
        <v>3836</v>
      </c>
      <c r="F958" t="s">
        <v>4711</v>
      </c>
      <c r="G958" t="s">
        <v>4443</v>
      </c>
      <c r="H958" s="16">
        <v>0.11</v>
      </c>
      <c r="I958" t="s">
        <v>4764</v>
      </c>
      <c r="J958" t="s">
        <v>4614</v>
      </c>
    </row>
    <row r="959" spans="1:10">
      <c r="A959" t="s">
        <v>1271</v>
      </c>
      <c r="B959" s="2">
        <v>44992</v>
      </c>
      <c r="C959">
        <v>2023</v>
      </c>
      <c r="D959" t="s">
        <v>12</v>
      </c>
      <c r="E959" t="s">
        <v>49</v>
      </c>
      <c r="F959" t="s">
        <v>4711</v>
      </c>
      <c r="G959" t="s">
        <v>4444</v>
      </c>
      <c r="H959" s="16">
        <v>0.05</v>
      </c>
      <c r="I959" t="s">
        <v>4764</v>
      </c>
      <c r="J959" t="s">
        <v>4614</v>
      </c>
    </row>
    <row r="960" spans="1:10">
      <c r="A960" t="s">
        <v>1272</v>
      </c>
      <c r="B960" s="2">
        <v>44993</v>
      </c>
      <c r="C960">
        <v>2023</v>
      </c>
      <c r="D960" t="s">
        <v>25</v>
      </c>
      <c r="E960" t="s">
        <v>34</v>
      </c>
      <c r="F960" t="s">
        <v>4710</v>
      </c>
      <c r="G960" t="s">
        <v>1273</v>
      </c>
      <c r="H960" s="16">
        <v>0.25</v>
      </c>
      <c r="I960" t="s">
        <v>4764</v>
      </c>
      <c r="J960" t="s">
        <v>4614</v>
      </c>
    </row>
    <row r="961" spans="1:10">
      <c r="A961" t="s">
        <v>1274</v>
      </c>
      <c r="B961" s="2">
        <v>45004</v>
      </c>
      <c r="C961">
        <v>2023</v>
      </c>
      <c r="D961" t="s">
        <v>12</v>
      </c>
      <c r="E961" t="s">
        <v>29</v>
      </c>
      <c r="F961" t="s">
        <v>4711</v>
      </c>
      <c r="G961" t="s">
        <v>4445</v>
      </c>
      <c r="H961" s="16">
        <v>0.17</v>
      </c>
      <c r="I961" t="s">
        <v>4764</v>
      </c>
      <c r="J961" t="s">
        <v>4614</v>
      </c>
    </row>
    <row r="962" spans="1:10">
      <c r="A962" t="s">
        <v>1275</v>
      </c>
      <c r="B962" s="2">
        <v>45007</v>
      </c>
      <c r="C962">
        <v>2023</v>
      </c>
      <c r="D962" t="s">
        <v>25</v>
      </c>
      <c r="E962" t="s">
        <v>3839</v>
      </c>
      <c r="F962" t="s">
        <v>4710</v>
      </c>
      <c r="G962" t="s">
        <v>1276</v>
      </c>
      <c r="H962" s="16">
        <v>0.78</v>
      </c>
      <c r="I962" t="s">
        <v>4764</v>
      </c>
      <c r="J962" t="s">
        <v>4614</v>
      </c>
    </row>
    <row r="963" spans="1:10">
      <c r="A963" t="s">
        <v>1277</v>
      </c>
      <c r="B963" s="2">
        <v>45018</v>
      </c>
      <c r="C963">
        <v>2023</v>
      </c>
      <c r="D963" t="s">
        <v>8</v>
      </c>
      <c r="E963" t="s">
        <v>3860</v>
      </c>
      <c r="F963" t="s">
        <v>4713</v>
      </c>
      <c r="G963" t="s">
        <v>4446</v>
      </c>
      <c r="H963" s="16">
        <v>1.0900000000000001</v>
      </c>
      <c r="I963" t="s">
        <v>4764</v>
      </c>
      <c r="J963" t="s">
        <v>4614</v>
      </c>
    </row>
    <row r="964" spans="1:10">
      <c r="A964" t="s">
        <v>1278</v>
      </c>
      <c r="B964" s="2">
        <v>45018</v>
      </c>
      <c r="C964">
        <v>2023</v>
      </c>
      <c r="D964" t="s">
        <v>25</v>
      </c>
      <c r="E964" t="s">
        <v>3836</v>
      </c>
      <c r="F964" t="s">
        <v>4710</v>
      </c>
      <c r="G964" t="s">
        <v>4447</v>
      </c>
      <c r="H964" s="16">
        <v>0.05</v>
      </c>
      <c r="I964" t="s">
        <v>4764</v>
      </c>
      <c r="J964" t="s">
        <v>4614</v>
      </c>
    </row>
    <row r="965" spans="1:10">
      <c r="A965" t="s">
        <v>1279</v>
      </c>
      <c r="B965" s="2">
        <v>45026</v>
      </c>
      <c r="C965">
        <v>2023</v>
      </c>
      <c r="D965" t="s">
        <v>15</v>
      </c>
      <c r="E965" t="s">
        <v>3832</v>
      </c>
      <c r="F965" t="s">
        <v>4712</v>
      </c>
      <c r="G965" t="s">
        <v>1280</v>
      </c>
      <c r="H965" s="16">
        <v>1.2</v>
      </c>
      <c r="I965" t="s">
        <v>4764</v>
      </c>
      <c r="J965" t="s">
        <v>4614</v>
      </c>
    </row>
    <row r="966" spans="1:10">
      <c r="A966" t="s">
        <v>1281</v>
      </c>
      <c r="B966" s="2">
        <v>45030</v>
      </c>
      <c r="C966">
        <v>2023</v>
      </c>
      <c r="D966" t="s">
        <v>12</v>
      </c>
      <c r="E966" t="s">
        <v>13</v>
      </c>
      <c r="F966" t="s">
        <v>4711</v>
      </c>
      <c r="G966" t="s">
        <v>1282</v>
      </c>
      <c r="H966" s="16">
        <v>1.02</v>
      </c>
      <c r="I966" t="s">
        <v>4764</v>
      </c>
      <c r="J966" t="s">
        <v>4614</v>
      </c>
    </row>
    <row r="967" spans="1:10">
      <c r="A967" t="s">
        <v>1283</v>
      </c>
      <c r="B967" s="2">
        <v>45031</v>
      </c>
      <c r="C967">
        <v>2023</v>
      </c>
      <c r="D967" t="s">
        <v>25</v>
      </c>
      <c r="E967" t="s">
        <v>34</v>
      </c>
      <c r="F967" t="s">
        <v>4710</v>
      </c>
      <c r="G967" t="s">
        <v>1284</v>
      </c>
      <c r="H967" s="16">
        <v>0.1</v>
      </c>
      <c r="I967" t="s">
        <v>4764</v>
      </c>
      <c r="J967" t="s">
        <v>4614</v>
      </c>
    </row>
    <row r="968" spans="1:10">
      <c r="A968" t="s">
        <v>1285</v>
      </c>
      <c r="B968" s="2">
        <v>45032</v>
      </c>
      <c r="C968">
        <v>2023</v>
      </c>
      <c r="D968" t="s">
        <v>8</v>
      </c>
      <c r="E968" t="s">
        <v>215</v>
      </c>
      <c r="F968" t="s">
        <v>4714</v>
      </c>
      <c r="G968" t="s">
        <v>1286</v>
      </c>
      <c r="H968" s="16">
        <v>10.8</v>
      </c>
      <c r="I968" t="s">
        <v>4763</v>
      </c>
      <c r="J968" t="s">
        <v>4613</v>
      </c>
    </row>
    <row r="969" spans="1:10">
      <c r="A969" t="s">
        <v>1287</v>
      </c>
      <c r="B969" s="2">
        <v>45035</v>
      </c>
      <c r="C969">
        <v>2023</v>
      </c>
      <c r="D969" t="s">
        <v>25</v>
      </c>
      <c r="E969" t="s">
        <v>45</v>
      </c>
      <c r="F969" t="s">
        <v>4710</v>
      </c>
      <c r="G969" t="s">
        <v>591</v>
      </c>
      <c r="H969" s="16">
        <v>0.09</v>
      </c>
      <c r="I969" t="s">
        <v>4764</v>
      </c>
      <c r="J969" t="s">
        <v>4614</v>
      </c>
    </row>
    <row r="970" spans="1:10">
      <c r="A970" t="s">
        <v>1288</v>
      </c>
      <c r="B970" s="2">
        <v>45047</v>
      </c>
      <c r="C970">
        <v>2023</v>
      </c>
      <c r="D970" t="s">
        <v>25</v>
      </c>
      <c r="E970" t="s">
        <v>34</v>
      </c>
      <c r="F970" t="s">
        <v>4710</v>
      </c>
      <c r="G970" t="s">
        <v>1289</v>
      </c>
      <c r="H970" s="16">
        <v>0.28999999999999998</v>
      </c>
      <c r="I970" t="s">
        <v>4764</v>
      </c>
      <c r="J970" t="s">
        <v>4614</v>
      </c>
    </row>
    <row r="971" spans="1:10">
      <c r="A971" t="s">
        <v>1290</v>
      </c>
      <c r="B971" s="2">
        <v>45047</v>
      </c>
      <c r="C971">
        <v>2023</v>
      </c>
      <c r="D971" t="s">
        <v>25</v>
      </c>
      <c r="E971" t="s">
        <v>3870</v>
      </c>
      <c r="F971" t="s">
        <v>4710</v>
      </c>
      <c r="G971" t="s">
        <v>1291</v>
      </c>
      <c r="H971" s="16">
        <v>0.06</v>
      </c>
      <c r="I971" t="s">
        <v>4764</v>
      </c>
      <c r="J971" t="s">
        <v>4614</v>
      </c>
    </row>
    <row r="972" spans="1:10">
      <c r="A972" t="s">
        <v>1292</v>
      </c>
      <c r="B972" s="2">
        <v>45051</v>
      </c>
      <c r="C972">
        <v>2023</v>
      </c>
      <c r="D972" t="s">
        <v>12</v>
      </c>
      <c r="E972" t="s">
        <v>13</v>
      </c>
      <c r="F972" t="s">
        <v>4711</v>
      </c>
      <c r="G972" t="s">
        <v>1293</v>
      </c>
      <c r="H972" s="16">
        <v>0.02</v>
      </c>
      <c r="I972" t="s">
        <v>4764</v>
      </c>
      <c r="J972" t="s">
        <v>4614</v>
      </c>
    </row>
    <row r="973" spans="1:10">
      <c r="A973" t="s">
        <v>1294</v>
      </c>
      <c r="B973" s="2">
        <v>45055</v>
      </c>
      <c r="C973">
        <v>2023</v>
      </c>
      <c r="D973" t="s">
        <v>25</v>
      </c>
      <c r="E973" t="s">
        <v>3839</v>
      </c>
      <c r="F973" t="s">
        <v>4710</v>
      </c>
      <c r="G973" t="s">
        <v>1295</v>
      </c>
      <c r="H973" s="16">
        <v>0.13</v>
      </c>
      <c r="I973" t="s">
        <v>4764</v>
      </c>
      <c r="J973" t="s">
        <v>4614</v>
      </c>
    </row>
    <row r="974" spans="1:10">
      <c r="A974" t="s">
        <v>1296</v>
      </c>
      <c r="B974" s="2">
        <v>45055</v>
      </c>
      <c r="C974">
        <v>2023</v>
      </c>
      <c r="D974" t="s">
        <v>25</v>
      </c>
      <c r="E974" t="s">
        <v>72</v>
      </c>
      <c r="F974" t="s">
        <v>4710</v>
      </c>
      <c r="G974" t="s">
        <v>1297</v>
      </c>
      <c r="H974" s="16">
        <v>0.2</v>
      </c>
      <c r="I974" t="s">
        <v>4764</v>
      </c>
      <c r="J974" t="s">
        <v>4614</v>
      </c>
    </row>
    <row r="975" spans="1:10">
      <c r="A975" t="s">
        <v>1298</v>
      </c>
      <c r="B975" s="2">
        <v>45055</v>
      </c>
      <c r="C975">
        <v>2023</v>
      </c>
      <c r="D975" t="s">
        <v>25</v>
      </c>
      <c r="E975" t="s">
        <v>13</v>
      </c>
      <c r="F975" t="s">
        <v>4710</v>
      </c>
      <c r="G975" t="s">
        <v>1299</v>
      </c>
      <c r="H975" s="16">
        <v>0.1</v>
      </c>
      <c r="I975" t="s">
        <v>4764</v>
      </c>
      <c r="J975" t="s">
        <v>4614</v>
      </c>
    </row>
    <row r="976" spans="1:10">
      <c r="A976" t="s">
        <v>1300</v>
      </c>
      <c r="B976" s="2">
        <v>45059</v>
      </c>
      <c r="C976">
        <v>2023</v>
      </c>
      <c r="D976" t="s">
        <v>15</v>
      </c>
      <c r="E976" t="s">
        <v>3832</v>
      </c>
      <c r="F976" t="s">
        <v>4712</v>
      </c>
      <c r="G976" t="s">
        <v>4448</v>
      </c>
      <c r="H976" s="16">
        <v>0.5</v>
      </c>
      <c r="I976" t="s">
        <v>4764</v>
      </c>
      <c r="J976" t="s">
        <v>4614</v>
      </c>
    </row>
    <row r="977" spans="1:10">
      <c r="A977" t="s">
        <v>1301</v>
      </c>
      <c r="B977" s="2">
        <v>45061</v>
      </c>
      <c r="C977">
        <v>2023</v>
      </c>
      <c r="D977" t="s">
        <v>8</v>
      </c>
      <c r="E977" t="s">
        <v>130</v>
      </c>
      <c r="F977" t="s">
        <v>4713</v>
      </c>
      <c r="G977" t="s">
        <v>4449</v>
      </c>
      <c r="H977" s="16">
        <v>9.81</v>
      </c>
      <c r="I977" t="s">
        <v>4764</v>
      </c>
      <c r="J977" t="s">
        <v>4614</v>
      </c>
    </row>
    <row r="978" spans="1:10">
      <c r="A978" t="s">
        <v>1302</v>
      </c>
      <c r="B978" s="2">
        <v>45065</v>
      </c>
      <c r="C978">
        <v>2023</v>
      </c>
      <c r="D978" t="s">
        <v>33</v>
      </c>
      <c r="E978" t="s">
        <v>3839</v>
      </c>
      <c r="F978" t="s">
        <v>4715</v>
      </c>
      <c r="G978" t="s">
        <v>1303</v>
      </c>
      <c r="H978" s="16">
        <v>0.13</v>
      </c>
      <c r="I978" t="s">
        <v>4764</v>
      </c>
      <c r="J978" t="s">
        <v>4614</v>
      </c>
    </row>
    <row r="979" spans="1:10">
      <c r="A979" t="s">
        <v>1304</v>
      </c>
      <c r="B979" s="2">
        <v>45065</v>
      </c>
      <c r="C979">
        <v>2023</v>
      </c>
      <c r="D979" t="s">
        <v>12</v>
      </c>
      <c r="E979" t="s">
        <v>45</v>
      </c>
      <c r="F979" t="s">
        <v>4711</v>
      </c>
      <c r="G979" t="s">
        <v>1305</v>
      </c>
      <c r="H979" s="16">
        <v>0.03</v>
      </c>
      <c r="I979" t="s">
        <v>4764</v>
      </c>
      <c r="J979" t="s">
        <v>4614</v>
      </c>
    </row>
    <row r="980" spans="1:10">
      <c r="A980" t="s">
        <v>1306</v>
      </c>
      <c r="B980" s="2">
        <v>45066</v>
      </c>
      <c r="C980">
        <v>2023</v>
      </c>
      <c r="D980" t="s">
        <v>25</v>
      </c>
      <c r="E980" t="s">
        <v>3836</v>
      </c>
      <c r="F980" t="s">
        <v>4710</v>
      </c>
      <c r="G980" t="s">
        <v>1307</v>
      </c>
      <c r="H980" s="16">
        <v>0.12</v>
      </c>
      <c r="I980" t="s">
        <v>4764</v>
      </c>
      <c r="J980" t="s">
        <v>4614</v>
      </c>
    </row>
    <row r="981" spans="1:10">
      <c r="A981" t="s">
        <v>1308</v>
      </c>
      <c r="B981" s="2">
        <v>45067</v>
      </c>
      <c r="C981">
        <v>2023</v>
      </c>
      <c r="D981" t="s">
        <v>12</v>
      </c>
      <c r="E981" t="s">
        <v>47</v>
      </c>
      <c r="F981" t="s">
        <v>4711</v>
      </c>
      <c r="G981" t="s">
        <v>4450</v>
      </c>
      <c r="H981" s="16">
        <v>0.16</v>
      </c>
      <c r="I981" t="s">
        <v>4764</v>
      </c>
      <c r="J981" t="s">
        <v>4614</v>
      </c>
    </row>
    <row r="982" spans="1:10">
      <c r="A982" t="s">
        <v>1309</v>
      </c>
      <c r="B982" s="2">
        <v>45071</v>
      </c>
      <c r="C982">
        <v>2023</v>
      </c>
      <c r="D982" t="s">
        <v>25</v>
      </c>
      <c r="E982" t="s">
        <v>13</v>
      </c>
      <c r="F982" t="s">
        <v>4710</v>
      </c>
      <c r="G982" t="s">
        <v>4451</v>
      </c>
      <c r="H982" s="16">
        <v>0.1</v>
      </c>
      <c r="I982" t="s">
        <v>4764</v>
      </c>
      <c r="J982" t="s">
        <v>4614</v>
      </c>
    </row>
    <row r="983" spans="1:10">
      <c r="A983" t="s">
        <v>1310</v>
      </c>
      <c r="B983" s="2">
        <v>45087</v>
      </c>
      <c r="C983">
        <v>2023</v>
      </c>
      <c r="D983" t="s">
        <v>12</v>
      </c>
      <c r="E983" t="s">
        <v>29</v>
      </c>
      <c r="F983" t="s">
        <v>4711</v>
      </c>
      <c r="G983" t="s">
        <v>4452</v>
      </c>
      <c r="H983" s="16">
        <v>0.25</v>
      </c>
      <c r="I983" t="s">
        <v>4764</v>
      </c>
      <c r="J983" t="s">
        <v>4614</v>
      </c>
    </row>
    <row r="984" spans="1:10">
      <c r="A984" t="s">
        <v>1311</v>
      </c>
      <c r="B984" s="2">
        <v>45088</v>
      </c>
      <c r="C984">
        <v>2023</v>
      </c>
      <c r="D984" t="s">
        <v>15</v>
      </c>
      <c r="E984" t="s">
        <v>3832</v>
      </c>
      <c r="F984" t="s">
        <v>4712</v>
      </c>
      <c r="G984" t="s">
        <v>4453</v>
      </c>
      <c r="H984" s="16">
        <v>0.1</v>
      </c>
      <c r="I984" t="s">
        <v>4764</v>
      </c>
      <c r="J984" t="s">
        <v>4614</v>
      </c>
    </row>
    <row r="985" spans="1:10">
      <c r="A985" t="s">
        <v>1312</v>
      </c>
      <c r="B985" s="2">
        <v>45093</v>
      </c>
      <c r="C985">
        <v>2023</v>
      </c>
      <c r="D985" t="s">
        <v>25</v>
      </c>
      <c r="E985" t="s">
        <v>13</v>
      </c>
      <c r="F985" t="s">
        <v>4710</v>
      </c>
      <c r="G985" t="s">
        <v>1313</v>
      </c>
      <c r="H985" s="16">
        <v>0.1</v>
      </c>
      <c r="I985" t="s">
        <v>4764</v>
      </c>
      <c r="J985" t="s">
        <v>4614</v>
      </c>
    </row>
    <row r="986" spans="1:10">
      <c r="A986" t="s">
        <v>1314</v>
      </c>
      <c r="B986" s="2">
        <v>45103</v>
      </c>
      <c r="C986">
        <v>2023</v>
      </c>
      <c r="D986" t="s">
        <v>33</v>
      </c>
      <c r="E986" t="s">
        <v>49</v>
      </c>
      <c r="F986" t="s">
        <v>4715</v>
      </c>
      <c r="G986" t="s">
        <v>4454</v>
      </c>
      <c r="H986" s="16">
        <v>0.11</v>
      </c>
      <c r="I986" t="s">
        <v>4764</v>
      </c>
      <c r="J986" t="s">
        <v>4614</v>
      </c>
    </row>
    <row r="987" spans="1:10">
      <c r="A987" t="s">
        <v>1315</v>
      </c>
      <c r="B987" s="2">
        <v>45109</v>
      </c>
      <c r="C987">
        <v>2023</v>
      </c>
      <c r="D987" t="s">
        <v>12</v>
      </c>
      <c r="E987" t="s">
        <v>3839</v>
      </c>
      <c r="F987" t="s">
        <v>4711</v>
      </c>
      <c r="G987" t="s">
        <v>1316</v>
      </c>
      <c r="H987" s="16">
        <v>0.3</v>
      </c>
      <c r="I987" t="s">
        <v>4764</v>
      </c>
      <c r="J987" t="s">
        <v>4614</v>
      </c>
    </row>
    <row r="988" spans="1:10">
      <c r="A988" t="s">
        <v>1317</v>
      </c>
      <c r="B988" s="2">
        <v>45111</v>
      </c>
      <c r="C988">
        <v>2023</v>
      </c>
      <c r="D988" t="s">
        <v>25</v>
      </c>
      <c r="E988" t="s">
        <v>29</v>
      </c>
      <c r="F988" t="s">
        <v>4710</v>
      </c>
      <c r="G988" t="s">
        <v>4455</v>
      </c>
      <c r="H988" s="16">
        <v>0.08</v>
      </c>
      <c r="I988" t="s">
        <v>4764</v>
      </c>
      <c r="J988" t="s">
        <v>4614</v>
      </c>
    </row>
    <row r="989" spans="1:10">
      <c r="A989" t="s">
        <v>1318</v>
      </c>
      <c r="B989" s="2">
        <v>45116</v>
      </c>
      <c r="C989">
        <v>2023</v>
      </c>
      <c r="D989" t="s">
        <v>25</v>
      </c>
      <c r="E989" t="s">
        <v>3862</v>
      </c>
      <c r="F989" t="s">
        <v>4710</v>
      </c>
      <c r="G989" t="s">
        <v>4456</v>
      </c>
      <c r="H989" s="16">
        <v>7.0000000000000007E-2</v>
      </c>
      <c r="I989" t="s">
        <v>4764</v>
      </c>
      <c r="J989" t="s">
        <v>4614</v>
      </c>
    </row>
    <row r="990" spans="1:10">
      <c r="A990" t="s">
        <v>1319</v>
      </c>
      <c r="B990" s="2">
        <v>45121</v>
      </c>
      <c r="C990">
        <v>2023</v>
      </c>
      <c r="D990" t="s">
        <v>21</v>
      </c>
      <c r="E990" t="s">
        <v>3870</v>
      </c>
      <c r="F990" t="s">
        <v>4716</v>
      </c>
      <c r="G990" t="s">
        <v>1320</v>
      </c>
      <c r="H990" s="16">
        <v>0.03</v>
      </c>
      <c r="I990" t="s">
        <v>4764</v>
      </c>
      <c r="J990" t="s">
        <v>4614</v>
      </c>
    </row>
    <row r="991" spans="1:10">
      <c r="A991" t="s">
        <v>1321</v>
      </c>
      <c r="B991" s="2">
        <v>45125</v>
      </c>
      <c r="C991">
        <v>2023</v>
      </c>
      <c r="D991" t="s">
        <v>25</v>
      </c>
      <c r="E991" t="s">
        <v>19</v>
      </c>
      <c r="F991" t="s">
        <v>4710</v>
      </c>
      <c r="G991" t="s">
        <v>514</v>
      </c>
      <c r="H991" s="16">
        <v>0.14000000000000001</v>
      </c>
      <c r="I991" t="s">
        <v>4764</v>
      </c>
      <c r="J991" t="s">
        <v>4614</v>
      </c>
    </row>
    <row r="992" spans="1:10">
      <c r="A992" t="s">
        <v>1322</v>
      </c>
      <c r="B992" s="2">
        <v>45131</v>
      </c>
      <c r="C992">
        <v>2023</v>
      </c>
      <c r="D992" t="s">
        <v>12</v>
      </c>
      <c r="E992" t="s">
        <v>49</v>
      </c>
      <c r="F992" t="s">
        <v>4711</v>
      </c>
      <c r="G992" t="s">
        <v>4457</v>
      </c>
      <c r="H992" s="16">
        <v>0.17</v>
      </c>
      <c r="I992" t="s">
        <v>4764</v>
      </c>
      <c r="J992" t="s">
        <v>4614</v>
      </c>
    </row>
    <row r="993" spans="1:10">
      <c r="A993" t="s">
        <v>1323</v>
      </c>
      <c r="B993" s="2">
        <v>45148</v>
      </c>
      <c r="C993">
        <v>2023</v>
      </c>
      <c r="D993" t="s">
        <v>25</v>
      </c>
      <c r="E993" t="s">
        <v>19</v>
      </c>
      <c r="F993" t="s">
        <v>4710</v>
      </c>
      <c r="G993" t="s">
        <v>1324</v>
      </c>
      <c r="H993" s="16">
        <v>0.1</v>
      </c>
      <c r="I993" t="s">
        <v>4764</v>
      </c>
      <c r="J993" t="s">
        <v>4614</v>
      </c>
    </row>
    <row r="994" spans="1:10">
      <c r="A994" t="s">
        <v>1325</v>
      </c>
      <c r="B994" s="2">
        <v>45152</v>
      </c>
      <c r="C994">
        <v>2023</v>
      </c>
      <c r="D994" t="s">
        <v>8</v>
      </c>
      <c r="E994" t="s">
        <v>3860</v>
      </c>
      <c r="F994" t="s">
        <v>4713</v>
      </c>
      <c r="G994" t="s">
        <v>4458</v>
      </c>
      <c r="H994" s="16">
        <v>38.659999999999997</v>
      </c>
      <c r="I994" t="s">
        <v>4763</v>
      </c>
      <c r="J994" t="s">
        <v>4614</v>
      </c>
    </row>
    <row r="995" spans="1:10">
      <c r="A995" t="s">
        <v>1326</v>
      </c>
      <c r="B995" s="2">
        <v>45160</v>
      </c>
      <c r="C995">
        <v>2023</v>
      </c>
      <c r="D995" t="s">
        <v>12</v>
      </c>
      <c r="E995" t="s">
        <v>3839</v>
      </c>
      <c r="F995" t="s">
        <v>4711</v>
      </c>
      <c r="G995" t="s">
        <v>4459</v>
      </c>
      <c r="H995" s="16">
        <v>0.26</v>
      </c>
      <c r="I995" t="s">
        <v>4764</v>
      </c>
      <c r="J995" t="s">
        <v>4614</v>
      </c>
    </row>
    <row r="996" spans="1:10">
      <c r="A996" t="s">
        <v>1327</v>
      </c>
      <c r="B996" s="2">
        <v>45164</v>
      </c>
      <c r="C996">
        <v>2023</v>
      </c>
      <c r="D996" t="s">
        <v>8</v>
      </c>
      <c r="E996" t="s">
        <v>31</v>
      </c>
      <c r="F996" t="s">
        <v>4713</v>
      </c>
      <c r="G996" t="s">
        <v>4460</v>
      </c>
      <c r="H996" s="16">
        <v>1.41</v>
      </c>
      <c r="I996" t="s">
        <v>4764</v>
      </c>
      <c r="J996" t="s">
        <v>4614</v>
      </c>
    </row>
    <row r="997" spans="1:10">
      <c r="A997" t="s">
        <v>1328</v>
      </c>
      <c r="B997" s="2">
        <v>45165</v>
      </c>
      <c r="C997">
        <v>2023</v>
      </c>
      <c r="D997" t="s">
        <v>25</v>
      </c>
      <c r="E997" t="s">
        <v>3836</v>
      </c>
      <c r="F997" t="s">
        <v>4710</v>
      </c>
      <c r="G997" t="s">
        <v>4187</v>
      </c>
      <c r="H997" s="16">
        <v>0.11</v>
      </c>
      <c r="I997" t="s">
        <v>4764</v>
      </c>
      <c r="J997" t="s">
        <v>4614</v>
      </c>
    </row>
    <row r="998" spans="1:10">
      <c r="A998" t="s">
        <v>1329</v>
      </c>
      <c r="B998" s="2">
        <v>45165</v>
      </c>
      <c r="C998">
        <v>2023</v>
      </c>
      <c r="D998" t="s">
        <v>25</v>
      </c>
      <c r="E998" t="s">
        <v>45</v>
      </c>
      <c r="F998" t="s">
        <v>4710</v>
      </c>
      <c r="G998" t="s">
        <v>4461</v>
      </c>
      <c r="H998" s="16">
        <v>0.18</v>
      </c>
      <c r="I998" t="s">
        <v>4764</v>
      </c>
      <c r="J998" t="s">
        <v>4614</v>
      </c>
    </row>
    <row r="999" spans="1:10">
      <c r="A999" t="s">
        <v>1330</v>
      </c>
      <c r="B999" s="2">
        <v>45165</v>
      </c>
      <c r="C999">
        <v>2023</v>
      </c>
      <c r="D999" t="s">
        <v>12</v>
      </c>
      <c r="E999" t="s">
        <v>49</v>
      </c>
      <c r="F999" t="s">
        <v>4711</v>
      </c>
      <c r="G999" t="s">
        <v>4462</v>
      </c>
      <c r="H999" s="16">
        <v>0.15</v>
      </c>
      <c r="I999" t="s">
        <v>4764</v>
      </c>
      <c r="J999" t="s">
        <v>4614</v>
      </c>
    </row>
    <row r="1000" spans="1:10">
      <c r="A1000" t="s">
        <v>1331</v>
      </c>
      <c r="B1000" s="2">
        <v>45165</v>
      </c>
      <c r="C1000">
        <v>2023</v>
      </c>
      <c r="D1000" t="s">
        <v>25</v>
      </c>
      <c r="E1000" t="s">
        <v>72</v>
      </c>
      <c r="F1000" t="s">
        <v>4710</v>
      </c>
      <c r="G1000" t="s">
        <v>1332</v>
      </c>
      <c r="H1000" s="16">
        <v>0.28000000000000003</v>
      </c>
      <c r="I1000" t="s">
        <v>4764</v>
      </c>
      <c r="J1000" t="s">
        <v>4614</v>
      </c>
    </row>
    <row r="1001" spans="1:10">
      <c r="A1001" t="s">
        <v>1333</v>
      </c>
      <c r="B1001" s="2">
        <v>45171</v>
      </c>
      <c r="C1001">
        <v>2023</v>
      </c>
      <c r="D1001" t="s">
        <v>8</v>
      </c>
      <c r="E1001" t="s">
        <v>215</v>
      </c>
      <c r="F1001" t="s">
        <v>4713</v>
      </c>
      <c r="G1001" t="s">
        <v>4463</v>
      </c>
      <c r="H1001" s="16">
        <v>0.81</v>
      </c>
      <c r="I1001" t="s">
        <v>4764</v>
      </c>
      <c r="J1001" t="s">
        <v>4614</v>
      </c>
    </row>
    <row r="1002" spans="1:10">
      <c r="A1002" t="s">
        <v>1334</v>
      </c>
      <c r="B1002" s="2">
        <v>45174</v>
      </c>
      <c r="C1002">
        <v>2023</v>
      </c>
      <c r="D1002" t="s">
        <v>25</v>
      </c>
      <c r="E1002" t="s">
        <v>3854</v>
      </c>
      <c r="F1002" t="s">
        <v>4710</v>
      </c>
      <c r="G1002" t="s">
        <v>4289</v>
      </c>
      <c r="H1002" s="16">
        <v>0.05</v>
      </c>
      <c r="I1002" t="s">
        <v>4764</v>
      </c>
      <c r="J1002" t="s">
        <v>4614</v>
      </c>
    </row>
    <row r="1003" spans="1:10">
      <c r="A1003" t="s">
        <v>1335</v>
      </c>
      <c r="B1003" s="2">
        <v>45176</v>
      </c>
      <c r="C1003">
        <v>2023</v>
      </c>
      <c r="D1003" t="s">
        <v>12</v>
      </c>
      <c r="E1003" t="s">
        <v>3836</v>
      </c>
      <c r="F1003" t="s">
        <v>4711</v>
      </c>
      <c r="G1003" t="s">
        <v>1336</v>
      </c>
      <c r="H1003" s="16">
        <v>0.24</v>
      </c>
      <c r="I1003" t="s">
        <v>4764</v>
      </c>
      <c r="J1003" t="s">
        <v>4614</v>
      </c>
    </row>
    <row r="1004" spans="1:10">
      <c r="A1004" t="s">
        <v>1337</v>
      </c>
      <c r="B1004" s="2">
        <v>45183</v>
      </c>
      <c r="C1004">
        <v>2023</v>
      </c>
      <c r="D1004" t="s">
        <v>12</v>
      </c>
      <c r="E1004" t="s">
        <v>47</v>
      </c>
      <c r="F1004" t="s">
        <v>4711</v>
      </c>
      <c r="G1004" t="s">
        <v>4464</v>
      </c>
      <c r="H1004" s="16">
        <v>0.11</v>
      </c>
      <c r="I1004" t="s">
        <v>4764</v>
      </c>
      <c r="J1004" t="s">
        <v>4614</v>
      </c>
    </row>
    <row r="1005" spans="1:10">
      <c r="A1005" t="s">
        <v>1338</v>
      </c>
      <c r="B1005" s="2">
        <v>45187</v>
      </c>
      <c r="C1005">
        <v>2023</v>
      </c>
      <c r="D1005" t="s">
        <v>25</v>
      </c>
      <c r="E1005" t="s">
        <v>3839</v>
      </c>
      <c r="F1005" t="s">
        <v>4710</v>
      </c>
      <c r="G1005" t="s">
        <v>4465</v>
      </c>
      <c r="H1005" s="16">
        <v>0.21</v>
      </c>
      <c r="I1005" t="s">
        <v>4764</v>
      </c>
      <c r="J1005" t="s">
        <v>4614</v>
      </c>
    </row>
    <row r="1006" spans="1:10">
      <c r="A1006" t="s">
        <v>1339</v>
      </c>
      <c r="B1006" s="2">
        <v>45195</v>
      </c>
      <c r="C1006">
        <v>2023</v>
      </c>
      <c r="D1006" t="s">
        <v>8</v>
      </c>
      <c r="E1006" t="s">
        <v>17</v>
      </c>
      <c r="F1006" t="s">
        <v>4713</v>
      </c>
      <c r="G1006" t="s">
        <v>4462</v>
      </c>
      <c r="H1006" s="16">
        <v>5.97</v>
      </c>
      <c r="I1006" t="s">
        <v>4764</v>
      </c>
      <c r="J1006" t="s">
        <v>4614</v>
      </c>
    </row>
    <row r="1007" spans="1:10">
      <c r="A1007" t="s">
        <v>1340</v>
      </c>
      <c r="B1007" s="2">
        <v>45207</v>
      </c>
      <c r="C1007">
        <v>2023</v>
      </c>
      <c r="D1007" t="s">
        <v>15</v>
      </c>
      <c r="E1007" t="s">
        <v>3832</v>
      </c>
      <c r="F1007" t="s">
        <v>4712</v>
      </c>
      <c r="G1007" t="s">
        <v>4466</v>
      </c>
      <c r="H1007" s="16">
        <v>0.73</v>
      </c>
      <c r="I1007" t="s">
        <v>4764</v>
      </c>
      <c r="J1007" t="s">
        <v>4614</v>
      </c>
    </row>
    <row r="1008" spans="1:10">
      <c r="A1008" t="s">
        <v>1341</v>
      </c>
      <c r="B1008" s="2">
        <v>45208</v>
      </c>
      <c r="C1008">
        <v>2023</v>
      </c>
      <c r="D1008" t="s">
        <v>25</v>
      </c>
      <c r="E1008" t="s">
        <v>49</v>
      </c>
      <c r="F1008" t="s">
        <v>4710</v>
      </c>
      <c r="G1008" t="s">
        <v>1342</v>
      </c>
      <c r="H1008" s="16">
        <v>0.03</v>
      </c>
      <c r="I1008" t="s">
        <v>4764</v>
      </c>
      <c r="J1008" t="s">
        <v>4614</v>
      </c>
    </row>
    <row r="1009" spans="1:10">
      <c r="A1009" t="s">
        <v>1343</v>
      </c>
      <c r="B1009" s="2">
        <v>45210</v>
      </c>
      <c r="C1009">
        <v>2023</v>
      </c>
      <c r="D1009" t="s">
        <v>21</v>
      </c>
      <c r="E1009" t="s">
        <v>3836</v>
      </c>
      <c r="F1009" t="s">
        <v>4716</v>
      </c>
      <c r="G1009" t="s">
        <v>4467</v>
      </c>
      <c r="H1009" s="16">
        <v>0.1</v>
      </c>
      <c r="I1009" t="s">
        <v>4764</v>
      </c>
      <c r="J1009" t="s">
        <v>4614</v>
      </c>
    </row>
    <row r="1010" spans="1:10">
      <c r="A1010" t="s">
        <v>1344</v>
      </c>
      <c r="B1010" s="2">
        <v>45223</v>
      </c>
      <c r="C1010">
        <v>2023</v>
      </c>
      <c r="D1010" t="s">
        <v>12</v>
      </c>
      <c r="E1010" t="s">
        <v>45</v>
      </c>
      <c r="F1010" t="s">
        <v>4711</v>
      </c>
      <c r="G1010" t="s">
        <v>4468</v>
      </c>
      <c r="H1010" s="16">
        <v>0.03</v>
      </c>
      <c r="I1010" t="s">
        <v>4764</v>
      </c>
      <c r="J1010" t="s">
        <v>4614</v>
      </c>
    </row>
    <row r="1011" spans="1:10">
      <c r="A1011" t="s">
        <v>1345</v>
      </c>
      <c r="B1011" s="2">
        <v>45238</v>
      </c>
      <c r="C1011">
        <v>2023</v>
      </c>
      <c r="D1011" t="s">
        <v>25</v>
      </c>
      <c r="E1011" t="s">
        <v>3870</v>
      </c>
      <c r="F1011" t="s">
        <v>4710</v>
      </c>
      <c r="G1011" t="s">
        <v>4469</v>
      </c>
      <c r="H1011" s="16">
        <v>0.03</v>
      </c>
      <c r="I1011" t="s">
        <v>4764</v>
      </c>
      <c r="J1011" t="s">
        <v>4614</v>
      </c>
    </row>
    <row r="1012" spans="1:10">
      <c r="A1012" t="s">
        <v>1346</v>
      </c>
      <c r="B1012" s="2">
        <v>45246</v>
      </c>
      <c r="C1012">
        <v>2023</v>
      </c>
      <c r="D1012" t="s">
        <v>12</v>
      </c>
      <c r="E1012" t="s">
        <v>3836</v>
      </c>
      <c r="F1012" t="s">
        <v>4711</v>
      </c>
      <c r="G1012" t="s">
        <v>4470</v>
      </c>
      <c r="H1012" s="16">
        <v>0.1</v>
      </c>
      <c r="I1012" t="s">
        <v>4764</v>
      </c>
      <c r="J1012" t="s">
        <v>4614</v>
      </c>
    </row>
    <row r="1013" spans="1:10">
      <c r="A1013" t="s">
        <v>1347</v>
      </c>
      <c r="B1013" s="2">
        <v>45247</v>
      </c>
      <c r="C1013">
        <v>2023</v>
      </c>
      <c r="D1013" t="s">
        <v>25</v>
      </c>
      <c r="E1013" t="s">
        <v>72</v>
      </c>
      <c r="F1013" t="s">
        <v>4710</v>
      </c>
      <c r="G1013" t="s">
        <v>4471</v>
      </c>
      <c r="H1013" s="16">
        <v>0.05</v>
      </c>
      <c r="I1013" t="s">
        <v>4764</v>
      </c>
      <c r="J1013" t="s">
        <v>4614</v>
      </c>
    </row>
    <row r="1014" spans="1:10">
      <c r="A1014" t="s">
        <v>1348</v>
      </c>
      <c r="B1014" s="2">
        <v>45247</v>
      </c>
      <c r="C1014">
        <v>2023</v>
      </c>
      <c r="D1014" t="s">
        <v>12</v>
      </c>
      <c r="E1014" t="s">
        <v>29</v>
      </c>
      <c r="F1014" t="s">
        <v>4711</v>
      </c>
      <c r="G1014" t="s">
        <v>4472</v>
      </c>
      <c r="H1014" s="16">
        <v>0.52</v>
      </c>
      <c r="I1014" t="s">
        <v>4764</v>
      </c>
      <c r="J1014" t="s">
        <v>4614</v>
      </c>
    </row>
    <row r="1015" spans="1:10">
      <c r="A1015" t="s">
        <v>1349</v>
      </c>
      <c r="B1015" s="2">
        <v>45249</v>
      </c>
      <c r="C1015">
        <v>2023</v>
      </c>
      <c r="D1015" t="s">
        <v>25</v>
      </c>
      <c r="E1015" t="s">
        <v>47</v>
      </c>
      <c r="F1015" t="s">
        <v>4710</v>
      </c>
      <c r="G1015" t="s">
        <v>4473</v>
      </c>
      <c r="H1015" s="16">
        <v>0.04</v>
      </c>
      <c r="I1015" t="s">
        <v>4764</v>
      </c>
      <c r="J1015" t="s">
        <v>4614</v>
      </c>
    </row>
    <row r="1016" spans="1:10">
      <c r="A1016" t="s">
        <v>1350</v>
      </c>
      <c r="B1016" s="2">
        <v>45249</v>
      </c>
      <c r="C1016">
        <v>2023</v>
      </c>
      <c r="D1016" t="s">
        <v>12</v>
      </c>
      <c r="E1016" t="s">
        <v>13</v>
      </c>
      <c r="F1016" t="s">
        <v>4711</v>
      </c>
      <c r="G1016" t="s">
        <v>4474</v>
      </c>
      <c r="H1016" s="16">
        <v>0.05</v>
      </c>
      <c r="I1016" t="s">
        <v>4764</v>
      </c>
      <c r="J1016" t="s">
        <v>4614</v>
      </c>
    </row>
    <row r="1017" spans="1:10">
      <c r="A1017" t="s">
        <v>1351</v>
      </c>
      <c r="B1017" s="2">
        <v>45255</v>
      </c>
      <c r="C1017">
        <v>2023</v>
      </c>
      <c r="D1017" t="s">
        <v>25</v>
      </c>
      <c r="E1017" t="s">
        <v>3862</v>
      </c>
      <c r="F1017" t="s">
        <v>4710</v>
      </c>
      <c r="G1017" t="s">
        <v>4475</v>
      </c>
      <c r="H1017" s="16">
        <v>0.17</v>
      </c>
      <c r="I1017" t="s">
        <v>4764</v>
      </c>
      <c r="J1017" t="s">
        <v>4614</v>
      </c>
    </row>
    <row r="1018" spans="1:10">
      <c r="A1018" t="s">
        <v>1352</v>
      </c>
      <c r="B1018" s="2">
        <v>45262</v>
      </c>
      <c r="C1018">
        <v>2023</v>
      </c>
      <c r="D1018" t="s">
        <v>15</v>
      </c>
      <c r="E1018" t="s">
        <v>3832</v>
      </c>
      <c r="F1018" t="s">
        <v>4712</v>
      </c>
      <c r="G1018" t="s">
        <v>4476</v>
      </c>
      <c r="H1018" s="16">
        <v>0.14000000000000001</v>
      </c>
      <c r="I1018" t="s">
        <v>4764</v>
      </c>
      <c r="J1018" t="s">
        <v>4614</v>
      </c>
    </row>
    <row r="1019" spans="1:10">
      <c r="A1019" t="s">
        <v>1353</v>
      </c>
      <c r="B1019" s="2">
        <v>45263</v>
      </c>
      <c r="C1019">
        <v>2023</v>
      </c>
      <c r="D1019" t="s">
        <v>8</v>
      </c>
      <c r="E1019" t="s">
        <v>9</v>
      </c>
      <c r="F1019" t="s">
        <v>4713</v>
      </c>
      <c r="G1019" t="s">
        <v>4477</v>
      </c>
      <c r="H1019" s="16">
        <v>8.8800000000000008</v>
      </c>
      <c r="I1019" t="s">
        <v>4764</v>
      </c>
      <c r="J1019" t="s">
        <v>4614</v>
      </c>
    </row>
    <row r="1020" spans="1:10">
      <c r="A1020" t="s">
        <v>1354</v>
      </c>
      <c r="B1020" s="2">
        <v>45264</v>
      </c>
      <c r="C1020">
        <v>2023</v>
      </c>
      <c r="D1020" t="s">
        <v>25</v>
      </c>
      <c r="E1020" t="s">
        <v>34</v>
      </c>
      <c r="F1020" t="s">
        <v>4710</v>
      </c>
      <c r="G1020" t="s">
        <v>4478</v>
      </c>
      <c r="H1020" s="16">
        <v>1.39</v>
      </c>
      <c r="I1020" t="s">
        <v>4764</v>
      </c>
      <c r="J1020" t="s">
        <v>4614</v>
      </c>
    </row>
    <row r="1021" spans="1:10">
      <c r="A1021" t="s">
        <v>1355</v>
      </c>
      <c r="B1021" s="2">
        <v>45270</v>
      </c>
      <c r="C1021">
        <v>2023</v>
      </c>
      <c r="D1021" t="s">
        <v>25</v>
      </c>
      <c r="E1021" t="s">
        <v>45</v>
      </c>
      <c r="F1021" t="s">
        <v>4710</v>
      </c>
      <c r="G1021" t="s">
        <v>4479</v>
      </c>
      <c r="H1021" s="16">
        <v>0.27</v>
      </c>
      <c r="I1021" t="s">
        <v>4764</v>
      </c>
      <c r="J1021" t="s">
        <v>4614</v>
      </c>
    </row>
    <row r="1022" spans="1:10">
      <c r="A1022" t="s">
        <v>1356</v>
      </c>
      <c r="B1022" s="2">
        <v>45271</v>
      </c>
      <c r="C1022">
        <v>2023</v>
      </c>
      <c r="D1022" t="s">
        <v>12</v>
      </c>
      <c r="E1022" t="s">
        <v>72</v>
      </c>
      <c r="F1022" t="s">
        <v>4711</v>
      </c>
      <c r="G1022" t="s">
        <v>1357</v>
      </c>
      <c r="H1022" s="16">
        <v>0.15</v>
      </c>
      <c r="I1022" t="s">
        <v>4764</v>
      </c>
      <c r="J1022" t="s">
        <v>4614</v>
      </c>
    </row>
    <row r="1023" spans="1:10">
      <c r="A1023" t="s">
        <v>1358</v>
      </c>
      <c r="B1023" s="2">
        <v>45273</v>
      </c>
      <c r="C1023">
        <v>2023</v>
      </c>
      <c r="D1023" t="s">
        <v>25</v>
      </c>
      <c r="E1023" t="s">
        <v>3836</v>
      </c>
      <c r="F1023" t="s">
        <v>4710</v>
      </c>
      <c r="G1023" t="s">
        <v>4480</v>
      </c>
      <c r="H1023" s="16">
        <v>1.43</v>
      </c>
      <c r="I1023" t="s">
        <v>4764</v>
      </c>
      <c r="J1023" t="s">
        <v>4614</v>
      </c>
    </row>
    <row r="1024" spans="1:10">
      <c r="A1024" t="s">
        <v>1359</v>
      </c>
      <c r="B1024" s="2">
        <v>45278</v>
      </c>
      <c r="C1024">
        <v>2023</v>
      </c>
      <c r="D1024" t="s">
        <v>25</v>
      </c>
      <c r="E1024" t="s">
        <v>19</v>
      </c>
      <c r="F1024" t="s">
        <v>4710</v>
      </c>
      <c r="G1024" t="s">
        <v>4481</v>
      </c>
      <c r="H1024" s="16">
        <v>0.09</v>
      </c>
      <c r="I1024" t="s">
        <v>4764</v>
      </c>
      <c r="J1024" t="s">
        <v>4614</v>
      </c>
    </row>
    <row r="1025" spans="1:10">
      <c r="A1025" t="s">
        <v>1360</v>
      </c>
      <c r="B1025" s="2">
        <v>45281</v>
      </c>
      <c r="C1025">
        <v>2023</v>
      </c>
      <c r="D1025" t="s">
        <v>8</v>
      </c>
      <c r="E1025" t="s">
        <v>9</v>
      </c>
      <c r="F1025" t="s">
        <v>4713</v>
      </c>
      <c r="G1025" t="s">
        <v>1361</v>
      </c>
      <c r="H1025" s="16">
        <v>0.72</v>
      </c>
      <c r="I1025" t="s">
        <v>4764</v>
      </c>
      <c r="J1025" t="s">
        <v>4614</v>
      </c>
    </row>
    <row r="1026" spans="1:10">
      <c r="A1026" t="s">
        <v>1362</v>
      </c>
      <c r="B1026" s="2">
        <v>45282</v>
      </c>
      <c r="C1026">
        <v>2023</v>
      </c>
      <c r="D1026" t="s">
        <v>15</v>
      </c>
      <c r="E1026" t="s">
        <v>3832</v>
      </c>
      <c r="F1026" t="s">
        <v>4712</v>
      </c>
      <c r="G1026" t="s">
        <v>1363</v>
      </c>
      <c r="H1026" s="16">
        <v>1.1000000000000001</v>
      </c>
      <c r="I1026" t="s">
        <v>4764</v>
      </c>
      <c r="J1026" t="s">
        <v>4614</v>
      </c>
    </row>
    <row r="1027" spans="1:10">
      <c r="A1027" t="s">
        <v>1364</v>
      </c>
      <c r="B1027" s="2">
        <v>45286</v>
      </c>
      <c r="C1027">
        <v>2023</v>
      </c>
      <c r="D1027" t="s">
        <v>8</v>
      </c>
      <c r="E1027" t="s">
        <v>3850</v>
      </c>
      <c r="F1027" t="s">
        <v>4717</v>
      </c>
      <c r="G1027" t="s">
        <v>1365</v>
      </c>
      <c r="H1027" s="16">
        <v>14</v>
      </c>
      <c r="I1027" t="s">
        <v>4763</v>
      </c>
      <c r="J1027" t="s">
        <v>4613</v>
      </c>
    </row>
    <row r="1028" spans="1:10">
      <c r="A1028" t="s">
        <v>1366</v>
      </c>
      <c r="B1028" s="2">
        <v>45305</v>
      </c>
      <c r="C1028">
        <v>2024</v>
      </c>
      <c r="D1028" t="s">
        <v>25</v>
      </c>
      <c r="E1028" t="s">
        <v>3862</v>
      </c>
      <c r="F1028" t="s">
        <v>4718</v>
      </c>
      <c r="G1028" t="s">
        <v>4482</v>
      </c>
      <c r="H1028" s="16">
        <v>0.11</v>
      </c>
      <c r="I1028" t="s">
        <v>4764</v>
      </c>
      <c r="J1028" t="s">
        <v>4614</v>
      </c>
    </row>
    <row r="1029" spans="1:10">
      <c r="A1029" t="s">
        <v>1367</v>
      </c>
      <c r="B1029" s="2">
        <v>45307</v>
      </c>
      <c r="C1029">
        <v>2024</v>
      </c>
      <c r="D1029" t="s">
        <v>25</v>
      </c>
      <c r="E1029" t="s">
        <v>72</v>
      </c>
      <c r="F1029" t="s">
        <v>4718</v>
      </c>
      <c r="G1029" t="s">
        <v>1368</v>
      </c>
      <c r="H1029" s="16">
        <v>0.24</v>
      </c>
      <c r="I1029" t="s">
        <v>4764</v>
      </c>
      <c r="J1029" t="s">
        <v>4614</v>
      </c>
    </row>
    <row r="1030" spans="1:10">
      <c r="A1030" t="s">
        <v>1369</v>
      </c>
      <c r="B1030" s="2">
        <v>45312</v>
      </c>
      <c r="C1030">
        <v>2024</v>
      </c>
      <c r="D1030" t="s">
        <v>8</v>
      </c>
      <c r="E1030" t="s">
        <v>376</v>
      </c>
      <c r="F1030" t="s">
        <v>4719</v>
      </c>
      <c r="G1030" t="s">
        <v>4084</v>
      </c>
      <c r="H1030" s="16">
        <v>1.36</v>
      </c>
      <c r="I1030" t="s">
        <v>4764</v>
      </c>
      <c r="J1030" t="s">
        <v>4614</v>
      </c>
    </row>
    <row r="1031" spans="1:10">
      <c r="A1031" t="s">
        <v>1370</v>
      </c>
      <c r="B1031" s="2">
        <v>45313</v>
      </c>
      <c r="C1031">
        <v>2024</v>
      </c>
      <c r="D1031" t="s">
        <v>12</v>
      </c>
      <c r="E1031" t="s">
        <v>45</v>
      </c>
      <c r="F1031" t="s">
        <v>4720</v>
      </c>
      <c r="G1031" t="s">
        <v>4483</v>
      </c>
      <c r="H1031" s="16">
        <v>0.1</v>
      </c>
      <c r="I1031" t="s">
        <v>4764</v>
      </c>
      <c r="J1031" t="s">
        <v>4614</v>
      </c>
    </row>
    <row r="1032" spans="1:10">
      <c r="A1032" t="s">
        <v>1371</v>
      </c>
      <c r="B1032" s="2">
        <v>45315</v>
      </c>
      <c r="C1032">
        <v>2024</v>
      </c>
      <c r="D1032" t="s">
        <v>15</v>
      </c>
      <c r="E1032" t="s">
        <v>3832</v>
      </c>
      <c r="F1032" t="s">
        <v>4721</v>
      </c>
      <c r="G1032" t="s">
        <v>697</v>
      </c>
      <c r="H1032" s="16">
        <v>0.68</v>
      </c>
      <c r="I1032" t="s">
        <v>4764</v>
      </c>
      <c r="J1032" t="s">
        <v>4614</v>
      </c>
    </row>
    <row r="1033" spans="1:10">
      <c r="A1033" t="s">
        <v>1372</v>
      </c>
      <c r="B1033" s="2">
        <v>45316</v>
      </c>
      <c r="C1033">
        <v>2024</v>
      </c>
      <c r="D1033" t="s">
        <v>21</v>
      </c>
      <c r="E1033" t="s">
        <v>3839</v>
      </c>
      <c r="F1033" t="s">
        <v>4722</v>
      </c>
      <c r="G1033" t="s">
        <v>4484</v>
      </c>
      <c r="H1033" s="16">
        <v>0.76</v>
      </c>
      <c r="I1033" t="s">
        <v>4764</v>
      </c>
      <c r="J1033" t="s">
        <v>4614</v>
      </c>
    </row>
    <row r="1034" spans="1:10">
      <c r="A1034" t="s">
        <v>1373</v>
      </c>
      <c r="B1034" s="2">
        <v>45318</v>
      </c>
      <c r="C1034">
        <v>2024</v>
      </c>
      <c r="D1034" t="s">
        <v>33</v>
      </c>
      <c r="E1034" t="s">
        <v>29</v>
      </c>
      <c r="F1034" t="s">
        <v>4723</v>
      </c>
      <c r="G1034" t="s">
        <v>4485</v>
      </c>
      <c r="H1034" s="16">
        <v>0.76</v>
      </c>
      <c r="I1034" t="s">
        <v>4764</v>
      </c>
      <c r="J1034" t="s">
        <v>4614</v>
      </c>
    </row>
    <row r="1035" spans="1:10">
      <c r="A1035" t="s">
        <v>1374</v>
      </c>
      <c r="B1035" s="2">
        <v>45324</v>
      </c>
      <c r="C1035">
        <v>2024</v>
      </c>
      <c r="D1035" t="s">
        <v>15</v>
      </c>
      <c r="E1035" t="s">
        <v>3832</v>
      </c>
      <c r="F1035" t="s">
        <v>4724</v>
      </c>
      <c r="G1035" t="s">
        <v>4486</v>
      </c>
      <c r="H1035" s="16">
        <v>0.38</v>
      </c>
      <c r="I1035" t="s">
        <v>4764</v>
      </c>
      <c r="J1035" t="s">
        <v>4613</v>
      </c>
    </row>
    <row r="1036" spans="1:10">
      <c r="A1036" t="s">
        <v>1375</v>
      </c>
      <c r="B1036" s="2">
        <v>45326</v>
      </c>
      <c r="C1036">
        <v>2024</v>
      </c>
      <c r="D1036" t="s">
        <v>15</v>
      </c>
      <c r="E1036" t="s">
        <v>3832</v>
      </c>
      <c r="F1036" t="s">
        <v>4721</v>
      </c>
      <c r="G1036" t="s">
        <v>1183</v>
      </c>
      <c r="H1036" s="16">
        <v>1.1399999999999999</v>
      </c>
      <c r="I1036" t="s">
        <v>4764</v>
      </c>
      <c r="J1036" t="s">
        <v>4614</v>
      </c>
    </row>
    <row r="1037" spans="1:10">
      <c r="A1037" t="s">
        <v>1376</v>
      </c>
      <c r="B1037" s="2">
        <v>45326</v>
      </c>
      <c r="C1037">
        <v>2024</v>
      </c>
      <c r="D1037" t="s">
        <v>12</v>
      </c>
      <c r="E1037" t="s">
        <v>29</v>
      </c>
      <c r="F1037" t="s">
        <v>4720</v>
      </c>
      <c r="G1037" t="s">
        <v>1377</v>
      </c>
      <c r="H1037" s="16">
        <v>0.17</v>
      </c>
      <c r="I1037" t="s">
        <v>4764</v>
      </c>
      <c r="J1037" t="s">
        <v>4614</v>
      </c>
    </row>
    <row r="1038" spans="1:10">
      <c r="A1038" t="s">
        <v>1378</v>
      </c>
      <c r="B1038" s="2">
        <v>45340</v>
      </c>
      <c r="C1038">
        <v>2024</v>
      </c>
      <c r="D1038" t="s">
        <v>33</v>
      </c>
      <c r="E1038" t="s">
        <v>45</v>
      </c>
      <c r="F1038" t="s">
        <v>4723</v>
      </c>
      <c r="G1038" t="s">
        <v>1379</v>
      </c>
      <c r="H1038" s="16">
        <v>0.08</v>
      </c>
      <c r="I1038" t="s">
        <v>4764</v>
      </c>
      <c r="J1038" t="s">
        <v>4614</v>
      </c>
    </row>
    <row r="1039" spans="1:10">
      <c r="A1039" t="s">
        <v>1380</v>
      </c>
      <c r="B1039" s="2">
        <v>45340</v>
      </c>
      <c r="C1039">
        <v>2024</v>
      </c>
      <c r="D1039" t="s">
        <v>12</v>
      </c>
      <c r="E1039" t="s">
        <v>3839</v>
      </c>
      <c r="F1039" t="s">
        <v>4720</v>
      </c>
      <c r="G1039" t="s">
        <v>4381</v>
      </c>
      <c r="H1039" s="16">
        <v>0.28000000000000003</v>
      </c>
      <c r="I1039" t="s">
        <v>4764</v>
      </c>
      <c r="J1039" t="s">
        <v>4614</v>
      </c>
    </row>
    <row r="1040" spans="1:10">
      <c r="A1040" t="s">
        <v>1381</v>
      </c>
      <c r="B1040" s="2">
        <v>45345</v>
      </c>
      <c r="C1040">
        <v>2024</v>
      </c>
      <c r="D1040" t="s">
        <v>25</v>
      </c>
      <c r="E1040" t="s">
        <v>49</v>
      </c>
      <c r="F1040" t="s">
        <v>4718</v>
      </c>
      <c r="G1040" t="s">
        <v>1382</v>
      </c>
      <c r="H1040" s="16">
        <v>0.12</v>
      </c>
      <c r="I1040" t="s">
        <v>4764</v>
      </c>
      <c r="J1040" t="s">
        <v>4614</v>
      </c>
    </row>
    <row r="1041" spans="1:10">
      <c r="A1041" t="s">
        <v>1383</v>
      </c>
      <c r="B1041" s="2">
        <v>45345</v>
      </c>
      <c r="C1041">
        <v>2024</v>
      </c>
      <c r="D1041" t="s">
        <v>12</v>
      </c>
      <c r="E1041" t="s">
        <v>29</v>
      </c>
      <c r="F1041" t="s">
        <v>4720</v>
      </c>
      <c r="G1041" t="s">
        <v>4487</v>
      </c>
      <c r="H1041" s="16">
        <v>0.14000000000000001</v>
      </c>
      <c r="I1041" t="s">
        <v>4764</v>
      </c>
      <c r="J1041" t="s">
        <v>4614</v>
      </c>
    </row>
    <row r="1042" spans="1:10">
      <c r="A1042" t="s">
        <v>1384</v>
      </c>
      <c r="B1042" s="2">
        <v>45353</v>
      </c>
      <c r="C1042">
        <v>2024</v>
      </c>
      <c r="D1042" t="s">
        <v>15</v>
      </c>
      <c r="E1042" t="s">
        <v>3832</v>
      </c>
      <c r="F1042" t="s">
        <v>4721</v>
      </c>
      <c r="G1042" t="s">
        <v>1385</v>
      </c>
      <c r="H1042" s="16">
        <v>2.0099999999999998</v>
      </c>
      <c r="I1042" t="s">
        <v>4764</v>
      </c>
      <c r="J1042" t="s">
        <v>4614</v>
      </c>
    </row>
    <row r="1043" spans="1:10">
      <c r="A1043" t="s">
        <v>1386</v>
      </c>
      <c r="B1043" s="2">
        <v>45356</v>
      </c>
      <c r="C1043">
        <v>2024</v>
      </c>
      <c r="D1043" t="s">
        <v>12</v>
      </c>
      <c r="E1043" t="s">
        <v>29</v>
      </c>
      <c r="F1043" t="s">
        <v>4720</v>
      </c>
      <c r="G1043" t="s">
        <v>4401</v>
      </c>
      <c r="H1043" s="16">
        <v>0.16</v>
      </c>
      <c r="I1043" t="s">
        <v>4764</v>
      </c>
      <c r="J1043" t="s">
        <v>4614</v>
      </c>
    </row>
    <row r="1044" spans="1:10">
      <c r="A1044" t="s">
        <v>1387</v>
      </c>
      <c r="B1044" s="2">
        <v>45357</v>
      </c>
      <c r="C1044">
        <v>2024</v>
      </c>
      <c r="D1044" t="s">
        <v>25</v>
      </c>
      <c r="E1044" t="s">
        <v>3836</v>
      </c>
      <c r="F1044" t="s">
        <v>4718</v>
      </c>
      <c r="G1044" t="s">
        <v>4344</v>
      </c>
      <c r="H1044" s="16">
        <v>0.64</v>
      </c>
      <c r="I1044" t="s">
        <v>4764</v>
      </c>
      <c r="J1044" t="s">
        <v>4614</v>
      </c>
    </row>
    <row r="1045" spans="1:10">
      <c r="A1045" t="s">
        <v>1388</v>
      </c>
      <c r="B1045" s="2">
        <v>45358</v>
      </c>
      <c r="C1045">
        <v>2024</v>
      </c>
      <c r="D1045" t="s">
        <v>8</v>
      </c>
      <c r="E1045" t="s">
        <v>3846</v>
      </c>
      <c r="F1045" t="s">
        <v>4719</v>
      </c>
      <c r="G1045" t="s">
        <v>4117</v>
      </c>
      <c r="H1045" s="16">
        <v>2.15</v>
      </c>
      <c r="I1045" t="s">
        <v>4764</v>
      </c>
      <c r="J1045" t="s">
        <v>4614</v>
      </c>
    </row>
    <row r="1046" spans="1:10">
      <c r="A1046" t="s">
        <v>1389</v>
      </c>
      <c r="B1046" s="2">
        <v>45363</v>
      </c>
      <c r="C1046">
        <v>2024</v>
      </c>
      <c r="D1046" t="s">
        <v>25</v>
      </c>
      <c r="E1046" t="s">
        <v>4257</v>
      </c>
      <c r="F1046" t="s">
        <v>4691</v>
      </c>
      <c r="G1046" t="s">
        <v>1390</v>
      </c>
      <c r="H1046" s="16">
        <v>1</v>
      </c>
      <c r="I1046" t="s">
        <v>4764</v>
      </c>
      <c r="J1046" t="s">
        <v>4613</v>
      </c>
    </row>
    <row r="1047" spans="1:10">
      <c r="A1047" t="s">
        <v>1391</v>
      </c>
      <c r="B1047" s="2">
        <v>45377</v>
      </c>
      <c r="C1047">
        <v>2024</v>
      </c>
      <c r="D1047" t="s">
        <v>33</v>
      </c>
      <c r="E1047" t="s">
        <v>45</v>
      </c>
      <c r="F1047" t="s">
        <v>4723</v>
      </c>
      <c r="G1047" t="s">
        <v>4488</v>
      </c>
      <c r="H1047" s="16">
        <v>0.17</v>
      </c>
      <c r="I1047" t="s">
        <v>4764</v>
      </c>
      <c r="J1047" t="s">
        <v>4614</v>
      </c>
    </row>
    <row r="1048" spans="1:10">
      <c r="A1048" t="s">
        <v>1392</v>
      </c>
      <c r="B1048" s="2">
        <v>45377</v>
      </c>
      <c r="C1048">
        <v>2024</v>
      </c>
      <c r="D1048" t="s">
        <v>25</v>
      </c>
      <c r="E1048" t="s">
        <v>29</v>
      </c>
      <c r="F1048" t="s">
        <v>4718</v>
      </c>
      <c r="G1048" t="s">
        <v>4489</v>
      </c>
      <c r="H1048" s="16">
        <v>0.44</v>
      </c>
      <c r="I1048" t="s">
        <v>4764</v>
      </c>
      <c r="J1048" t="s">
        <v>4614</v>
      </c>
    </row>
    <row r="1049" spans="1:10">
      <c r="A1049" t="s">
        <v>1393</v>
      </c>
      <c r="B1049" s="2">
        <v>45383</v>
      </c>
      <c r="C1049">
        <v>2024</v>
      </c>
      <c r="D1049" t="s">
        <v>25</v>
      </c>
      <c r="E1049" t="s">
        <v>72</v>
      </c>
      <c r="F1049" t="s">
        <v>4718</v>
      </c>
      <c r="G1049" t="s">
        <v>4490</v>
      </c>
      <c r="H1049" s="16">
        <v>0.02</v>
      </c>
      <c r="I1049" t="s">
        <v>4764</v>
      </c>
      <c r="J1049" t="s">
        <v>4614</v>
      </c>
    </row>
    <row r="1050" spans="1:10">
      <c r="A1050" t="s">
        <v>1394</v>
      </c>
      <c r="B1050" s="2">
        <v>45385</v>
      </c>
      <c r="C1050">
        <v>2024</v>
      </c>
      <c r="D1050" t="s">
        <v>12</v>
      </c>
      <c r="E1050" t="s">
        <v>49</v>
      </c>
      <c r="F1050" t="s">
        <v>4720</v>
      </c>
      <c r="G1050" t="s">
        <v>4491</v>
      </c>
      <c r="H1050" s="16">
        <v>0.18</v>
      </c>
      <c r="I1050" t="s">
        <v>4764</v>
      </c>
      <c r="J1050" t="s">
        <v>4614</v>
      </c>
    </row>
    <row r="1051" spans="1:10">
      <c r="A1051" t="s">
        <v>1395</v>
      </c>
      <c r="B1051" s="2">
        <v>45387</v>
      </c>
      <c r="C1051">
        <v>2024</v>
      </c>
      <c r="D1051" t="s">
        <v>33</v>
      </c>
      <c r="E1051" t="s">
        <v>19</v>
      </c>
      <c r="F1051" t="s">
        <v>4723</v>
      </c>
      <c r="G1051" t="s">
        <v>1396</v>
      </c>
      <c r="H1051" s="16">
        <v>0.21</v>
      </c>
      <c r="I1051" t="s">
        <v>4764</v>
      </c>
      <c r="J1051" t="s">
        <v>4614</v>
      </c>
    </row>
    <row r="1052" spans="1:10">
      <c r="A1052" t="s">
        <v>1397</v>
      </c>
      <c r="B1052" s="2">
        <v>45392</v>
      </c>
      <c r="C1052">
        <v>2024</v>
      </c>
      <c r="D1052" t="s">
        <v>25</v>
      </c>
      <c r="E1052" t="s">
        <v>3854</v>
      </c>
      <c r="F1052" t="s">
        <v>4718</v>
      </c>
      <c r="G1052" t="s">
        <v>279</v>
      </c>
      <c r="H1052" s="16">
        <v>0.55000000000000004</v>
      </c>
      <c r="I1052" t="s">
        <v>4764</v>
      </c>
      <c r="J1052" t="s">
        <v>4614</v>
      </c>
    </row>
    <row r="1053" spans="1:10">
      <c r="A1053" t="s">
        <v>1398</v>
      </c>
      <c r="B1053" s="2">
        <v>45393</v>
      </c>
      <c r="C1053">
        <v>2024</v>
      </c>
      <c r="D1053" t="s">
        <v>25</v>
      </c>
      <c r="E1053" t="s">
        <v>29</v>
      </c>
      <c r="F1053" t="s">
        <v>4718</v>
      </c>
      <c r="G1053" t="s">
        <v>4492</v>
      </c>
      <c r="H1053" s="16">
        <v>0.26</v>
      </c>
      <c r="I1053" t="s">
        <v>4764</v>
      </c>
      <c r="J1053" t="s">
        <v>4614</v>
      </c>
    </row>
    <row r="1054" spans="1:10">
      <c r="A1054" t="s">
        <v>1399</v>
      </c>
      <c r="B1054" s="2">
        <v>45399</v>
      </c>
      <c r="C1054">
        <v>2024</v>
      </c>
      <c r="D1054" t="s">
        <v>12</v>
      </c>
      <c r="E1054" t="s">
        <v>3836</v>
      </c>
      <c r="F1054" t="s">
        <v>4720</v>
      </c>
      <c r="G1054" t="s">
        <v>4418</v>
      </c>
      <c r="H1054" s="16">
        <v>0.08</v>
      </c>
      <c r="I1054" t="s">
        <v>4764</v>
      </c>
      <c r="J1054" t="s">
        <v>4614</v>
      </c>
    </row>
    <row r="1055" spans="1:10">
      <c r="A1055" t="s">
        <v>1400</v>
      </c>
      <c r="B1055" s="2">
        <v>45401</v>
      </c>
      <c r="C1055">
        <v>2024</v>
      </c>
      <c r="D1055" t="s">
        <v>33</v>
      </c>
      <c r="E1055" t="s">
        <v>3839</v>
      </c>
      <c r="F1055" t="s">
        <v>4723</v>
      </c>
      <c r="G1055" t="s">
        <v>4493</v>
      </c>
      <c r="H1055" s="16">
        <v>0.37</v>
      </c>
      <c r="I1055" t="s">
        <v>4764</v>
      </c>
      <c r="J1055" t="s">
        <v>4614</v>
      </c>
    </row>
    <row r="1056" spans="1:10">
      <c r="A1056" t="s">
        <v>1401</v>
      </c>
      <c r="B1056" s="2">
        <v>45409</v>
      </c>
      <c r="C1056">
        <v>2024</v>
      </c>
      <c r="D1056" t="s">
        <v>25</v>
      </c>
      <c r="E1056" t="s">
        <v>34</v>
      </c>
      <c r="F1056" t="s">
        <v>4718</v>
      </c>
      <c r="G1056" t="s">
        <v>4494</v>
      </c>
      <c r="H1056" s="16">
        <v>0.02</v>
      </c>
      <c r="I1056" t="s">
        <v>4764</v>
      </c>
      <c r="J1056" t="s">
        <v>4614</v>
      </c>
    </row>
    <row r="1057" spans="1:10">
      <c r="A1057" t="s">
        <v>1402</v>
      </c>
      <c r="B1057" s="2">
        <v>45412</v>
      </c>
      <c r="C1057">
        <v>2024</v>
      </c>
      <c r="D1057" t="s">
        <v>8</v>
      </c>
      <c r="E1057" t="s">
        <v>1403</v>
      </c>
      <c r="F1057" t="s">
        <v>4725</v>
      </c>
      <c r="G1057" t="s">
        <v>1404</v>
      </c>
      <c r="H1057" s="16">
        <v>4.9000000000000004</v>
      </c>
      <c r="I1057" t="s">
        <v>4764</v>
      </c>
      <c r="J1057" t="s">
        <v>4613</v>
      </c>
    </row>
    <row r="1058" spans="1:10">
      <c r="A1058" t="s">
        <v>1405</v>
      </c>
      <c r="B1058" s="2">
        <v>45414</v>
      </c>
      <c r="C1058">
        <v>2024</v>
      </c>
      <c r="D1058" t="s">
        <v>12</v>
      </c>
      <c r="E1058" t="s">
        <v>13</v>
      </c>
      <c r="F1058" t="s">
        <v>4720</v>
      </c>
      <c r="G1058" t="s">
        <v>1406</v>
      </c>
      <c r="H1058" s="16">
        <v>0.16</v>
      </c>
      <c r="I1058" t="s">
        <v>4764</v>
      </c>
      <c r="J1058" t="s">
        <v>4614</v>
      </c>
    </row>
    <row r="1059" spans="1:10">
      <c r="A1059" t="s">
        <v>1407</v>
      </c>
      <c r="B1059" s="2">
        <v>45416</v>
      </c>
      <c r="C1059">
        <v>2024</v>
      </c>
      <c r="D1059" t="s">
        <v>25</v>
      </c>
      <c r="E1059" t="s">
        <v>29</v>
      </c>
      <c r="F1059" t="s">
        <v>4718</v>
      </c>
      <c r="G1059" t="s">
        <v>4495</v>
      </c>
      <c r="H1059" s="16">
        <v>0.11</v>
      </c>
      <c r="I1059" t="s">
        <v>4764</v>
      </c>
      <c r="J1059" t="s">
        <v>4614</v>
      </c>
    </row>
    <row r="1060" spans="1:10">
      <c r="A1060" t="s">
        <v>1408</v>
      </c>
      <c r="B1060" s="2">
        <v>45417</v>
      </c>
      <c r="C1060">
        <v>2024</v>
      </c>
      <c r="D1060" t="s">
        <v>15</v>
      </c>
      <c r="E1060" t="s">
        <v>3832</v>
      </c>
      <c r="F1060" t="s">
        <v>4721</v>
      </c>
      <c r="G1060" t="s">
        <v>1409</v>
      </c>
      <c r="H1060" s="16">
        <v>0.21</v>
      </c>
      <c r="I1060" t="s">
        <v>4764</v>
      </c>
      <c r="J1060" t="s">
        <v>4614</v>
      </c>
    </row>
    <row r="1061" spans="1:10">
      <c r="A1061" t="s">
        <v>1410</v>
      </c>
      <c r="B1061" s="2">
        <v>45417</v>
      </c>
      <c r="C1061">
        <v>2024</v>
      </c>
      <c r="D1061" t="s">
        <v>15</v>
      </c>
      <c r="E1061" t="s">
        <v>3832</v>
      </c>
      <c r="F1061" t="s">
        <v>4721</v>
      </c>
      <c r="G1061" t="s">
        <v>3841</v>
      </c>
      <c r="H1061" s="16">
        <v>0.36</v>
      </c>
      <c r="I1061" t="s">
        <v>4764</v>
      </c>
      <c r="J1061" t="s">
        <v>4614</v>
      </c>
    </row>
    <row r="1062" spans="1:10">
      <c r="A1062" t="s">
        <v>1411</v>
      </c>
      <c r="B1062" s="2">
        <v>45417</v>
      </c>
      <c r="C1062">
        <v>2024</v>
      </c>
      <c r="D1062" t="s">
        <v>8</v>
      </c>
      <c r="E1062" t="s">
        <v>376</v>
      </c>
      <c r="F1062" t="s">
        <v>4719</v>
      </c>
      <c r="G1062" t="s">
        <v>1412</v>
      </c>
      <c r="H1062" s="16">
        <v>11.12</v>
      </c>
      <c r="I1062" t="s">
        <v>4763</v>
      </c>
      <c r="J1062" t="s">
        <v>4614</v>
      </c>
    </row>
    <row r="1063" spans="1:10">
      <c r="A1063" t="s">
        <v>1413</v>
      </c>
      <c r="B1063" s="2">
        <v>45426</v>
      </c>
      <c r="C1063">
        <v>2024</v>
      </c>
      <c r="D1063" t="s">
        <v>12</v>
      </c>
      <c r="E1063" t="s">
        <v>72</v>
      </c>
      <c r="F1063" t="s">
        <v>4720</v>
      </c>
      <c r="G1063" t="s">
        <v>4496</v>
      </c>
      <c r="H1063" s="16">
        <v>0.08</v>
      </c>
      <c r="I1063" t="s">
        <v>4764</v>
      </c>
      <c r="J1063" t="s">
        <v>4614</v>
      </c>
    </row>
    <row r="1064" spans="1:10">
      <c r="A1064" t="s">
        <v>1414</v>
      </c>
      <c r="B1064" s="2">
        <v>45430</v>
      </c>
      <c r="C1064">
        <v>2024</v>
      </c>
      <c r="D1064" t="s">
        <v>8</v>
      </c>
      <c r="E1064" t="s">
        <v>3860</v>
      </c>
      <c r="F1064" t="s">
        <v>4719</v>
      </c>
      <c r="G1064" t="s">
        <v>1415</v>
      </c>
      <c r="H1064" s="16">
        <v>0.24</v>
      </c>
      <c r="I1064" t="s">
        <v>4764</v>
      </c>
      <c r="J1064" t="s">
        <v>4614</v>
      </c>
    </row>
    <row r="1065" spans="1:10">
      <c r="A1065" t="s">
        <v>1416</v>
      </c>
      <c r="B1065" s="2">
        <v>45431</v>
      </c>
      <c r="C1065">
        <v>2024</v>
      </c>
      <c r="D1065" t="s">
        <v>25</v>
      </c>
      <c r="E1065" t="s">
        <v>34</v>
      </c>
      <c r="F1065" t="s">
        <v>4718</v>
      </c>
      <c r="G1065" t="s">
        <v>4497</v>
      </c>
      <c r="H1065" s="16">
        <v>7.0000000000000007E-2</v>
      </c>
      <c r="I1065" t="s">
        <v>4764</v>
      </c>
      <c r="J1065" t="s">
        <v>4614</v>
      </c>
    </row>
    <row r="1066" spans="1:10">
      <c r="A1066" t="s">
        <v>1417</v>
      </c>
      <c r="B1066" s="2">
        <v>45444</v>
      </c>
      <c r="C1066">
        <v>2024</v>
      </c>
      <c r="D1066" t="s">
        <v>25</v>
      </c>
      <c r="E1066" t="s">
        <v>49</v>
      </c>
      <c r="F1066" t="s">
        <v>4718</v>
      </c>
      <c r="G1066" t="s">
        <v>1418</v>
      </c>
      <c r="H1066" s="16">
        <v>0.28000000000000003</v>
      </c>
      <c r="I1066" t="s">
        <v>4764</v>
      </c>
      <c r="J1066" t="s">
        <v>4614</v>
      </c>
    </row>
    <row r="1067" spans="1:10">
      <c r="A1067" t="s">
        <v>1419</v>
      </c>
      <c r="B1067" s="2">
        <v>45445</v>
      </c>
      <c r="C1067">
        <v>2024</v>
      </c>
      <c r="D1067" t="s">
        <v>25</v>
      </c>
      <c r="E1067" t="s">
        <v>3870</v>
      </c>
      <c r="F1067" t="s">
        <v>4718</v>
      </c>
      <c r="G1067" t="s">
        <v>1420</v>
      </c>
      <c r="H1067" s="16">
        <v>0.19</v>
      </c>
      <c r="I1067" t="s">
        <v>4764</v>
      </c>
      <c r="J1067" t="s">
        <v>4614</v>
      </c>
    </row>
    <row r="1068" spans="1:10">
      <c r="A1068" t="s">
        <v>1421</v>
      </c>
      <c r="B1068" s="2">
        <v>45446</v>
      </c>
      <c r="C1068">
        <v>2024</v>
      </c>
      <c r="D1068" t="s">
        <v>8</v>
      </c>
      <c r="E1068" t="s">
        <v>31</v>
      </c>
      <c r="F1068" t="s">
        <v>4719</v>
      </c>
      <c r="G1068" t="s">
        <v>4177</v>
      </c>
      <c r="H1068" s="16">
        <v>2.4900000000000002</v>
      </c>
      <c r="I1068" t="s">
        <v>4764</v>
      </c>
      <c r="J1068" t="s">
        <v>4614</v>
      </c>
    </row>
    <row r="1069" spans="1:10">
      <c r="A1069" t="s">
        <v>1422</v>
      </c>
      <c r="B1069" s="2">
        <v>45446</v>
      </c>
      <c r="C1069">
        <v>2024</v>
      </c>
      <c r="D1069" t="s">
        <v>25</v>
      </c>
      <c r="E1069" t="s">
        <v>3862</v>
      </c>
      <c r="F1069" t="s">
        <v>4718</v>
      </c>
      <c r="G1069" t="s">
        <v>4459</v>
      </c>
      <c r="H1069" s="16">
        <v>0.09</v>
      </c>
      <c r="I1069" t="s">
        <v>4764</v>
      </c>
      <c r="J1069" t="s">
        <v>4614</v>
      </c>
    </row>
    <row r="1070" spans="1:10">
      <c r="A1070" t="s">
        <v>1423</v>
      </c>
      <c r="B1070" s="2">
        <v>45456</v>
      </c>
      <c r="C1070">
        <v>2024</v>
      </c>
      <c r="D1070" t="s">
        <v>25</v>
      </c>
      <c r="E1070" t="s">
        <v>3836</v>
      </c>
      <c r="F1070" t="s">
        <v>4718</v>
      </c>
      <c r="G1070" t="s">
        <v>4498</v>
      </c>
      <c r="H1070" s="16">
        <v>0.56000000000000005</v>
      </c>
      <c r="I1070" t="s">
        <v>4764</v>
      </c>
      <c r="J1070" t="s">
        <v>4614</v>
      </c>
    </row>
    <row r="1071" spans="1:10">
      <c r="A1071" t="s">
        <v>1424</v>
      </c>
      <c r="B1071" s="2">
        <v>45459</v>
      </c>
      <c r="C1071">
        <v>2024</v>
      </c>
      <c r="D1071" t="s">
        <v>8</v>
      </c>
      <c r="E1071" t="s">
        <v>53</v>
      </c>
      <c r="F1071" t="s">
        <v>4719</v>
      </c>
      <c r="G1071" t="s">
        <v>4499</v>
      </c>
      <c r="H1071" s="16">
        <v>0.39</v>
      </c>
      <c r="I1071" t="s">
        <v>4764</v>
      </c>
      <c r="J1071" t="s">
        <v>4614</v>
      </c>
    </row>
    <row r="1072" spans="1:10">
      <c r="A1072" t="s">
        <v>1425</v>
      </c>
      <c r="B1072" s="2">
        <v>45467</v>
      </c>
      <c r="C1072">
        <v>2024</v>
      </c>
      <c r="D1072" t="s">
        <v>12</v>
      </c>
      <c r="E1072" t="s">
        <v>13</v>
      </c>
      <c r="F1072" t="s">
        <v>4720</v>
      </c>
      <c r="G1072" t="s">
        <v>4500</v>
      </c>
      <c r="H1072" s="16">
        <v>0.17</v>
      </c>
      <c r="I1072" t="s">
        <v>4764</v>
      </c>
      <c r="J1072" t="s">
        <v>4614</v>
      </c>
    </row>
    <row r="1073" spans="1:10">
      <c r="A1073" t="s">
        <v>1426</v>
      </c>
      <c r="B1073" s="2">
        <v>45475</v>
      </c>
      <c r="C1073">
        <v>2024</v>
      </c>
      <c r="D1073" t="s">
        <v>25</v>
      </c>
      <c r="E1073" t="s">
        <v>47</v>
      </c>
      <c r="F1073" t="s">
        <v>4718</v>
      </c>
      <c r="G1073" t="s">
        <v>4501</v>
      </c>
      <c r="H1073" s="16">
        <v>0.05</v>
      </c>
      <c r="I1073" t="s">
        <v>4764</v>
      </c>
      <c r="J1073" t="s">
        <v>4614</v>
      </c>
    </row>
    <row r="1074" spans="1:10">
      <c r="A1074" t="s">
        <v>1427</v>
      </c>
      <c r="B1074" s="2">
        <v>45476</v>
      </c>
      <c r="C1074">
        <v>2024</v>
      </c>
      <c r="D1074" t="s">
        <v>25</v>
      </c>
      <c r="E1074" t="s">
        <v>3854</v>
      </c>
      <c r="F1074" t="s">
        <v>4718</v>
      </c>
      <c r="G1074" t="s">
        <v>1428</v>
      </c>
      <c r="H1074" s="16">
        <v>7.0000000000000007E-2</v>
      </c>
      <c r="I1074" t="s">
        <v>4764</v>
      </c>
      <c r="J1074" t="s">
        <v>4614</v>
      </c>
    </row>
    <row r="1075" spans="1:10">
      <c r="A1075" t="s">
        <v>1429</v>
      </c>
      <c r="B1075" s="2">
        <v>45488</v>
      </c>
      <c r="C1075">
        <v>2024</v>
      </c>
      <c r="D1075" t="s">
        <v>25</v>
      </c>
      <c r="E1075" t="s">
        <v>4257</v>
      </c>
      <c r="F1075" t="s">
        <v>4726</v>
      </c>
      <c r="G1075" t="s">
        <v>1430</v>
      </c>
      <c r="H1075" s="16">
        <v>0.37</v>
      </c>
      <c r="I1075" t="s">
        <v>4764</v>
      </c>
      <c r="J1075" t="s">
        <v>4613</v>
      </c>
    </row>
    <row r="1076" spans="1:10">
      <c r="A1076" t="s">
        <v>1431</v>
      </c>
      <c r="B1076" s="2">
        <v>45489</v>
      </c>
      <c r="C1076">
        <v>2024</v>
      </c>
      <c r="D1076" t="s">
        <v>15</v>
      </c>
      <c r="E1076" t="s">
        <v>3832</v>
      </c>
      <c r="F1076" t="s">
        <v>4721</v>
      </c>
      <c r="G1076" t="s">
        <v>4502</v>
      </c>
      <c r="H1076" s="16">
        <v>0.33</v>
      </c>
      <c r="I1076" t="s">
        <v>4764</v>
      </c>
      <c r="J1076" t="s">
        <v>4614</v>
      </c>
    </row>
    <row r="1077" spans="1:10">
      <c r="A1077" t="s">
        <v>1432</v>
      </c>
      <c r="B1077" s="2">
        <v>45490</v>
      </c>
      <c r="C1077">
        <v>2024</v>
      </c>
      <c r="D1077" t="s">
        <v>33</v>
      </c>
      <c r="E1077" t="s">
        <v>3870</v>
      </c>
      <c r="F1077" t="s">
        <v>4723</v>
      </c>
      <c r="G1077" t="s">
        <v>4276</v>
      </c>
      <c r="H1077" s="16">
        <v>0.14000000000000001</v>
      </c>
      <c r="I1077" t="s">
        <v>4764</v>
      </c>
      <c r="J1077" t="s">
        <v>4614</v>
      </c>
    </row>
    <row r="1078" spans="1:10">
      <c r="A1078" t="s">
        <v>1433</v>
      </c>
      <c r="B1078" s="2">
        <v>45493</v>
      </c>
      <c r="C1078">
        <v>2024</v>
      </c>
      <c r="D1078" t="s">
        <v>15</v>
      </c>
      <c r="E1078" t="s">
        <v>3832</v>
      </c>
      <c r="F1078" t="s">
        <v>4721</v>
      </c>
      <c r="G1078" t="s">
        <v>4503</v>
      </c>
      <c r="H1078" s="16">
        <v>0.26</v>
      </c>
      <c r="I1078" t="s">
        <v>4764</v>
      </c>
      <c r="J1078" t="s">
        <v>4614</v>
      </c>
    </row>
    <row r="1079" spans="1:10">
      <c r="A1079" t="s">
        <v>1434</v>
      </c>
      <c r="B1079" s="2">
        <v>45495</v>
      </c>
      <c r="C1079">
        <v>2024</v>
      </c>
      <c r="D1079" t="s">
        <v>8</v>
      </c>
      <c r="E1079" t="s">
        <v>3860</v>
      </c>
      <c r="F1079" t="s">
        <v>4719</v>
      </c>
      <c r="G1079" t="s">
        <v>1435</v>
      </c>
      <c r="H1079" s="16">
        <v>0.27</v>
      </c>
      <c r="I1079" t="s">
        <v>4764</v>
      </c>
      <c r="J1079" t="s">
        <v>4614</v>
      </c>
    </row>
    <row r="1080" spans="1:10">
      <c r="A1080" t="s">
        <v>1436</v>
      </c>
      <c r="B1080" s="2">
        <v>45496</v>
      </c>
      <c r="C1080">
        <v>2024</v>
      </c>
      <c r="D1080" t="s">
        <v>12</v>
      </c>
      <c r="E1080" t="s">
        <v>3862</v>
      </c>
      <c r="F1080" t="s">
        <v>4720</v>
      </c>
      <c r="G1080" t="s">
        <v>4504</v>
      </c>
      <c r="H1080" s="16">
        <v>0.23</v>
      </c>
      <c r="I1080" t="s">
        <v>4764</v>
      </c>
      <c r="J1080" t="s">
        <v>4614</v>
      </c>
    </row>
    <row r="1081" spans="1:10">
      <c r="A1081" t="s">
        <v>1437</v>
      </c>
      <c r="B1081" s="2">
        <v>45496</v>
      </c>
      <c r="C1081">
        <v>2024</v>
      </c>
      <c r="D1081" t="s">
        <v>33</v>
      </c>
      <c r="E1081" t="s">
        <v>3836</v>
      </c>
      <c r="F1081" t="s">
        <v>4723</v>
      </c>
      <c r="G1081" t="s">
        <v>4505</v>
      </c>
      <c r="H1081" s="16">
        <v>0.15</v>
      </c>
      <c r="I1081" t="s">
        <v>4764</v>
      </c>
      <c r="J1081" t="s">
        <v>4614</v>
      </c>
    </row>
    <row r="1082" spans="1:10">
      <c r="A1082" t="s">
        <v>1438</v>
      </c>
      <c r="B1082" s="2">
        <v>45497</v>
      </c>
      <c r="C1082">
        <v>2024</v>
      </c>
      <c r="D1082" t="s">
        <v>25</v>
      </c>
      <c r="E1082" t="s">
        <v>3854</v>
      </c>
      <c r="F1082" t="s">
        <v>4718</v>
      </c>
      <c r="G1082" t="s">
        <v>4506</v>
      </c>
      <c r="H1082" s="16">
        <v>0.06</v>
      </c>
      <c r="I1082" t="s">
        <v>4764</v>
      </c>
      <c r="J1082" t="s">
        <v>4614</v>
      </c>
    </row>
    <row r="1083" spans="1:10">
      <c r="A1083" t="s">
        <v>1439</v>
      </c>
      <c r="B1083" s="2">
        <v>45499</v>
      </c>
      <c r="C1083">
        <v>2024</v>
      </c>
      <c r="D1083" t="s">
        <v>25</v>
      </c>
      <c r="E1083" t="s">
        <v>49</v>
      </c>
      <c r="F1083" t="s">
        <v>4718</v>
      </c>
      <c r="G1083" t="s">
        <v>1440</v>
      </c>
      <c r="H1083" s="16">
        <v>0.08</v>
      </c>
      <c r="I1083" t="s">
        <v>4764</v>
      </c>
      <c r="J1083" t="s">
        <v>4614</v>
      </c>
    </row>
    <row r="1084" spans="1:10">
      <c r="A1084" t="s">
        <v>1441</v>
      </c>
      <c r="B1084" s="2">
        <v>45510</v>
      </c>
      <c r="C1084">
        <v>2024</v>
      </c>
      <c r="D1084" t="s">
        <v>21</v>
      </c>
      <c r="E1084" t="s">
        <v>13</v>
      </c>
      <c r="F1084" t="s">
        <v>4722</v>
      </c>
      <c r="G1084" t="s">
        <v>1048</v>
      </c>
      <c r="H1084" s="16">
        <v>0.1</v>
      </c>
      <c r="I1084" t="s">
        <v>4764</v>
      </c>
      <c r="J1084" t="s">
        <v>4614</v>
      </c>
    </row>
    <row r="1085" spans="1:10">
      <c r="A1085" t="s">
        <v>1442</v>
      </c>
      <c r="B1085" s="2">
        <v>45511</v>
      </c>
      <c r="C1085">
        <v>2024</v>
      </c>
      <c r="D1085" t="s">
        <v>25</v>
      </c>
      <c r="E1085" t="s">
        <v>3836</v>
      </c>
      <c r="F1085" t="s">
        <v>4718</v>
      </c>
      <c r="G1085" t="s">
        <v>4507</v>
      </c>
      <c r="H1085" s="16">
        <v>0.49</v>
      </c>
      <c r="I1085" t="s">
        <v>4764</v>
      </c>
      <c r="J1085" t="s">
        <v>4614</v>
      </c>
    </row>
    <row r="1086" spans="1:10">
      <c r="A1086" t="s">
        <v>1443</v>
      </c>
      <c r="B1086" s="2">
        <v>45518</v>
      </c>
      <c r="C1086">
        <v>2024</v>
      </c>
      <c r="D1086" t="s">
        <v>25</v>
      </c>
      <c r="E1086" t="s">
        <v>29</v>
      </c>
      <c r="F1086" t="s">
        <v>4718</v>
      </c>
      <c r="G1086" t="s">
        <v>4508</v>
      </c>
      <c r="H1086" s="16">
        <v>0.47</v>
      </c>
      <c r="I1086" t="s">
        <v>4764</v>
      </c>
      <c r="J1086" t="s">
        <v>4614</v>
      </c>
    </row>
    <row r="1087" spans="1:10">
      <c r="A1087" t="s">
        <v>1444</v>
      </c>
      <c r="B1087" s="2">
        <v>45523</v>
      </c>
      <c r="C1087">
        <v>2024</v>
      </c>
      <c r="D1087" t="s">
        <v>25</v>
      </c>
      <c r="E1087" t="s">
        <v>13</v>
      </c>
      <c r="F1087" t="s">
        <v>4718</v>
      </c>
      <c r="G1087" t="s">
        <v>1445</v>
      </c>
      <c r="H1087" s="16">
        <v>0.22</v>
      </c>
      <c r="I1087" t="s">
        <v>4764</v>
      </c>
      <c r="J1087" t="s">
        <v>4614</v>
      </c>
    </row>
    <row r="1088" spans="1:10">
      <c r="A1088" t="s">
        <v>1446</v>
      </c>
      <c r="B1088" s="2">
        <v>45525</v>
      </c>
      <c r="C1088">
        <v>2024</v>
      </c>
      <c r="D1088" t="s">
        <v>12</v>
      </c>
      <c r="E1088" t="s">
        <v>3854</v>
      </c>
      <c r="F1088" t="s">
        <v>4720</v>
      </c>
      <c r="G1088" t="s">
        <v>4509</v>
      </c>
      <c r="H1088" s="16">
        <v>0.02</v>
      </c>
      <c r="I1088" t="s">
        <v>4764</v>
      </c>
      <c r="J1088" t="s">
        <v>4614</v>
      </c>
    </row>
    <row r="1089" spans="1:10">
      <c r="A1089" t="s">
        <v>1447</v>
      </c>
      <c r="B1089" s="2">
        <v>45525</v>
      </c>
      <c r="C1089">
        <v>2024</v>
      </c>
      <c r="D1089" t="s">
        <v>12</v>
      </c>
      <c r="E1089" t="s">
        <v>3836</v>
      </c>
      <c r="F1089" t="s">
        <v>4720</v>
      </c>
      <c r="G1089" t="s">
        <v>4510</v>
      </c>
      <c r="H1089" s="16">
        <v>0.33</v>
      </c>
      <c r="I1089" t="s">
        <v>4764</v>
      </c>
      <c r="J1089" t="s">
        <v>4614</v>
      </c>
    </row>
    <row r="1090" spans="1:10">
      <c r="A1090" t="s">
        <v>1448</v>
      </c>
      <c r="B1090" s="2">
        <v>45527</v>
      </c>
      <c r="C1090">
        <v>2024</v>
      </c>
      <c r="D1090" t="s">
        <v>12</v>
      </c>
      <c r="E1090" t="s">
        <v>49</v>
      </c>
      <c r="F1090" t="s">
        <v>4720</v>
      </c>
      <c r="G1090" t="s">
        <v>4511</v>
      </c>
      <c r="H1090" s="16">
        <v>0.11</v>
      </c>
      <c r="I1090" t="s">
        <v>4764</v>
      </c>
      <c r="J1090" t="s">
        <v>4614</v>
      </c>
    </row>
    <row r="1091" spans="1:10">
      <c r="A1091" t="s">
        <v>1449</v>
      </c>
      <c r="B1091" s="2">
        <v>45528</v>
      </c>
      <c r="C1091">
        <v>2024</v>
      </c>
      <c r="D1091" t="s">
        <v>12</v>
      </c>
      <c r="E1091" t="s">
        <v>3870</v>
      </c>
      <c r="F1091" t="s">
        <v>4720</v>
      </c>
      <c r="G1091" t="s">
        <v>1450</v>
      </c>
      <c r="H1091" s="16">
        <v>0.22</v>
      </c>
      <c r="I1091" t="s">
        <v>4764</v>
      </c>
      <c r="J1091" t="s">
        <v>4614</v>
      </c>
    </row>
    <row r="1092" spans="1:10">
      <c r="A1092" t="s">
        <v>1451</v>
      </c>
      <c r="B1092" s="2">
        <v>45530</v>
      </c>
      <c r="C1092">
        <v>2024</v>
      </c>
      <c r="D1092" t="s">
        <v>25</v>
      </c>
      <c r="E1092" t="s">
        <v>72</v>
      </c>
      <c r="F1092" t="s">
        <v>4718</v>
      </c>
      <c r="G1092" t="s">
        <v>1211</v>
      </c>
      <c r="H1092" s="16">
        <v>0.08</v>
      </c>
      <c r="I1092" t="s">
        <v>4764</v>
      </c>
      <c r="J1092" t="s">
        <v>4614</v>
      </c>
    </row>
    <row r="1093" spans="1:10">
      <c r="A1093" t="s">
        <v>1452</v>
      </c>
      <c r="B1093" s="2">
        <v>45536</v>
      </c>
      <c r="C1093">
        <v>2024</v>
      </c>
      <c r="D1093" t="s">
        <v>15</v>
      </c>
      <c r="E1093" t="s">
        <v>3832</v>
      </c>
      <c r="F1093" t="s">
        <v>4721</v>
      </c>
      <c r="G1093" t="s">
        <v>4512</v>
      </c>
      <c r="H1093" s="16">
        <v>0.52</v>
      </c>
      <c r="I1093" t="s">
        <v>4764</v>
      </c>
      <c r="J1093" t="s">
        <v>4614</v>
      </c>
    </row>
    <row r="1094" spans="1:10">
      <c r="A1094" t="s">
        <v>1453</v>
      </c>
      <c r="B1094" s="2">
        <v>45537</v>
      </c>
      <c r="C1094">
        <v>2024</v>
      </c>
      <c r="D1094" t="s">
        <v>25</v>
      </c>
      <c r="E1094" t="s">
        <v>19</v>
      </c>
      <c r="F1094" t="s">
        <v>4718</v>
      </c>
      <c r="G1094" t="s">
        <v>1454</v>
      </c>
      <c r="H1094" s="16">
        <v>0.24</v>
      </c>
      <c r="I1094" t="s">
        <v>4764</v>
      </c>
      <c r="J1094" t="s">
        <v>4614</v>
      </c>
    </row>
    <row r="1095" spans="1:10">
      <c r="A1095" t="s">
        <v>1455</v>
      </c>
      <c r="B1095" s="2">
        <v>45543</v>
      </c>
      <c r="C1095">
        <v>2024</v>
      </c>
      <c r="D1095" t="s">
        <v>25</v>
      </c>
      <c r="E1095" t="s">
        <v>4257</v>
      </c>
      <c r="F1095" t="s">
        <v>4727</v>
      </c>
      <c r="G1095" t="s">
        <v>1456</v>
      </c>
      <c r="H1095" s="16">
        <v>0.4</v>
      </c>
      <c r="I1095" t="s">
        <v>4764</v>
      </c>
      <c r="J1095" t="s">
        <v>4613</v>
      </c>
    </row>
    <row r="1096" spans="1:10">
      <c r="A1096" t="s">
        <v>1457</v>
      </c>
      <c r="B1096" s="2">
        <v>45544</v>
      </c>
      <c r="C1096">
        <v>2024</v>
      </c>
      <c r="D1096" t="s">
        <v>25</v>
      </c>
      <c r="E1096" t="s">
        <v>47</v>
      </c>
      <c r="F1096" t="s">
        <v>4718</v>
      </c>
      <c r="G1096" t="s">
        <v>4211</v>
      </c>
      <c r="H1096" s="16">
        <v>0.74</v>
      </c>
      <c r="I1096" t="s">
        <v>4764</v>
      </c>
      <c r="J1096" t="s">
        <v>4614</v>
      </c>
    </row>
    <row r="1097" spans="1:10">
      <c r="A1097" t="s">
        <v>1458</v>
      </c>
      <c r="B1097" s="2">
        <v>45547</v>
      </c>
      <c r="C1097">
        <v>2024</v>
      </c>
      <c r="D1097" t="s">
        <v>25</v>
      </c>
      <c r="E1097" t="s">
        <v>13</v>
      </c>
      <c r="F1097" t="s">
        <v>4718</v>
      </c>
      <c r="G1097" t="s">
        <v>4513</v>
      </c>
      <c r="H1097" s="16">
        <v>0.28000000000000003</v>
      </c>
      <c r="I1097" t="s">
        <v>4764</v>
      </c>
      <c r="J1097" t="s">
        <v>4614</v>
      </c>
    </row>
    <row r="1098" spans="1:10">
      <c r="A1098" t="s">
        <v>1459</v>
      </c>
      <c r="B1098" s="2">
        <v>45548</v>
      </c>
      <c r="C1098">
        <v>2024</v>
      </c>
      <c r="D1098" t="s">
        <v>12</v>
      </c>
      <c r="E1098" t="s">
        <v>3862</v>
      </c>
      <c r="F1098" t="s">
        <v>4720</v>
      </c>
      <c r="G1098" t="s">
        <v>715</v>
      </c>
      <c r="H1098" s="16">
        <v>0.3</v>
      </c>
      <c r="I1098" t="s">
        <v>4764</v>
      </c>
      <c r="J1098" t="s">
        <v>4614</v>
      </c>
    </row>
    <row r="1099" spans="1:10">
      <c r="A1099" t="s">
        <v>1460</v>
      </c>
      <c r="B1099" s="2">
        <v>45555</v>
      </c>
      <c r="C1099">
        <v>2024</v>
      </c>
      <c r="D1099" t="s">
        <v>8</v>
      </c>
      <c r="E1099" t="s">
        <v>3903</v>
      </c>
      <c r="F1099" t="s">
        <v>4719</v>
      </c>
      <c r="G1099" t="s">
        <v>1461</v>
      </c>
      <c r="H1099" s="16">
        <v>0.16</v>
      </c>
      <c r="I1099" t="s">
        <v>4764</v>
      </c>
      <c r="J1099" t="s">
        <v>4614</v>
      </c>
    </row>
    <row r="1100" spans="1:10">
      <c r="A1100" t="s">
        <v>1462</v>
      </c>
      <c r="B1100" s="2">
        <v>45569</v>
      </c>
      <c r="C1100">
        <v>2024</v>
      </c>
      <c r="D1100" t="s">
        <v>21</v>
      </c>
      <c r="E1100" t="s">
        <v>3870</v>
      </c>
      <c r="F1100" t="s">
        <v>4722</v>
      </c>
      <c r="G1100" t="s">
        <v>4514</v>
      </c>
      <c r="H1100" s="16">
        <v>0.14000000000000001</v>
      </c>
      <c r="I1100" t="s">
        <v>4764</v>
      </c>
      <c r="J1100" t="s">
        <v>4614</v>
      </c>
    </row>
    <row r="1101" spans="1:10">
      <c r="A1101" t="s">
        <v>1463</v>
      </c>
      <c r="B1101" s="2">
        <v>45575</v>
      </c>
      <c r="C1101">
        <v>2024</v>
      </c>
      <c r="D1101" t="s">
        <v>8</v>
      </c>
      <c r="E1101" t="s">
        <v>31</v>
      </c>
      <c r="F1101" t="s">
        <v>4719</v>
      </c>
      <c r="G1101" t="s">
        <v>4137</v>
      </c>
      <c r="H1101" s="16">
        <v>2.2799999999999998</v>
      </c>
      <c r="I1101" t="s">
        <v>4764</v>
      </c>
      <c r="J1101" t="s">
        <v>4614</v>
      </c>
    </row>
    <row r="1102" spans="1:10">
      <c r="A1102" t="s">
        <v>1464</v>
      </c>
      <c r="B1102" s="2">
        <v>45578</v>
      </c>
      <c r="C1102">
        <v>2024</v>
      </c>
      <c r="D1102" t="s">
        <v>15</v>
      </c>
      <c r="E1102" t="s">
        <v>3832</v>
      </c>
      <c r="F1102" t="s">
        <v>4721</v>
      </c>
      <c r="G1102" t="s">
        <v>4515</v>
      </c>
      <c r="H1102" s="16">
        <v>0.32</v>
      </c>
      <c r="I1102" t="s">
        <v>4764</v>
      </c>
      <c r="J1102" t="s">
        <v>4614</v>
      </c>
    </row>
    <row r="1103" spans="1:10">
      <c r="A1103" t="s">
        <v>1465</v>
      </c>
      <c r="B1103" s="2">
        <v>45580</v>
      </c>
      <c r="C1103">
        <v>2024</v>
      </c>
      <c r="D1103" t="s">
        <v>8</v>
      </c>
      <c r="E1103" t="s">
        <v>31</v>
      </c>
      <c r="F1103" t="s">
        <v>4719</v>
      </c>
      <c r="G1103" t="s">
        <v>4516</v>
      </c>
      <c r="H1103" s="16">
        <v>8.4499999999999993</v>
      </c>
      <c r="I1103" t="s">
        <v>4764</v>
      </c>
      <c r="J1103" t="s">
        <v>4614</v>
      </c>
    </row>
    <row r="1104" spans="1:10">
      <c r="A1104" t="s">
        <v>1466</v>
      </c>
      <c r="B1104" s="2">
        <v>45582</v>
      </c>
      <c r="C1104">
        <v>2024</v>
      </c>
      <c r="D1104" t="s">
        <v>15</v>
      </c>
      <c r="E1104" t="s">
        <v>3832</v>
      </c>
      <c r="F1104" t="s">
        <v>4721</v>
      </c>
      <c r="G1104" t="s">
        <v>4517</v>
      </c>
      <c r="H1104" s="16">
        <v>0.23</v>
      </c>
      <c r="I1104" t="s">
        <v>4764</v>
      </c>
      <c r="J1104" t="s">
        <v>4614</v>
      </c>
    </row>
    <row r="1105" spans="1:10">
      <c r="A1105" t="s">
        <v>1467</v>
      </c>
      <c r="B1105" s="2">
        <v>45590</v>
      </c>
      <c r="C1105">
        <v>2024</v>
      </c>
      <c r="D1105" t="s">
        <v>25</v>
      </c>
      <c r="E1105" t="s">
        <v>47</v>
      </c>
      <c r="F1105" t="s">
        <v>4718</v>
      </c>
      <c r="G1105" t="s">
        <v>4518</v>
      </c>
      <c r="H1105" s="16">
        <v>0.54</v>
      </c>
      <c r="I1105" t="s">
        <v>4764</v>
      </c>
      <c r="J1105" t="s">
        <v>4614</v>
      </c>
    </row>
    <row r="1106" spans="1:10">
      <c r="A1106" t="s">
        <v>1468</v>
      </c>
      <c r="B1106" s="2">
        <v>45598</v>
      </c>
      <c r="C1106">
        <v>2024</v>
      </c>
      <c r="D1106" t="s">
        <v>8</v>
      </c>
      <c r="E1106" t="s">
        <v>215</v>
      </c>
      <c r="F1106" t="s">
        <v>4719</v>
      </c>
      <c r="G1106" t="s">
        <v>4519</v>
      </c>
      <c r="H1106" s="16">
        <v>0.38</v>
      </c>
      <c r="I1106" t="s">
        <v>4764</v>
      </c>
      <c r="J1106" t="s">
        <v>4614</v>
      </c>
    </row>
    <row r="1107" spans="1:10">
      <c r="A1107" t="s">
        <v>1469</v>
      </c>
      <c r="B1107" s="2">
        <v>45599</v>
      </c>
      <c r="C1107">
        <v>2024</v>
      </c>
      <c r="D1107" t="s">
        <v>25</v>
      </c>
      <c r="E1107" t="s">
        <v>3870</v>
      </c>
      <c r="F1107" t="s">
        <v>4718</v>
      </c>
      <c r="G1107" t="s">
        <v>1470</v>
      </c>
      <c r="H1107" s="16">
        <v>0.28000000000000003</v>
      </c>
      <c r="I1107" t="s">
        <v>4764</v>
      </c>
      <c r="J1107" t="s">
        <v>4614</v>
      </c>
    </row>
    <row r="1108" spans="1:10">
      <c r="A1108" t="s">
        <v>1471</v>
      </c>
      <c r="B1108" s="2">
        <v>45600</v>
      </c>
      <c r="C1108">
        <v>2024</v>
      </c>
      <c r="D1108" t="s">
        <v>21</v>
      </c>
      <c r="E1108" t="s">
        <v>47</v>
      </c>
      <c r="F1108" t="s">
        <v>4722</v>
      </c>
      <c r="G1108" t="s">
        <v>4520</v>
      </c>
      <c r="H1108" s="16">
        <v>0.16</v>
      </c>
      <c r="I1108" t="s">
        <v>4764</v>
      </c>
      <c r="J1108" t="s">
        <v>4614</v>
      </c>
    </row>
    <row r="1109" spans="1:10">
      <c r="A1109" t="s">
        <v>1472</v>
      </c>
      <c r="B1109" s="2">
        <v>45602</v>
      </c>
      <c r="C1109">
        <v>2024</v>
      </c>
      <c r="D1109" t="s">
        <v>25</v>
      </c>
      <c r="E1109" t="s">
        <v>3854</v>
      </c>
      <c r="F1109" t="s">
        <v>4718</v>
      </c>
      <c r="G1109" t="s">
        <v>4521</v>
      </c>
      <c r="H1109" s="16">
        <v>0.44</v>
      </c>
      <c r="I1109" t="s">
        <v>4764</v>
      </c>
      <c r="J1109" t="s">
        <v>4614</v>
      </c>
    </row>
    <row r="1110" spans="1:10">
      <c r="A1110" t="s">
        <v>1473</v>
      </c>
      <c r="B1110" s="2">
        <v>45608</v>
      </c>
      <c r="C1110">
        <v>2024</v>
      </c>
      <c r="D1110" t="s">
        <v>33</v>
      </c>
      <c r="E1110" t="s">
        <v>29</v>
      </c>
      <c r="F1110" t="s">
        <v>4723</v>
      </c>
      <c r="G1110" t="s">
        <v>4522</v>
      </c>
      <c r="H1110" s="16">
        <v>0.1</v>
      </c>
      <c r="I1110" t="s">
        <v>4764</v>
      </c>
      <c r="J1110" t="s">
        <v>4614</v>
      </c>
    </row>
    <row r="1111" spans="1:10">
      <c r="A1111" t="s">
        <v>1474</v>
      </c>
      <c r="B1111" s="2">
        <v>45612</v>
      </c>
      <c r="C1111">
        <v>2024</v>
      </c>
      <c r="D1111" t="s">
        <v>25</v>
      </c>
      <c r="E1111" t="s">
        <v>34</v>
      </c>
      <c r="F1111" t="s">
        <v>4718</v>
      </c>
      <c r="G1111" t="s">
        <v>4364</v>
      </c>
      <c r="H1111" s="16">
        <v>7.0000000000000007E-2</v>
      </c>
      <c r="I1111" t="s">
        <v>4764</v>
      </c>
      <c r="J1111" t="s">
        <v>4614</v>
      </c>
    </row>
    <row r="1112" spans="1:10">
      <c r="A1112" t="s">
        <v>1475</v>
      </c>
      <c r="B1112" s="2">
        <v>45615</v>
      </c>
      <c r="C1112">
        <v>2024</v>
      </c>
      <c r="D1112" t="s">
        <v>25</v>
      </c>
      <c r="E1112" t="s">
        <v>45</v>
      </c>
      <c r="F1112" t="s">
        <v>4718</v>
      </c>
      <c r="G1112" t="s">
        <v>1476</v>
      </c>
      <c r="H1112" s="16">
        <v>0.28000000000000003</v>
      </c>
      <c r="I1112" t="s">
        <v>4764</v>
      </c>
      <c r="J1112" t="s">
        <v>4614</v>
      </c>
    </row>
    <row r="1113" spans="1:10">
      <c r="A1113" t="s">
        <v>1477</v>
      </c>
      <c r="B1113" s="2">
        <v>45623</v>
      </c>
      <c r="C1113">
        <v>2024</v>
      </c>
      <c r="D1113" t="s">
        <v>8</v>
      </c>
      <c r="E1113" t="s">
        <v>53</v>
      </c>
      <c r="F1113" t="s">
        <v>4719</v>
      </c>
      <c r="G1113" t="s">
        <v>4523</v>
      </c>
      <c r="H1113" s="16">
        <v>0.4</v>
      </c>
      <c r="I1113" t="s">
        <v>4764</v>
      </c>
      <c r="J1113" t="s">
        <v>4614</v>
      </c>
    </row>
    <row r="1114" spans="1:10">
      <c r="A1114" t="s">
        <v>1478</v>
      </c>
      <c r="B1114" s="2">
        <v>45628</v>
      </c>
      <c r="C1114">
        <v>2024</v>
      </c>
      <c r="D1114" t="s">
        <v>21</v>
      </c>
      <c r="E1114" t="s">
        <v>49</v>
      </c>
      <c r="F1114" t="s">
        <v>4722</v>
      </c>
      <c r="G1114" t="s">
        <v>4411</v>
      </c>
      <c r="H1114" s="16">
        <v>0.16</v>
      </c>
      <c r="I1114" t="s">
        <v>4764</v>
      </c>
      <c r="J1114" t="s">
        <v>4614</v>
      </c>
    </row>
    <row r="1115" spans="1:10">
      <c r="A1115" t="s">
        <v>1479</v>
      </c>
      <c r="B1115" s="2">
        <v>45629</v>
      </c>
      <c r="C1115">
        <v>2024</v>
      </c>
      <c r="D1115" t="s">
        <v>8</v>
      </c>
      <c r="E1115" t="s">
        <v>3846</v>
      </c>
      <c r="F1115" t="s">
        <v>4719</v>
      </c>
      <c r="G1115" t="s">
        <v>4524</v>
      </c>
      <c r="H1115" s="16">
        <v>7.84</v>
      </c>
      <c r="I1115" t="s">
        <v>4764</v>
      </c>
      <c r="J1115" t="s">
        <v>4614</v>
      </c>
    </row>
    <row r="1116" spans="1:10">
      <c r="A1116" t="s">
        <v>1480</v>
      </c>
      <c r="B1116" s="2">
        <v>45636</v>
      </c>
      <c r="C1116">
        <v>2024</v>
      </c>
      <c r="D1116" t="s">
        <v>15</v>
      </c>
      <c r="E1116" t="s">
        <v>3832</v>
      </c>
      <c r="F1116" t="s">
        <v>4721</v>
      </c>
      <c r="G1116" t="s">
        <v>4525</v>
      </c>
      <c r="H1116" s="16">
        <v>0.47</v>
      </c>
      <c r="I1116" t="s">
        <v>4764</v>
      </c>
      <c r="J1116" t="s">
        <v>4614</v>
      </c>
    </row>
    <row r="1117" spans="1:10">
      <c r="A1117" t="s">
        <v>1481</v>
      </c>
      <c r="B1117" s="2">
        <v>45638</v>
      </c>
      <c r="C1117">
        <v>2024</v>
      </c>
      <c r="D1117" t="s">
        <v>8</v>
      </c>
      <c r="E1117" t="s">
        <v>9</v>
      </c>
      <c r="F1117" t="s">
        <v>4719</v>
      </c>
      <c r="G1117" t="s">
        <v>4526</v>
      </c>
      <c r="H1117" s="16">
        <v>6.09</v>
      </c>
      <c r="I1117" t="s">
        <v>4764</v>
      </c>
      <c r="J1117" t="s">
        <v>4614</v>
      </c>
    </row>
    <row r="1118" spans="1:10">
      <c r="A1118" t="s">
        <v>1482</v>
      </c>
      <c r="B1118" s="2">
        <v>45638</v>
      </c>
      <c r="C1118">
        <v>2024</v>
      </c>
      <c r="D1118" t="s">
        <v>25</v>
      </c>
      <c r="E1118" t="s">
        <v>19</v>
      </c>
      <c r="F1118" t="s">
        <v>4718</v>
      </c>
      <c r="G1118" t="s">
        <v>1483</v>
      </c>
      <c r="H1118" s="16">
        <v>0.08</v>
      </c>
      <c r="I1118" t="s">
        <v>4764</v>
      </c>
      <c r="J1118" t="s">
        <v>4614</v>
      </c>
    </row>
    <row r="1119" spans="1:10">
      <c r="A1119" t="s">
        <v>1484</v>
      </c>
      <c r="B1119" s="2">
        <v>45646</v>
      </c>
      <c r="C1119">
        <v>2024</v>
      </c>
      <c r="D1119" t="s">
        <v>12</v>
      </c>
      <c r="E1119" t="s">
        <v>13</v>
      </c>
      <c r="F1119" t="s">
        <v>4720</v>
      </c>
      <c r="G1119" t="s">
        <v>4527</v>
      </c>
      <c r="H1119" s="16">
        <v>0.04</v>
      </c>
      <c r="I1119" t="s">
        <v>4764</v>
      </c>
      <c r="J1119" t="s">
        <v>4614</v>
      </c>
    </row>
    <row r="1120" spans="1:10">
      <c r="A1120" t="s">
        <v>1485</v>
      </c>
      <c r="B1120" s="2">
        <v>45646</v>
      </c>
      <c r="C1120">
        <v>2024</v>
      </c>
      <c r="D1120" t="s">
        <v>12</v>
      </c>
      <c r="E1120" t="s">
        <v>3862</v>
      </c>
      <c r="F1120" t="s">
        <v>4720</v>
      </c>
      <c r="G1120" t="s">
        <v>4528</v>
      </c>
      <c r="H1120" s="16">
        <v>7.0000000000000007E-2</v>
      </c>
      <c r="I1120" t="s">
        <v>4764</v>
      </c>
      <c r="J1120" t="s">
        <v>4614</v>
      </c>
    </row>
    <row r="1121" spans="1:10">
      <c r="A1121" t="s">
        <v>1486</v>
      </c>
      <c r="B1121" s="2">
        <v>45649</v>
      </c>
      <c r="C1121">
        <v>2024</v>
      </c>
      <c r="D1121" t="s">
        <v>25</v>
      </c>
      <c r="E1121" t="s">
        <v>3836</v>
      </c>
      <c r="F1121" t="s">
        <v>4718</v>
      </c>
      <c r="G1121" t="s">
        <v>3915</v>
      </c>
      <c r="H1121" s="16">
        <v>0.04</v>
      </c>
      <c r="I1121" t="s">
        <v>4764</v>
      </c>
      <c r="J1121" t="s">
        <v>4614</v>
      </c>
    </row>
    <row r="1122" spans="1:10">
      <c r="A1122" t="s">
        <v>1487</v>
      </c>
      <c r="B1122" s="2">
        <v>45652</v>
      </c>
      <c r="C1122">
        <v>2024</v>
      </c>
      <c r="D1122" t="s">
        <v>25</v>
      </c>
      <c r="E1122" t="s">
        <v>47</v>
      </c>
      <c r="F1122" t="s">
        <v>4718</v>
      </c>
      <c r="G1122" t="s">
        <v>4004</v>
      </c>
      <c r="H1122" s="16">
        <v>0.33</v>
      </c>
      <c r="I1122" t="s">
        <v>4764</v>
      </c>
      <c r="J1122" t="s">
        <v>4614</v>
      </c>
    </row>
    <row r="1123" spans="1:10">
      <c r="A1123" t="s">
        <v>1488</v>
      </c>
      <c r="B1123" s="2">
        <v>45659</v>
      </c>
      <c r="C1123">
        <v>2025</v>
      </c>
      <c r="D1123" t="s">
        <v>25</v>
      </c>
      <c r="E1123" t="s">
        <v>13</v>
      </c>
      <c r="F1123" t="s">
        <v>4728</v>
      </c>
      <c r="G1123" t="s">
        <v>4529</v>
      </c>
      <c r="H1123" s="16">
        <v>0.14000000000000001</v>
      </c>
      <c r="I1123" t="s">
        <v>4764</v>
      </c>
      <c r="J1123" t="s">
        <v>4614</v>
      </c>
    </row>
    <row r="1124" spans="1:10">
      <c r="A1124" t="s">
        <v>1489</v>
      </c>
      <c r="B1124" s="2">
        <v>45663</v>
      </c>
      <c r="C1124">
        <v>2025</v>
      </c>
      <c r="D1124" t="s">
        <v>21</v>
      </c>
      <c r="E1124" t="s">
        <v>45</v>
      </c>
      <c r="F1124" t="s">
        <v>4729</v>
      </c>
      <c r="G1124" t="s">
        <v>4530</v>
      </c>
      <c r="H1124" s="16">
        <v>0.54</v>
      </c>
      <c r="I1124" t="s">
        <v>4764</v>
      </c>
      <c r="J1124" t="s">
        <v>4614</v>
      </c>
    </row>
    <row r="1125" spans="1:10">
      <c r="A1125" t="s">
        <v>1490</v>
      </c>
      <c r="B1125" s="2">
        <v>45665</v>
      </c>
      <c r="C1125">
        <v>2025</v>
      </c>
      <c r="D1125" t="s">
        <v>25</v>
      </c>
      <c r="E1125" t="s">
        <v>19</v>
      </c>
      <c r="F1125" t="s">
        <v>4728</v>
      </c>
      <c r="G1125" t="s">
        <v>4531</v>
      </c>
      <c r="H1125" s="16">
        <v>0.87</v>
      </c>
      <c r="I1125" t="s">
        <v>4764</v>
      </c>
      <c r="J1125" t="s">
        <v>4614</v>
      </c>
    </row>
    <row r="1126" spans="1:10">
      <c r="A1126" t="s">
        <v>1491</v>
      </c>
      <c r="B1126" s="2">
        <v>45669</v>
      </c>
      <c r="C1126">
        <v>2025</v>
      </c>
      <c r="D1126" t="s">
        <v>12</v>
      </c>
      <c r="E1126" t="s">
        <v>49</v>
      </c>
      <c r="F1126" t="s">
        <v>4730</v>
      </c>
      <c r="G1126" t="s">
        <v>4427</v>
      </c>
      <c r="H1126" s="16">
        <v>0.12</v>
      </c>
      <c r="I1126" t="s">
        <v>4764</v>
      </c>
      <c r="J1126" t="s">
        <v>4614</v>
      </c>
    </row>
    <row r="1127" spans="1:10">
      <c r="A1127" t="s">
        <v>1492</v>
      </c>
      <c r="B1127" s="2">
        <v>45671</v>
      </c>
      <c r="C1127">
        <v>2025</v>
      </c>
      <c r="D1127" t="s">
        <v>12</v>
      </c>
      <c r="E1127" t="s">
        <v>13</v>
      </c>
      <c r="F1127" t="s">
        <v>4730</v>
      </c>
      <c r="G1127" t="s">
        <v>1493</v>
      </c>
      <c r="H1127" s="16">
        <v>0.82</v>
      </c>
      <c r="I1127" t="s">
        <v>4764</v>
      </c>
      <c r="J1127" t="s">
        <v>4614</v>
      </c>
    </row>
    <row r="1128" spans="1:10">
      <c r="A1128" t="s">
        <v>1494</v>
      </c>
      <c r="B1128" s="2">
        <v>45673</v>
      </c>
      <c r="C1128">
        <v>2025</v>
      </c>
      <c r="D1128" t="s">
        <v>33</v>
      </c>
      <c r="E1128" t="s">
        <v>49</v>
      </c>
      <c r="F1128" t="s">
        <v>4731</v>
      </c>
      <c r="G1128" t="s">
        <v>4532</v>
      </c>
      <c r="H1128" s="16">
        <v>0.05</v>
      </c>
      <c r="I1128" t="s">
        <v>4764</v>
      </c>
      <c r="J1128" t="s">
        <v>4614</v>
      </c>
    </row>
    <row r="1129" spans="1:10">
      <c r="A1129" t="s">
        <v>1495</v>
      </c>
      <c r="B1129" s="2">
        <v>45674</v>
      </c>
      <c r="C1129">
        <v>2025</v>
      </c>
      <c r="D1129" t="s">
        <v>25</v>
      </c>
      <c r="E1129" t="s">
        <v>3836</v>
      </c>
      <c r="F1129" t="s">
        <v>4728</v>
      </c>
      <c r="G1129" t="s">
        <v>4533</v>
      </c>
      <c r="H1129" s="16">
        <v>0.08</v>
      </c>
      <c r="I1129" t="s">
        <v>4764</v>
      </c>
      <c r="J1129" t="s">
        <v>4614</v>
      </c>
    </row>
    <row r="1130" spans="1:10">
      <c r="A1130" t="s">
        <v>1496</v>
      </c>
      <c r="B1130" s="2">
        <v>45674</v>
      </c>
      <c r="C1130">
        <v>2025</v>
      </c>
      <c r="D1130" t="s">
        <v>25</v>
      </c>
      <c r="E1130" t="s">
        <v>3839</v>
      </c>
      <c r="F1130" t="s">
        <v>4728</v>
      </c>
      <c r="G1130" t="s">
        <v>4534</v>
      </c>
      <c r="H1130" s="16">
        <v>0.34</v>
      </c>
      <c r="I1130" t="s">
        <v>4764</v>
      </c>
      <c r="J1130" t="s">
        <v>4614</v>
      </c>
    </row>
    <row r="1131" spans="1:10">
      <c r="A1131" t="s">
        <v>1497</v>
      </c>
      <c r="B1131" s="2">
        <v>45675</v>
      </c>
      <c r="C1131">
        <v>2025</v>
      </c>
      <c r="D1131" t="s">
        <v>21</v>
      </c>
      <c r="E1131" t="s">
        <v>29</v>
      </c>
      <c r="F1131" t="s">
        <v>4729</v>
      </c>
      <c r="G1131" t="s">
        <v>1498</v>
      </c>
      <c r="H1131" s="16">
        <v>0.04</v>
      </c>
      <c r="I1131" t="s">
        <v>4764</v>
      </c>
      <c r="J1131" t="s">
        <v>4614</v>
      </c>
    </row>
    <row r="1132" spans="1:10">
      <c r="A1132" t="s">
        <v>1499</v>
      </c>
      <c r="B1132" s="2">
        <v>45675</v>
      </c>
      <c r="C1132">
        <v>2025</v>
      </c>
      <c r="D1132" t="s">
        <v>21</v>
      </c>
      <c r="E1132" t="s">
        <v>45</v>
      </c>
      <c r="F1132" t="s">
        <v>4729</v>
      </c>
      <c r="G1132" t="s">
        <v>4535</v>
      </c>
      <c r="H1132" s="16">
        <v>0.34</v>
      </c>
      <c r="I1132" t="s">
        <v>4764</v>
      </c>
      <c r="J1132" t="s">
        <v>4614</v>
      </c>
    </row>
    <row r="1133" spans="1:10">
      <c r="A1133" t="s">
        <v>1500</v>
      </c>
      <c r="B1133" s="2">
        <v>45679</v>
      </c>
      <c r="C1133">
        <v>2025</v>
      </c>
      <c r="D1133" t="s">
        <v>8</v>
      </c>
      <c r="E1133" t="s">
        <v>376</v>
      </c>
      <c r="F1133" t="s">
        <v>4732</v>
      </c>
      <c r="G1133" t="s">
        <v>4251</v>
      </c>
      <c r="H1133" s="16">
        <v>9.64</v>
      </c>
      <c r="I1133" t="s">
        <v>4764</v>
      </c>
      <c r="J1133" t="s">
        <v>4614</v>
      </c>
    </row>
    <row r="1134" spans="1:10">
      <c r="A1134" t="s">
        <v>1501</v>
      </c>
      <c r="B1134" s="2">
        <v>45690</v>
      </c>
      <c r="C1134">
        <v>2025</v>
      </c>
      <c r="D1134" t="s">
        <v>8</v>
      </c>
      <c r="E1134" t="s">
        <v>3846</v>
      </c>
      <c r="F1134" t="s">
        <v>4732</v>
      </c>
      <c r="G1134" t="s">
        <v>995</v>
      </c>
      <c r="H1134" s="16">
        <v>1.84</v>
      </c>
      <c r="I1134" t="s">
        <v>4764</v>
      </c>
      <c r="J1134" t="s">
        <v>4614</v>
      </c>
    </row>
    <row r="1135" spans="1:10">
      <c r="A1135" t="s">
        <v>1502</v>
      </c>
      <c r="B1135" s="2">
        <v>45694</v>
      </c>
      <c r="C1135">
        <v>2025</v>
      </c>
      <c r="D1135" t="s">
        <v>12</v>
      </c>
      <c r="E1135" t="s">
        <v>3839</v>
      </c>
      <c r="F1135" t="s">
        <v>4730</v>
      </c>
      <c r="G1135" t="s">
        <v>4090</v>
      </c>
      <c r="H1135" s="16">
        <v>0.02</v>
      </c>
      <c r="I1135" t="s">
        <v>4764</v>
      </c>
      <c r="J1135" t="s">
        <v>4614</v>
      </c>
    </row>
    <row r="1136" spans="1:10">
      <c r="A1136" t="s">
        <v>1503</v>
      </c>
      <c r="B1136" s="2">
        <v>45703</v>
      </c>
      <c r="C1136">
        <v>2025</v>
      </c>
      <c r="D1136" t="s">
        <v>25</v>
      </c>
      <c r="E1136" t="s">
        <v>4257</v>
      </c>
      <c r="F1136" t="s">
        <v>4733</v>
      </c>
      <c r="G1136" t="s">
        <v>1504</v>
      </c>
      <c r="H1136" s="16">
        <v>0.35</v>
      </c>
      <c r="I1136" t="s">
        <v>4764</v>
      </c>
      <c r="J1136" t="s">
        <v>4613</v>
      </c>
    </row>
    <row r="1137" spans="1:10">
      <c r="A1137" t="s">
        <v>1505</v>
      </c>
      <c r="B1137" s="2">
        <v>45708</v>
      </c>
      <c r="C1137">
        <v>2025</v>
      </c>
      <c r="D1137" t="s">
        <v>25</v>
      </c>
      <c r="E1137" t="s">
        <v>29</v>
      </c>
      <c r="F1137" t="s">
        <v>4728</v>
      </c>
      <c r="G1137" t="s">
        <v>4536</v>
      </c>
      <c r="H1137" s="16">
        <v>0.05</v>
      </c>
      <c r="I1137" t="s">
        <v>4764</v>
      </c>
      <c r="J1137" t="s">
        <v>4614</v>
      </c>
    </row>
    <row r="1138" spans="1:10">
      <c r="A1138" t="s">
        <v>1506</v>
      </c>
      <c r="B1138" s="2">
        <v>45711</v>
      </c>
      <c r="C1138">
        <v>2025</v>
      </c>
      <c r="D1138" t="s">
        <v>33</v>
      </c>
      <c r="E1138" t="s">
        <v>72</v>
      </c>
      <c r="F1138" t="s">
        <v>4731</v>
      </c>
      <c r="G1138" t="s">
        <v>4537</v>
      </c>
      <c r="H1138" s="16">
        <v>0.4</v>
      </c>
      <c r="I1138" t="s">
        <v>4764</v>
      </c>
      <c r="J1138" t="s">
        <v>4614</v>
      </c>
    </row>
    <row r="1139" spans="1:10">
      <c r="A1139" t="s">
        <v>1507</v>
      </c>
      <c r="B1139" s="2">
        <v>45712</v>
      </c>
      <c r="C1139">
        <v>2025</v>
      </c>
      <c r="D1139" t="s">
        <v>8</v>
      </c>
      <c r="E1139" t="s">
        <v>3903</v>
      </c>
      <c r="F1139" t="s">
        <v>4732</v>
      </c>
      <c r="G1139" t="s">
        <v>1508</v>
      </c>
      <c r="H1139" s="16">
        <v>1.52</v>
      </c>
      <c r="I1139" t="s">
        <v>4764</v>
      </c>
      <c r="J1139" t="s">
        <v>4614</v>
      </c>
    </row>
    <row r="1140" spans="1:10">
      <c r="A1140" t="s">
        <v>1509</v>
      </c>
      <c r="B1140" s="2">
        <v>45718</v>
      </c>
      <c r="C1140">
        <v>2025</v>
      </c>
      <c r="D1140" t="s">
        <v>8</v>
      </c>
      <c r="E1140" t="s">
        <v>17</v>
      </c>
      <c r="F1140" t="s">
        <v>4732</v>
      </c>
      <c r="G1140" t="s">
        <v>3902</v>
      </c>
      <c r="H1140" s="16">
        <v>11</v>
      </c>
      <c r="I1140" t="s">
        <v>4763</v>
      </c>
      <c r="J1140" t="s">
        <v>4614</v>
      </c>
    </row>
    <row r="1141" spans="1:10">
      <c r="A1141" t="s">
        <v>1510</v>
      </c>
      <c r="B1141" s="2">
        <v>45718</v>
      </c>
      <c r="C1141">
        <v>2025</v>
      </c>
      <c r="D1141" t="s">
        <v>25</v>
      </c>
      <c r="E1141" t="s">
        <v>3836</v>
      </c>
      <c r="F1141" t="s">
        <v>4728</v>
      </c>
      <c r="G1141" t="s">
        <v>4538</v>
      </c>
      <c r="H1141" s="16">
        <v>0.11</v>
      </c>
      <c r="I1141" t="s">
        <v>4764</v>
      </c>
      <c r="J1141" t="s">
        <v>4614</v>
      </c>
    </row>
    <row r="1142" spans="1:10">
      <c r="A1142" t="s">
        <v>1511</v>
      </c>
      <c r="B1142" s="2">
        <v>45727</v>
      </c>
      <c r="C1142">
        <v>2025</v>
      </c>
      <c r="D1142" t="s">
        <v>33</v>
      </c>
      <c r="E1142" t="s">
        <v>29</v>
      </c>
      <c r="F1142" t="s">
        <v>4731</v>
      </c>
      <c r="G1142" t="s">
        <v>1512</v>
      </c>
      <c r="H1142" s="16">
        <v>0.04</v>
      </c>
      <c r="I1142" t="s">
        <v>4764</v>
      </c>
      <c r="J1142" t="s">
        <v>4614</v>
      </c>
    </row>
    <row r="1143" spans="1:10">
      <c r="A1143" t="s">
        <v>1513</v>
      </c>
      <c r="B1143" s="2">
        <v>45730</v>
      </c>
      <c r="C1143">
        <v>2025</v>
      </c>
      <c r="D1143" t="s">
        <v>12</v>
      </c>
      <c r="E1143" t="s">
        <v>49</v>
      </c>
      <c r="F1143" t="s">
        <v>4730</v>
      </c>
      <c r="G1143" t="s">
        <v>4539</v>
      </c>
      <c r="H1143" s="16">
        <v>0.66</v>
      </c>
      <c r="I1143" t="s">
        <v>4764</v>
      </c>
      <c r="J1143" t="s">
        <v>4614</v>
      </c>
    </row>
    <row r="1144" spans="1:10">
      <c r="A1144" t="s">
        <v>1514</v>
      </c>
      <c r="B1144" s="2">
        <v>45731</v>
      </c>
      <c r="C1144">
        <v>2025</v>
      </c>
      <c r="D1144" t="s">
        <v>8</v>
      </c>
      <c r="E1144" t="s">
        <v>3903</v>
      </c>
      <c r="F1144" t="s">
        <v>4732</v>
      </c>
      <c r="G1144" t="s">
        <v>4540</v>
      </c>
      <c r="H1144" s="16">
        <v>0.59</v>
      </c>
      <c r="I1144" t="s">
        <v>4764</v>
      </c>
      <c r="J1144" t="s">
        <v>4614</v>
      </c>
    </row>
    <row r="1145" spans="1:10">
      <c r="A1145" t="s">
        <v>1515</v>
      </c>
      <c r="B1145" s="2">
        <v>45733</v>
      </c>
      <c r="C1145">
        <v>2025</v>
      </c>
      <c r="D1145" t="s">
        <v>12</v>
      </c>
      <c r="E1145" t="s">
        <v>72</v>
      </c>
      <c r="F1145" t="s">
        <v>4730</v>
      </c>
      <c r="G1145" t="s">
        <v>4541</v>
      </c>
      <c r="H1145" s="16">
        <v>0.65</v>
      </c>
      <c r="I1145" t="s">
        <v>4764</v>
      </c>
      <c r="J1145" t="s">
        <v>4614</v>
      </c>
    </row>
    <row r="1146" spans="1:10">
      <c r="A1146" t="s">
        <v>1516</v>
      </c>
      <c r="B1146" s="2">
        <v>45737</v>
      </c>
      <c r="C1146">
        <v>2025</v>
      </c>
      <c r="D1146" t="s">
        <v>25</v>
      </c>
      <c r="E1146" t="s">
        <v>3839</v>
      </c>
      <c r="F1146" t="s">
        <v>4728</v>
      </c>
      <c r="G1146" t="s">
        <v>4542</v>
      </c>
      <c r="H1146" s="16">
        <v>1.1599999999999999</v>
      </c>
      <c r="I1146" t="s">
        <v>4764</v>
      </c>
      <c r="J1146" t="s">
        <v>4614</v>
      </c>
    </row>
    <row r="1147" spans="1:10">
      <c r="A1147" t="s">
        <v>1517</v>
      </c>
      <c r="B1147" s="2">
        <v>45739</v>
      </c>
      <c r="C1147">
        <v>2025</v>
      </c>
      <c r="D1147" t="s">
        <v>8</v>
      </c>
      <c r="E1147" t="s">
        <v>17</v>
      </c>
      <c r="F1147" t="s">
        <v>4732</v>
      </c>
      <c r="G1147" t="s">
        <v>4227</v>
      </c>
      <c r="H1147" s="16">
        <v>0.57999999999999996</v>
      </c>
      <c r="I1147" t="s">
        <v>4764</v>
      </c>
      <c r="J1147" t="s">
        <v>4614</v>
      </c>
    </row>
    <row r="1148" spans="1:10">
      <c r="A1148" t="s">
        <v>1518</v>
      </c>
      <c r="B1148" s="2">
        <v>45750</v>
      </c>
      <c r="C1148">
        <v>2025</v>
      </c>
      <c r="D1148" t="s">
        <v>33</v>
      </c>
      <c r="E1148" t="s">
        <v>47</v>
      </c>
      <c r="F1148" t="s">
        <v>4731</v>
      </c>
      <c r="G1148" t="s">
        <v>4191</v>
      </c>
      <c r="H1148" s="16">
        <v>0.04</v>
      </c>
      <c r="I1148" t="s">
        <v>4764</v>
      </c>
      <c r="J1148" t="s">
        <v>4614</v>
      </c>
    </row>
    <row r="1149" spans="1:10">
      <c r="A1149" t="s">
        <v>1519</v>
      </c>
      <c r="B1149" s="2">
        <v>45763</v>
      </c>
      <c r="C1149">
        <v>2025</v>
      </c>
      <c r="D1149" t="s">
        <v>25</v>
      </c>
      <c r="E1149" t="s">
        <v>72</v>
      </c>
      <c r="F1149" t="s">
        <v>4728</v>
      </c>
      <c r="G1149" t="s">
        <v>4478</v>
      </c>
      <c r="H1149" s="16">
        <v>0.47</v>
      </c>
      <c r="I1149" t="s">
        <v>4764</v>
      </c>
      <c r="J1149" t="s">
        <v>4614</v>
      </c>
    </row>
    <row r="1150" spans="1:10">
      <c r="A1150" t="s">
        <v>1520</v>
      </c>
      <c r="B1150" s="2">
        <v>45764</v>
      </c>
      <c r="C1150">
        <v>2025</v>
      </c>
      <c r="D1150" t="s">
        <v>25</v>
      </c>
      <c r="E1150" t="s">
        <v>45</v>
      </c>
      <c r="F1150" t="s">
        <v>4728</v>
      </c>
      <c r="G1150" t="s">
        <v>1521</v>
      </c>
      <c r="H1150" s="16">
        <v>7.0000000000000007E-2</v>
      </c>
      <c r="I1150" t="s">
        <v>4764</v>
      </c>
      <c r="J1150" t="s">
        <v>4614</v>
      </c>
    </row>
    <row r="1151" spans="1:10">
      <c r="A1151" t="s">
        <v>1522</v>
      </c>
      <c r="B1151" s="2">
        <v>45769</v>
      </c>
      <c r="C1151">
        <v>2025</v>
      </c>
      <c r="D1151" t="s">
        <v>25</v>
      </c>
      <c r="E1151" t="s">
        <v>3839</v>
      </c>
      <c r="F1151" t="s">
        <v>4728</v>
      </c>
      <c r="G1151" t="s">
        <v>4543</v>
      </c>
      <c r="H1151" s="16">
        <v>0.43</v>
      </c>
      <c r="I1151" t="s">
        <v>4764</v>
      </c>
      <c r="J1151" t="s">
        <v>4614</v>
      </c>
    </row>
    <row r="1152" spans="1:10">
      <c r="A1152" t="s">
        <v>1523</v>
      </c>
      <c r="B1152" s="2">
        <v>45789</v>
      </c>
      <c r="C1152">
        <v>2025</v>
      </c>
      <c r="D1152" t="s">
        <v>8</v>
      </c>
      <c r="E1152" t="s">
        <v>31</v>
      </c>
      <c r="F1152" t="s">
        <v>4732</v>
      </c>
      <c r="G1152" t="s">
        <v>4465</v>
      </c>
      <c r="H1152" s="16">
        <v>0.92</v>
      </c>
      <c r="I1152" t="s">
        <v>4764</v>
      </c>
      <c r="J1152" t="s">
        <v>4614</v>
      </c>
    </row>
    <row r="1153" spans="1:10">
      <c r="A1153" t="s">
        <v>1524</v>
      </c>
      <c r="B1153" s="2">
        <v>45790</v>
      </c>
      <c r="C1153">
        <v>2025</v>
      </c>
      <c r="D1153" t="s">
        <v>15</v>
      </c>
      <c r="E1153" t="s">
        <v>3832</v>
      </c>
      <c r="F1153" t="s">
        <v>4734</v>
      </c>
      <c r="G1153" t="s">
        <v>4544</v>
      </c>
      <c r="H1153" s="16">
        <v>0.54</v>
      </c>
      <c r="I1153" t="s">
        <v>4764</v>
      </c>
      <c r="J1153" t="s">
        <v>4614</v>
      </c>
    </row>
    <row r="1154" spans="1:10">
      <c r="A1154" t="s">
        <v>1525</v>
      </c>
      <c r="B1154" s="2">
        <v>45791</v>
      </c>
      <c r="C1154">
        <v>2025</v>
      </c>
      <c r="D1154" t="s">
        <v>33</v>
      </c>
      <c r="E1154" t="s">
        <v>3854</v>
      </c>
      <c r="F1154" t="s">
        <v>4731</v>
      </c>
      <c r="G1154" t="s">
        <v>4545</v>
      </c>
      <c r="H1154" s="16">
        <v>0.12</v>
      </c>
      <c r="I1154" t="s">
        <v>4764</v>
      </c>
      <c r="J1154" t="s">
        <v>4614</v>
      </c>
    </row>
    <row r="1155" spans="1:10">
      <c r="A1155" t="s">
        <v>1526</v>
      </c>
      <c r="B1155" s="2">
        <v>45791</v>
      </c>
      <c r="C1155">
        <v>2025</v>
      </c>
      <c r="D1155" t="s">
        <v>8</v>
      </c>
      <c r="E1155" t="s">
        <v>3903</v>
      </c>
      <c r="F1155" t="s">
        <v>4732</v>
      </c>
      <c r="G1155" t="s">
        <v>3908</v>
      </c>
      <c r="H1155" s="16">
        <v>0.6</v>
      </c>
      <c r="I1155" t="s">
        <v>4764</v>
      </c>
      <c r="J1155" t="s">
        <v>4614</v>
      </c>
    </row>
    <row r="1156" spans="1:10">
      <c r="A1156" t="s">
        <v>1527</v>
      </c>
      <c r="B1156" s="2">
        <v>45792</v>
      </c>
      <c r="C1156">
        <v>2025</v>
      </c>
      <c r="D1156" t="s">
        <v>12</v>
      </c>
      <c r="E1156" t="s">
        <v>49</v>
      </c>
      <c r="F1156" t="s">
        <v>4730</v>
      </c>
      <c r="G1156" t="s">
        <v>1528</v>
      </c>
      <c r="H1156" s="16">
        <v>0.28999999999999998</v>
      </c>
      <c r="I1156" t="s">
        <v>4764</v>
      </c>
      <c r="J1156" t="s">
        <v>4614</v>
      </c>
    </row>
    <row r="1157" spans="1:10">
      <c r="A1157" t="s">
        <v>1529</v>
      </c>
      <c r="B1157" s="2">
        <v>45797</v>
      </c>
      <c r="C1157">
        <v>2025</v>
      </c>
      <c r="D1157" t="s">
        <v>12</v>
      </c>
      <c r="E1157" t="s">
        <v>3839</v>
      </c>
      <c r="F1157" t="s">
        <v>4730</v>
      </c>
      <c r="G1157" t="s">
        <v>1530</v>
      </c>
      <c r="H1157" s="16">
        <v>0.06</v>
      </c>
      <c r="I1157" t="s">
        <v>4764</v>
      </c>
      <c r="J1157" t="s">
        <v>4614</v>
      </c>
    </row>
    <row r="1158" spans="1:10">
      <c r="A1158" t="s">
        <v>1531</v>
      </c>
      <c r="B1158" s="2">
        <v>45799</v>
      </c>
      <c r="C1158">
        <v>2025</v>
      </c>
      <c r="D1158" t="s">
        <v>25</v>
      </c>
      <c r="E1158" t="s">
        <v>3854</v>
      </c>
      <c r="F1158" t="s">
        <v>4728</v>
      </c>
      <c r="G1158" t="s">
        <v>1532</v>
      </c>
      <c r="H1158" s="16">
        <v>7.0000000000000007E-2</v>
      </c>
      <c r="I1158" t="s">
        <v>4764</v>
      </c>
      <c r="J1158" t="s">
        <v>4614</v>
      </c>
    </row>
    <row r="1159" spans="1:10">
      <c r="A1159" t="s">
        <v>1533</v>
      </c>
      <c r="B1159" s="2">
        <v>45799</v>
      </c>
      <c r="C1159">
        <v>2025</v>
      </c>
      <c r="D1159" t="s">
        <v>8</v>
      </c>
      <c r="E1159" t="s">
        <v>215</v>
      </c>
      <c r="F1159" t="s">
        <v>4732</v>
      </c>
      <c r="G1159" t="s">
        <v>1534</v>
      </c>
      <c r="H1159" s="16">
        <v>25.59</v>
      </c>
      <c r="I1159" t="s">
        <v>4763</v>
      </c>
      <c r="J1159" t="s">
        <v>4614</v>
      </c>
    </row>
    <row r="1160" spans="1:10">
      <c r="A1160" t="s">
        <v>1535</v>
      </c>
      <c r="B1160" s="2">
        <v>45803</v>
      </c>
      <c r="C1160">
        <v>2025</v>
      </c>
      <c r="D1160" t="s">
        <v>33</v>
      </c>
      <c r="E1160" t="s">
        <v>19</v>
      </c>
      <c r="F1160" t="s">
        <v>4731</v>
      </c>
      <c r="G1160" t="s">
        <v>827</v>
      </c>
      <c r="H1160" s="16">
        <v>0.04</v>
      </c>
      <c r="I1160" t="s">
        <v>4764</v>
      </c>
      <c r="J1160" t="s">
        <v>4614</v>
      </c>
    </row>
    <row r="1161" spans="1:10">
      <c r="A1161" t="s">
        <v>1536</v>
      </c>
      <c r="B1161" s="2">
        <v>45809</v>
      </c>
      <c r="C1161">
        <v>2025</v>
      </c>
      <c r="D1161" t="s">
        <v>33</v>
      </c>
      <c r="E1161" t="s">
        <v>3839</v>
      </c>
      <c r="F1161" t="s">
        <v>4731</v>
      </c>
      <c r="G1161" t="s">
        <v>1537</v>
      </c>
      <c r="H1161" s="16">
        <v>0.22</v>
      </c>
      <c r="I1161" t="s">
        <v>4764</v>
      </c>
      <c r="J1161" t="s">
        <v>4614</v>
      </c>
    </row>
    <row r="1162" spans="1:10">
      <c r="A1162" t="s">
        <v>1538</v>
      </c>
      <c r="B1162" s="2">
        <v>45825</v>
      </c>
      <c r="C1162">
        <v>2025</v>
      </c>
      <c r="D1162" t="s">
        <v>8</v>
      </c>
      <c r="E1162" t="s">
        <v>215</v>
      </c>
      <c r="F1162" t="s">
        <v>4732</v>
      </c>
      <c r="G1162" t="s">
        <v>4546</v>
      </c>
      <c r="H1162" s="16">
        <v>0.17</v>
      </c>
      <c r="I1162" t="s">
        <v>4764</v>
      </c>
      <c r="J1162" t="s">
        <v>4614</v>
      </c>
    </row>
    <row r="1163" spans="1:10">
      <c r="A1163" t="s">
        <v>1539</v>
      </c>
      <c r="B1163" s="2">
        <v>45834</v>
      </c>
      <c r="C1163">
        <v>2025</v>
      </c>
      <c r="D1163" t="s">
        <v>25</v>
      </c>
      <c r="E1163" t="s">
        <v>47</v>
      </c>
      <c r="F1163" t="s">
        <v>4728</v>
      </c>
      <c r="G1163" t="s">
        <v>4547</v>
      </c>
      <c r="H1163" s="16">
        <v>7.0000000000000007E-2</v>
      </c>
      <c r="I1163" t="s">
        <v>4764</v>
      </c>
      <c r="J1163" t="s">
        <v>4614</v>
      </c>
    </row>
    <row r="1164" spans="1:10">
      <c r="A1164" t="s">
        <v>1540</v>
      </c>
      <c r="B1164" s="2">
        <v>45841</v>
      </c>
      <c r="C1164">
        <v>2025</v>
      </c>
      <c r="D1164" t="s">
        <v>21</v>
      </c>
      <c r="E1164" t="s">
        <v>3854</v>
      </c>
      <c r="F1164" t="s">
        <v>4729</v>
      </c>
      <c r="G1164" t="s">
        <v>4548</v>
      </c>
      <c r="H1164" s="16">
        <v>0.13</v>
      </c>
      <c r="I1164" t="s">
        <v>4764</v>
      </c>
      <c r="J1164" t="s">
        <v>4614</v>
      </c>
    </row>
    <row r="1165" spans="1:10">
      <c r="A1165" t="s">
        <v>1541</v>
      </c>
      <c r="B1165" s="2">
        <v>45847</v>
      </c>
      <c r="C1165">
        <v>2025</v>
      </c>
      <c r="D1165" t="s">
        <v>25</v>
      </c>
      <c r="E1165" t="s">
        <v>3862</v>
      </c>
      <c r="F1165" t="s">
        <v>4728</v>
      </c>
      <c r="G1165" t="s">
        <v>4549</v>
      </c>
      <c r="H1165" s="16">
        <v>7.0000000000000007E-2</v>
      </c>
      <c r="I1165" t="s">
        <v>4764</v>
      </c>
      <c r="J1165" t="s">
        <v>4614</v>
      </c>
    </row>
    <row r="1166" spans="1:10">
      <c r="A1166" t="s">
        <v>1542</v>
      </c>
      <c r="B1166" s="2">
        <v>45855</v>
      </c>
      <c r="C1166">
        <v>2025</v>
      </c>
      <c r="D1166" t="s">
        <v>15</v>
      </c>
      <c r="E1166" t="s">
        <v>3832</v>
      </c>
      <c r="F1166" t="s">
        <v>4734</v>
      </c>
      <c r="G1166" t="s">
        <v>1543</v>
      </c>
      <c r="H1166" s="16">
        <v>0.72</v>
      </c>
      <c r="I1166" t="s">
        <v>4764</v>
      </c>
      <c r="J1166" t="s">
        <v>4614</v>
      </c>
    </row>
    <row r="1167" spans="1:10">
      <c r="A1167" t="s">
        <v>1544</v>
      </c>
      <c r="B1167" s="2">
        <v>45859</v>
      </c>
      <c r="C1167">
        <v>2025</v>
      </c>
      <c r="D1167" t="s">
        <v>25</v>
      </c>
      <c r="E1167" t="s">
        <v>3862</v>
      </c>
      <c r="F1167" t="s">
        <v>4728</v>
      </c>
      <c r="G1167" t="s">
        <v>4550</v>
      </c>
      <c r="H1167" s="16">
        <v>0.63</v>
      </c>
      <c r="I1167" t="s">
        <v>4764</v>
      </c>
      <c r="J1167" t="s">
        <v>4614</v>
      </c>
    </row>
    <row r="1168" spans="1:10">
      <c r="A1168" t="s">
        <v>1545</v>
      </c>
      <c r="B1168" s="2">
        <v>45874</v>
      </c>
      <c r="C1168">
        <v>2025</v>
      </c>
      <c r="D1168" t="s">
        <v>25</v>
      </c>
      <c r="E1168" t="s">
        <v>29</v>
      </c>
      <c r="F1168" t="s">
        <v>4728</v>
      </c>
      <c r="G1168" t="s">
        <v>1546</v>
      </c>
      <c r="H1168" s="16">
        <v>7.0000000000000007E-2</v>
      </c>
      <c r="I1168" t="s">
        <v>4764</v>
      </c>
      <c r="J1168" t="s">
        <v>4614</v>
      </c>
    </row>
    <row r="1169" spans="1:10">
      <c r="A1169" t="s">
        <v>1547</v>
      </c>
      <c r="B1169" s="2">
        <v>45880</v>
      </c>
      <c r="C1169">
        <v>2025</v>
      </c>
      <c r="D1169" t="s">
        <v>25</v>
      </c>
      <c r="E1169" t="s">
        <v>3870</v>
      </c>
      <c r="F1169" t="s">
        <v>4728</v>
      </c>
      <c r="G1169" t="s">
        <v>4551</v>
      </c>
      <c r="H1169" s="16">
        <v>0.14000000000000001</v>
      </c>
      <c r="I1169" t="s">
        <v>4764</v>
      </c>
      <c r="J1169" t="s">
        <v>4614</v>
      </c>
    </row>
    <row r="1170" spans="1:10">
      <c r="A1170" t="s">
        <v>1548</v>
      </c>
      <c r="B1170" s="2">
        <v>45890</v>
      </c>
      <c r="C1170">
        <v>2025</v>
      </c>
      <c r="D1170" t="s">
        <v>8</v>
      </c>
      <c r="E1170" t="s">
        <v>3860</v>
      </c>
      <c r="F1170" t="s">
        <v>4732</v>
      </c>
      <c r="G1170" t="s">
        <v>4552</v>
      </c>
      <c r="H1170" s="16">
        <v>0.03</v>
      </c>
      <c r="I1170" t="s">
        <v>4764</v>
      </c>
      <c r="J1170" t="s">
        <v>4614</v>
      </c>
    </row>
    <row r="1171" spans="1:10">
      <c r="A1171" t="s">
        <v>1549</v>
      </c>
      <c r="B1171" s="2">
        <v>45890</v>
      </c>
      <c r="C1171">
        <v>2025</v>
      </c>
      <c r="D1171" t="s">
        <v>25</v>
      </c>
      <c r="E1171" t="s">
        <v>47</v>
      </c>
      <c r="F1171" t="s">
        <v>4728</v>
      </c>
      <c r="G1171" t="s">
        <v>4553</v>
      </c>
      <c r="H1171" s="16">
        <v>2.5299999999999998</v>
      </c>
      <c r="I1171" t="s">
        <v>4764</v>
      </c>
      <c r="J1171" t="s">
        <v>4614</v>
      </c>
    </row>
    <row r="1172" spans="1:10">
      <c r="A1172" t="s">
        <v>1550</v>
      </c>
      <c r="B1172" s="2">
        <v>45895</v>
      </c>
      <c r="C1172">
        <v>2025</v>
      </c>
      <c r="D1172" t="s">
        <v>25</v>
      </c>
      <c r="E1172" t="s">
        <v>34</v>
      </c>
      <c r="F1172" t="s">
        <v>4728</v>
      </c>
      <c r="G1172" t="s">
        <v>4554</v>
      </c>
      <c r="H1172" s="16">
        <v>0.12</v>
      </c>
      <c r="I1172" t="s">
        <v>4764</v>
      </c>
      <c r="J1172" t="s">
        <v>4614</v>
      </c>
    </row>
    <row r="1173" spans="1:10">
      <c r="A1173" t="s">
        <v>1551</v>
      </c>
      <c r="B1173" s="2">
        <v>45907</v>
      </c>
      <c r="C1173">
        <v>2025</v>
      </c>
      <c r="D1173" t="s">
        <v>25</v>
      </c>
      <c r="E1173" t="s">
        <v>29</v>
      </c>
      <c r="F1173" t="s">
        <v>4728</v>
      </c>
      <c r="G1173" t="s">
        <v>1552</v>
      </c>
      <c r="H1173" s="16">
        <v>0.18</v>
      </c>
      <c r="I1173" t="s">
        <v>4764</v>
      </c>
      <c r="J1173" t="s">
        <v>4614</v>
      </c>
    </row>
    <row r="1174" spans="1:10">
      <c r="A1174" t="s">
        <v>1553</v>
      </c>
      <c r="B1174" s="2">
        <v>45908</v>
      </c>
      <c r="C1174">
        <v>2025</v>
      </c>
      <c r="D1174" t="s">
        <v>25</v>
      </c>
      <c r="E1174" t="s">
        <v>3870</v>
      </c>
      <c r="F1174" t="s">
        <v>4728</v>
      </c>
      <c r="G1174" t="s">
        <v>1554</v>
      </c>
      <c r="H1174" s="16">
        <v>0.52</v>
      </c>
      <c r="I1174" t="s">
        <v>4764</v>
      </c>
      <c r="J1174" t="s">
        <v>4614</v>
      </c>
    </row>
    <row r="1175" spans="1:10">
      <c r="A1175" t="s">
        <v>1555</v>
      </c>
      <c r="B1175" s="2">
        <v>45909</v>
      </c>
      <c r="C1175">
        <v>2025</v>
      </c>
      <c r="D1175" t="s">
        <v>12</v>
      </c>
      <c r="E1175" t="s">
        <v>19</v>
      </c>
      <c r="F1175" t="s">
        <v>4730</v>
      </c>
      <c r="G1175" t="s">
        <v>1556</v>
      </c>
      <c r="H1175" s="16">
        <v>0.15</v>
      </c>
      <c r="I1175" t="s">
        <v>4764</v>
      </c>
      <c r="J1175" t="s">
        <v>4614</v>
      </c>
    </row>
    <row r="1176" spans="1:10">
      <c r="A1176" t="s">
        <v>1557</v>
      </c>
      <c r="B1176" s="2">
        <v>45909</v>
      </c>
      <c r="C1176">
        <v>2025</v>
      </c>
      <c r="D1176" t="s">
        <v>33</v>
      </c>
      <c r="E1176" t="s">
        <v>3839</v>
      </c>
      <c r="F1176" t="s">
        <v>4731</v>
      </c>
      <c r="G1176" t="s">
        <v>4555</v>
      </c>
      <c r="H1176" s="16">
        <v>0.56000000000000005</v>
      </c>
      <c r="I1176" t="s">
        <v>4764</v>
      </c>
      <c r="J1176" t="s">
        <v>4614</v>
      </c>
    </row>
    <row r="1177" spans="1:10">
      <c r="A1177" t="s">
        <v>1558</v>
      </c>
      <c r="B1177" s="2">
        <v>45913</v>
      </c>
      <c r="C1177">
        <v>2025</v>
      </c>
      <c r="D1177" t="s">
        <v>25</v>
      </c>
      <c r="E1177" t="s">
        <v>47</v>
      </c>
      <c r="F1177" t="s">
        <v>4728</v>
      </c>
      <c r="G1177" t="s">
        <v>4556</v>
      </c>
      <c r="H1177" s="16">
        <v>0.23</v>
      </c>
      <c r="I1177" t="s">
        <v>4764</v>
      </c>
      <c r="J1177" t="s">
        <v>4614</v>
      </c>
    </row>
    <row r="1178" spans="1:10">
      <c r="A1178" t="s">
        <v>1559</v>
      </c>
      <c r="B1178" s="2">
        <v>45914</v>
      </c>
      <c r="C1178">
        <v>2025</v>
      </c>
      <c r="D1178" t="s">
        <v>21</v>
      </c>
      <c r="E1178" t="s">
        <v>45</v>
      </c>
      <c r="F1178" t="s">
        <v>4729</v>
      </c>
      <c r="G1178" t="s">
        <v>3988</v>
      </c>
      <c r="H1178" s="16">
        <v>0.12</v>
      </c>
      <c r="I1178" t="s">
        <v>4764</v>
      </c>
      <c r="J1178" t="s">
        <v>4614</v>
      </c>
    </row>
    <row r="1179" spans="1:10">
      <c r="A1179" t="s">
        <v>1560</v>
      </c>
      <c r="B1179" s="2">
        <v>45926</v>
      </c>
      <c r="C1179">
        <v>2025</v>
      </c>
      <c r="D1179" t="s">
        <v>25</v>
      </c>
      <c r="E1179" t="s">
        <v>72</v>
      </c>
      <c r="F1179" t="s">
        <v>4728</v>
      </c>
      <c r="G1179" t="s">
        <v>4557</v>
      </c>
      <c r="H1179" s="16">
        <v>0.1</v>
      </c>
      <c r="I1179" t="s">
        <v>4764</v>
      </c>
      <c r="J1179" t="s">
        <v>4614</v>
      </c>
    </row>
    <row r="1180" spans="1:10">
      <c r="A1180" t="s">
        <v>1561</v>
      </c>
      <c r="B1180" s="2">
        <v>45927</v>
      </c>
      <c r="C1180">
        <v>2025</v>
      </c>
      <c r="D1180" t="s">
        <v>25</v>
      </c>
      <c r="E1180" t="s">
        <v>13</v>
      </c>
      <c r="F1180" t="s">
        <v>4728</v>
      </c>
      <c r="G1180" t="s">
        <v>4113</v>
      </c>
      <c r="H1180" s="16">
        <v>0.03</v>
      </c>
      <c r="I1180" t="s">
        <v>4764</v>
      </c>
      <c r="J1180" t="s">
        <v>4614</v>
      </c>
    </row>
    <row r="1181" spans="1:10">
      <c r="A1181" t="s">
        <v>1562</v>
      </c>
      <c r="B1181" s="2">
        <v>45933</v>
      </c>
      <c r="C1181">
        <v>2025</v>
      </c>
      <c r="D1181" t="s">
        <v>25</v>
      </c>
      <c r="E1181" t="s">
        <v>19</v>
      </c>
      <c r="F1181" t="s">
        <v>4728</v>
      </c>
      <c r="G1181" t="s">
        <v>4187</v>
      </c>
      <c r="H1181" s="16">
        <v>0.65</v>
      </c>
      <c r="I1181" t="s">
        <v>4764</v>
      </c>
      <c r="J1181" t="s">
        <v>4614</v>
      </c>
    </row>
    <row r="1182" spans="1:10">
      <c r="A1182" t="s">
        <v>1563</v>
      </c>
      <c r="B1182" s="2">
        <v>45935</v>
      </c>
      <c r="C1182">
        <v>2025</v>
      </c>
      <c r="D1182" t="s">
        <v>15</v>
      </c>
      <c r="E1182" t="s">
        <v>3832</v>
      </c>
      <c r="F1182" t="s">
        <v>4734</v>
      </c>
      <c r="G1182" t="s">
        <v>4558</v>
      </c>
      <c r="H1182" s="16">
        <v>2.85</v>
      </c>
      <c r="I1182" t="s">
        <v>4764</v>
      </c>
      <c r="J1182" t="s">
        <v>4614</v>
      </c>
    </row>
    <row r="1183" spans="1:10">
      <c r="A1183" t="s">
        <v>1564</v>
      </c>
      <c r="B1183" s="2">
        <v>45937</v>
      </c>
      <c r="C1183">
        <v>2025</v>
      </c>
      <c r="D1183" t="s">
        <v>25</v>
      </c>
      <c r="E1183" t="s">
        <v>13</v>
      </c>
      <c r="F1183" t="s">
        <v>4728</v>
      </c>
      <c r="G1183" t="s">
        <v>4559</v>
      </c>
      <c r="H1183" s="16">
        <v>0.12</v>
      </c>
      <c r="I1183" t="s">
        <v>4764</v>
      </c>
      <c r="J1183" t="s">
        <v>4614</v>
      </c>
    </row>
    <row r="1184" spans="1:10">
      <c r="A1184" t="s">
        <v>1565</v>
      </c>
      <c r="B1184" s="2">
        <v>45938</v>
      </c>
      <c r="C1184">
        <v>2025</v>
      </c>
      <c r="D1184" t="s">
        <v>25</v>
      </c>
      <c r="E1184" t="s">
        <v>13</v>
      </c>
      <c r="F1184" t="s">
        <v>4728</v>
      </c>
      <c r="G1184" t="s">
        <v>4560</v>
      </c>
      <c r="H1184" s="16">
        <v>0.16</v>
      </c>
      <c r="I1184" t="s">
        <v>4764</v>
      </c>
      <c r="J1184" t="s">
        <v>4614</v>
      </c>
    </row>
    <row r="1185" spans="1:10">
      <c r="A1185" t="s">
        <v>1566</v>
      </c>
      <c r="B1185" s="2">
        <v>45939</v>
      </c>
      <c r="C1185">
        <v>2025</v>
      </c>
      <c r="D1185" t="s">
        <v>21</v>
      </c>
      <c r="E1185" t="s">
        <v>3839</v>
      </c>
      <c r="F1185" t="s">
        <v>4729</v>
      </c>
      <c r="G1185" t="s">
        <v>1567</v>
      </c>
      <c r="H1185" s="16">
        <v>0.15</v>
      </c>
      <c r="I1185" t="s">
        <v>4764</v>
      </c>
      <c r="J1185" t="s">
        <v>4614</v>
      </c>
    </row>
    <row r="1186" spans="1:10">
      <c r="A1186" t="s">
        <v>1568</v>
      </c>
      <c r="B1186" s="2">
        <v>45948</v>
      </c>
      <c r="C1186">
        <v>2025</v>
      </c>
      <c r="D1186" t="s">
        <v>8</v>
      </c>
      <c r="E1186" t="s">
        <v>130</v>
      </c>
      <c r="F1186" t="s">
        <v>4732</v>
      </c>
      <c r="G1186" t="s">
        <v>4561</v>
      </c>
      <c r="H1186" s="16">
        <v>0.41</v>
      </c>
      <c r="I1186" t="s">
        <v>4764</v>
      </c>
      <c r="J1186" t="s">
        <v>4614</v>
      </c>
    </row>
    <row r="1187" spans="1:10">
      <c r="A1187" t="s">
        <v>1569</v>
      </c>
      <c r="B1187" s="2">
        <v>45949</v>
      </c>
      <c r="C1187">
        <v>2025</v>
      </c>
      <c r="D1187" t="s">
        <v>12</v>
      </c>
      <c r="E1187" t="s">
        <v>3839</v>
      </c>
      <c r="F1187" t="s">
        <v>4730</v>
      </c>
      <c r="G1187" t="s">
        <v>3881</v>
      </c>
      <c r="H1187" s="16">
        <v>0.02</v>
      </c>
      <c r="I1187" t="s">
        <v>4764</v>
      </c>
      <c r="J1187" t="s">
        <v>4614</v>
      </c>
    </row>
    <row r="1188" spans="1:10">
      <c r="A1188" t="s">
        <v>1570</v>
      </c>
      <c r="B1188" s="2">
        <v>45949</v>
      </c>
      <c r="C1188">
        <v>2025</v>
      </c>
      <c r="D1188" t="s">
        <v>25</v>
      </c>
      <c r="E1188" t="s">
        <v>19</v>
      </c>
      <c r="F1188" t="s">
        <v>4728</v>
      </c>
      <c r="G1188" t="s">
        <v>4562</v>
      </c>
      <c r="H1188" s="16">
        <v>0.31</v>
      </c>
      <c r="I1188" t="s">
        <v>4764</v>
      </c>
      <c r="J1188" t="s">
        <v>4614</v>
      </c>
    </row>
    <row r="1189" spans="1:10">
      <c r="A1189" t="s">
        <v>1571</v>
      </c>
      <c r="B1189" s="2">
        <v>45951</v>
      </c>
      <c r="C1189">
        <v>2025</v>
      </c>
      <c r="D1189" t="s">
        <v>25</v>
      </c>
      <c r="E1189" t="s">
        <v>13</v>
      </c>
      <c r="F1189" t="s">
        <v>4728</v>
      </c>
      <c r="G1189" t="s">
        <v>4563</v>
      </c>
      <c r="H1189" s="16">
        <v>0.76</v>
      </c>
      <c r="I1189" t="s">
        <v>4764</v>
      </c>
      <c r="J1189" t="s">
        <v>4614</v>
      </c>
    </row>
    <row r="1190" spans="1:10">
      <c r="A1190" t="s">
        <v>1572</v>
      </c>
      <c r="B1190" s="2">
        <v>45951</v>
      </c>
      <c r="C1190">
        <v>2025</v>
      </c>
      <c r="D1190" t="s">
        <v>25</v>
      </c>
      <c r="E1190" t="s">
        <v>72</v>
      </c>
      <c r="F1190" t="s">
        <v>4728</v>
      </c>
      <c r="G1190" t="s">
        <v>4564</v>
      </c>
      <c r="H1190" s="16">
        <v>0.5</v>
      </c>
      <c r="I1190" t="s">
        <v>4764</v>
      </c>
      <c r="J1190" t="s">
        <v>4614</v>
      </c>
    </row>
    <row r="1191" spans="1:10">
      <c r="A1191" t="s">
        <v>1573</v>
      </c>
      <c r="B1191" s="2">
        <v>45952</v>
      </c>
      <c r="C1191">
        <v>2025</v>
      </c>
      <c r="D1191" t="s">
        <v>21</v>
      </c>
      <c r="E1191" t="s">
        <v>34</v>
      </c>
      <c r="F1191" t="s">
        <v>4729</v>
      </c>
      <c r="G1191" t="s">
        <v>1574</v>
      </c>
      <c r="H1191" s="16">
        <v>0.59</v>
      </c>
      <c r="I1191" t="s">
        <v>4764</v>
      </c>
      <c r="J1191" t="s">
        <v>4614</v>
      </c>
    </row>
    <row r="1192" spans="1:10">
      <c r="A1192" t="s">
        <v>1575</v>
      </c>
      <c r="B1192" s="2">
        <v>45953</v>
      </c>
      <c r="C1192">
        <v>2025</v>
      </c>
      <c r="D1192" t="s">
        <v>8</v>
      </c>
      <c r="E1192" t="s">
        <v>17</v>
      </c>
      <c r="F1192" t="s">
        <v>4732</v>
      </c>
      <c r="G1192" t="s">
        <v>4565</v>
      </c>
      <c r="H1192" s="16">
        <v>9.3699999999999992</v>
      </c>
      <c r="I1192" t="s">
        <v>4764</v>
      </c>
      <c r="J1192" t="s">
        <v>4614</v>
      </c>
    </row>
    <row r="1193" spans="1:10">
      <c r="A1193" t="s">
        <v>1576</v>
      </c>
      <c r="B1193" s="2">
        <v>45954</v>
      </c>
      <c r="C1193">
        <v>2025</v>
      </c>
      <c r="D1193" t="s">
        <v>21</v>
      </c>
      <c r="E1193" t="s">
        <v>72</v>
      </c>
      <c r="F1193" t="s">
        <v>4729</v>
      </c>
      <c r="G1193" t="s">
        <v>4566</v>
      </c>
      <c r="H1193" s="16">
        <v>0.23</v>
      </c>
      <c r="I1193" t="s">
        <v>4764</v>
      </c>
      <c r="J1193" t="s">
        <v>4614</v>
      </c>
    </row>
    <row r="1194" spans="1:10">
      <c r="A1194" t="s">
        <v>1577</v>
      </c>
      <c r="B1194" s="2">
        <v>45957</v>
      </c>
      <c r="C1194">
        <v>2025</v>
      </c>
      <c r="D1194" t="s">
        <v>25</v>
      </c>
      <c r="E1194" t="s">
        <v>47</v>
      </c>
      <c r="F1194" t="s">
        <v>4728</v>
      </c>
      <c r="G1194" t="s">
        <v>4567</v>
      </c>
      <c r="H1194" s="16">
        <v>0.06</v>
      </c>
      <c r="I1194" t="s">
        <v>4764</v>
      </c>
      <c r="J1194" t="s">
        <v>4614</v>
      </c>
    </row>
    <row r="1195" spans="1:10">
      <c r="A1195" t="s">
        <v>1578</v>
      </c>
      <c r="B1195" s="2">
        <v>45976</v>
      </c>
      <c r="C1195">
        <v>2025</v>
      </c>
      <c r="D1195" t="s">
        <v>25</v>
      </c>
      <c r="E1195" t="s">
        <v>29</v>
      </c>
      <c r="F1195" t="s">
        <v>4728</v>
      </c>
      <c r="G1195" t="s">
        <v>4568</v>
      </c>
      <c r="H1195" s="16">
        <v>0.19</v>
      </c>
      <c r="I1195" t="s">
        <v>4764</v>
      </c>
      <c r="J1195" t="s">
        <v>4614</v>
      </c>
    </row>
    <row r="1196" spans="1:10">
      <c r="A1196" t="s">
        <v>1579</v>
      </c>
      <c r="B1196" s="2">
        <v>45981</v>
      </c>
      <c r="C1196">
        <v>2025</v>
      </c>
      <c r="D1196" t="s">
        <v>25</v>
      </c>
      <c r="E1196" t="s">
        <v>3862</v>
      </c>
      <c r="F1196" t="s">
        <v>4728</v>
      </c>
      <c r="G1196" t="s">
        <v>4538</v>
      </c>
      <c r="H1196" s="16">
        <v>0.08</v>
      </c>
      <c r="I1196" t="s">
        <v>4764</v>
      </c>
      <c r="J1196" t="s">
        <v>4614</v>
      </c>
    </row>
    <row r="1197" spans="1:10">
      <c r="A1197" t="s">
        <v>1580</v>
      </c>
      <c r="B1197" s="2">
        <v>45984</v>
      </c>
      <c r="C1197">
        <v>2025</v>
      </c>
      <c r="D1197" t="s">
        <v>8</v>
      </c>
      <c r="E1197" t="s">
        <v>31</v>
      </c>
      <c r="F1197" t="s">
        <v>4732</v>
      </c>
      <c r="G1197" t="s">
        <v>4569</v>
      </c>
      <c r="H1197" s="16">
        <v>0.05</v>
      </c>
      <c r="I1197" t="s">
        <v>4764</v>
      </c>
      <c r="J1197" t="s">
        <v>4614</v>
      </c>
    </row>
    <row r="1198" spans="1:10">
      <c r="A1198" t="s">
        <v>1581</v>
      </c>
      <c r="B1198" s="2">
        <v>45986</v>
      </c>
      <c r="C1198">
        <v>2025</v>
      </c>
      <c r="D1198" t="s">
        <v>21</v>
      </c>
      <c r="E1198" t="s">
        <v>45</v>
      </c>
      <c r="F1198" t="s">
        <v>4729</v>
      </c>
      <c r="G1198" t="s">
        <v>4570</v>
      </c>
      <c r="H1198" s="16">
        <v>0.52</v>
      </c>
      <c r="I1198" t="s">
        <v>4764</v>
      </c>
      <c r="J1198" t="s">
        <v>4614</v>
      </c>
    </row>
    <row r="1199" spans="1:10">
      <c r="A1199" t="s">
        <v>1582</v>
      </c>
      <c r="B1199" s="2">
        <v>45995</v>
      </c>
      <c r="C1199">
        <v>2025</v>
      </c>
      <c r="D1199" t="s">
        <v>12</v>
      </c>
      <c r="E1199" t="s">
        <v>34</v>
      </c>
      <c r="F1199" t="s">
        <v>4730</v>
      </c>
      <c r="G1199" t="s">
        <v>4571</v>
      </c>
      <c r="H1199" s="16">
        <v>0.17</v>
      </c>
      <c r="I1199" t="s">
        <v>4764</v>
      </c>
      <c r="J1199" t="s">
        <v>4614</v>
      </c>
    </row>
    <row r="1200" spans="1:10">
      <c r="A1200" t="s">
        <v>1583</v>
      </c>
      <c r="B1200" s="2">
        <v>45999</v>
      </c>
      <c r="C1200">
        <v>2025</v>
      </c>
      <c r="D1200" t="s">
        <v>8</v>
      </c>
      <c r="E1200" t="s">
        <v>53</v>
      </c>
      <c r="F1200" t="s">
        <v>4732</v>
      </c>
      <c r="G1200" t="s">
        <v>4572</v>
      </c>
      <c r="H1200" s="16">
        <v>0.54</v>
      </c>
      <c r="I1200" t="s">
        <v>4764</v>
      </c>
      <c r="J1200" t="s">
        <v>4614</v>
      </c>
    </row>
    <row r="1201" spans="1:10">
      <c r="A1201" t="s">
        <v>1584</v>
      </c>
      <c r="B1201" s="2">
        <v>46001</v>
      </c>
      <c r="C1201">
        <v>2025</v>
      </c>
      <c r="D1201" t="s">
        <v>15</v>
      </c>
      <c r="E1201" t="s">
        <v>3832</v>
      </c>
      <c r="F1201" t="s">
        <v>4734</v>
      </c>
      <c r="G1201" t="s">
        <v>4259</v>
      </c>
      <c r="H1201" s="16">
        <v>0.95</v>
      </c>
      <c r="I1201" t="s">
        <v>4764</v>
      </c>
      <c r="J1201" t="s">
        <v>4614</v>
      </c>
    </row>
    <row r="1202" spans="1:10">
      <c r="A1202" t="s">
        <v>1585</v>
      </c>
      <c r="B1202" s="2">
        <v>46003</v>
      </c>
      <c r="C1202">
        <v>2025</v>
      </c>
      <c r="D1202" t="s">
        <v>8</v>
      </c>
      <c r="E1202" t="s">
        <v>3850</v>
      </c>
      <c r="F1202" t="s">
        <v>4732</v>
      </c>
      <c r="G1202" t="s">
        <v>3970</v>
      </c>
      <c r="H1202" s="16">
        <v>50</v>
      </c>
      <c r="I1202" t="s">
        <v>4763</v>
      </c>
      <c r="J1202" t="s">
        <v>4614</v>
      </c>
    </row>
    <row r="1203" spans="1:10">
      <c r="A1203" t="s">
        <v>1586</v>
      </c>
      <c r="B1203" s="2">
        <v>46017</v>
      </c>
      <c r="C1203">
        <v>2025</v>
      </c>
      <c r="D1203" t="s">
        <v>8</v>
      </c>
      <c r="E1203" t="s">
        <v>3860</v>
      </c>
      <c r="F1203" t="s">
        <v>4732</v>
      </c>
      <c r="G1203" t="s">
        <v>1587</v>
      </c>
      <c r="H1203" s="16">
        <v>4.76</v>
      </c>
      <c r="I1203" t="s">
        <v>4764</v>
      </c>
      <c r="J1203" t="s">
        <v>4614</v>
      </c>
    </row>
    <row r="1204" spans="1:10">
      <c r="A1204" t="s">
        <v>1588</v>
      </c>
      <c r="B1204" s="2">
        <v>46055</v>
      </c>
      <c r="C1204">
        <v>2026</v>
      </c>
      <c r="D1204" t="s">
        <v>25</v>
      </c>
      <c r="E1204" t="s">
        <v>3854</v>
      </c>
      <c r="F1204" t="s">
        <v>4735</v>
      </c>
      <c r="G1204" t="s">
        <v>4573</v>
      </c>
      <c r="H1204" s="16">
        <v>0.04</v>
      </c>
      <c r="I1204" t="s">
        <v>4764</v>
      </c>
      <c r="J1204" t="s">
        <v>4614</v>
      </c>
    </row>
    <row r="1205" spans="1:10">
      <c r="A1205" t="s">
        <v>1589</v>
      </c>
      <c r="B1205" s="2">
        <v>46060</v>
      </c>
      <c r="C1205">
        <v>2026</v>
      </c>
      <c r="D1205" t="s">
        <v>25</v>
      </c>
      <c r="E1205" t="s">
        <v>3854</v>
      </c>
      <c r="F1205" t="s">
        <v>4735</v>
      </c>
      <c r="G1205" t="s">
        <v>1590</v>
      </c>
      <c r="H1205" s="16">
        <v>0.06</v>
      </c>
      <c r="I1205" t="s">
        <v>4764</v>
      </c>
      <c r="J1205" t="s">
        <v>4614</v>
      </c>
    </row>
    <row r="1206" spans="1:10">
      <c r="A1206" t="s">
        <v>1591</v>
      </c>
      <c r="B1206" s="2">
        <v>46114</v>
      </c>
      <c r="C1206">
        <v>2026</v>
      </c>
      <c r="D1206" t="s">
        <v>12</v>
      </c>
      <c r="E1206" t="s">
        <v>47</v>
      </c>
      <c r="F1206" t="s">
        <v>4736</v>
      </c>
      <c r="G1206" t="s">
        <v>4574</v>
      </c>
      <c r="H1206" s="16">
        <v>0.12</v>
      </c>
      <c r="I1206" t="s">
        <v>4764</v>
      </c>
      <c r="J1206" t="s">
        <v>4614</v>
      </c>
    </row>
    <row r="1207" spans="1:10">
      <c r="A1207" t="s">
        <v>1592</v>
      </c>
      <c r="B1207" s="2">
        <v>46125</v>
      </c>
      <c r="C1207">
        <v>2026</v>
      </c>
      <c r="D1207" t="s">
        <v>25</v>
      </c>
      <c r="E1207" t="s">
        <v>45</v>
      </c>
      <c r="F1207" t="s">
        <v>4735</v>
      </c>
      <c r="G1207" t="s">
        <v>4575</v>
      </c>
      <c r="H1207" s="16">
        <v>0.23</v>
      </c>
      <c r="I1207" t="s">
        <v>4764</v>
      </c>
      <c r="J1207" t="s">
        <v>4614</v>
      </c>
    </row>
    <row r="1208" spans="1:10">
      <c r="A1208" t="s">
        <v>1593</v>
      </c>
      <c r="B1208" s="2">
        <v>46128</v>
      </c>
      <c r="C1208">
        <v>2026</v>
      </c>
      <c r="D1208" t="s">
        <v>21</v>
      </c>
      <c r="E1208" t="s">
        <v>3862</v>
      </c>
      <c r="F1208" t="s">
        <v>4737</v>
      </c>
      <c r="G1208" t="s">
        <v>1594</v>
      </c>
      <c r="H1208" s="16">
        <v>0.18</v>
      </c>
      <c r="I1208" t="s">
        <v>4764</v>
      </c>
      <c r="J1208" t="s">
        <v>4614</v>
      </c>
    </row>
    <row r="1209" spans="1:10">
      <c r="A1209" t="s">
        <v>1595</v>
      </c>
      <c r="B1209" s="2">
        <v>46129</v>
      </c>
      <c r="C1209">
        <v>2026</v>
      </c>
      <c r="D1209" t="s">
        <v>33</v>
      </c>
      <c r="E1209" t="s">
        <v>45</v>
      </c>
      <c r="F1209" t="s">
        <v>4738</v>
      </c>
      <c r="G1209" t="s">
        <v>4576</v>
      </c>
      <c r="H1209" s="16">
        <v>0.01</v>
      </c>
      <c r="I1209" t="s">
        <v>4764</v>
      </c>
      <c r="J1209" t="s">
        <v>4614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D1A5-BA4B-4964-BF8F-B2EC251EA723}">
  <dimension ref="A1:K600"/>
  <sheetViews>
    <sheetView workbookViewId="0">
      <selection activeCell="L8" sqref="L8"/>
    </sheetView>
  </sheetViews>
  <sheetFormatPr defaultRowHeight="14.4"/>
  <cols>
    <col min="1" max="1" width="12.44140625" bestFit="1" customWidth="1"/>
    <col min="2" max="2" width="17.6640625" style="17" bestFit="1" customWidth="1"/>
    <col min="3" max="3" width="6.88671875" bestFit="1" customWidth="1"/>
    <col min="4" max="4" width="18.44140625" bestFit="1" customWidth="1"/>
    <col min="5" max="5" width="14.44140625" bestFit="1" customWidth="1"/>
    <col min="6" max="6" width="8.21875" bestFit="1" customWidth="1"/>
    <col min="7" max="7" width="14.5546875" bestFit="1" customWidth="1"/>
    <col min="8" max="8" width="18" bestFit="1" customWidth="1"/>
    <col min="9" max="9" width="20.33203125" bestFit="1" customWidth="1"/>
    <col min="10" max="10" width="13.109375" bestFit="1" customWidth="1"/>
    <col min="11" max="11" width="27.88671875" bestFit="1" customWidth="1"/>
  </cols>
  <sheetData>
    <row r="1" spans="1:11">
      <c r="A1" t="s">
        <v>1596</v>
      </c>
      <c r="B1" s="17" t="s">
        <v>1597</v>
      </c>
      <c r="C1" t="s">
        <v>2</v>
      </c>
      <c r="D1" t="s">
        <v>1598</v>
      </c>
      <c r="E1" t="s">
        <v>4744</v>
      </c>
      <c r="F1" t="s">
        <v>1599</v>
      </c>
      <c r="G1" t="s">
        <v>1600</v>
      </c>
      <c r="H1" t="s">
        <v>4745</v>
      </c>
      <c r="I1" t="s">
        <v>4746</v>
      </c>
      <c r="J1" t="s">
        <v>4766</v>
      </c>
      <c r="K1" t="s">
        <v>1601</v>
      </c>
    </row>
    <row r="2" spans="1:11">
      <c r="A2" t="s">
        <v>1602</v>
      </c>
      <c r="B2" s="17">
        <v>40183</v>
      </c>
      <c r="C2">
        <v>2010</v>
      </c>
      <c r="D2" t="s">
        <v>1603</v>
      </c>
      <c r="E2" t="s">
        <v>4747</v>
      </c>
      <c r="F2" t="s">
        <v>1604</v>
      </c>
      <c r="G2">
        <v>186</v>
      </c>
      <c r="H2">
        <v>11</v>
      </c>
      <c r="I2" t="s">
        <v>4748</v>
      </c>
      <c r="J2" t="s">
        <v>4760</v>
      </c>
      <c r="K2">
        <v>6</v>
      </c>
    </row>
    <row r="3" spans="1:11">
      <c r="A3" t="s">
        <v>1605</v>
      </c>
      <c r="B3" s="17">
        <v>40224</v>
      </c>
      <c r="C3">
        <v>2010</v>
      </c>
      <c r="D3" t="s">
        <v>9</v>
      </c>
      <c r="E3" t="s">
        <v>4749</v>
      </c>
      <c r="F3" t="s">
        <v>1604</v>
      </c>
      <c r="G3">
        <v>181</v>
      </c>
      <c r="H3">
        <v>29</v>
      </c>
      <c r="I3" t="s">
        <v>4750</v>
      </c>
      <c r="J3" t="s">
        <v>4761</v>
      </c>
      <c r="K3">
        <v>-0.7</v>
      </c>
    </row>
    <row r="4" spans="1:11">
      <c r="A4" t="s">
        <v>1606</v>
      </c>
      <c r="B4" s="17">
        <v>40236</v>
      </c>
      <c r="C4">
        <v>2010</v>
      </c>
      <c r="D4" t="s">
        <v>38</v>
      </c>
      <c r="E4" t="s">
        <v>4751</v>
      </c>
      <c r="F4" t="s">
        <v>1604</v>
      </c>
      <c r="G4">
        <v>115</v>
      </c>
      <c r="H4">
        <v>13</v>
      </c>
      <c r="I4" t="s">
        <v>4752</v>
      </c>
      <c r="J4" t="s">
        <v>4762</v>
      </c>
      <c r="K4">
        <v>-33.200000000000003</v>
      </c>
    </row>
    <row r="5" spans="1:11">
      <c r="A5" t="s">
        <v>1607</v>
      </c>
      <c r="B5" s="17">
        <v>40239</v>
      </c>
      <c r="C5">
        <v>2010</v>
      </c>
      <c r="D5" t="s">
        <v>1608</v>
      </c>
      <c r="E5" t="s">
        <v>4753</v>
      </c>
      <c r="F5" t="s">
        <v>1604</v>
      </c>
      <c r="G5">
        <v>359</v>
      </c>
      <c r="H5">
        <v>15</v>
      </c>
      <c r="I5" t="s">
        <v>4748</v>
      </c>
      <c r="J5" t="s">
        <v>4760</v>
      </c>
      <c r="K5">
        <v>12.4</v>
      </c>
    </row>
    <row r="6" spans="1:11">
      <c r="A6" t="s">
        <v>1609</v>
      </c>
      <c r="B6" s="17">
        <v>40277</v>
      </c>
      <c r="C6">
        <v>2010</v>
      </c>
      <c r="D6" t="s">
        <v>1610</v>
      </c>
      <c r="E6" t="s">
        <v>4751</v>
      </c>
      <c r="F6" t="s">
        <v>1611</v>
      </c>
      <c r="G6">
        <v>840</v>
      </c>
      <c r="H6">
        <v>42</v>
      </c>
      <c r="I6" t="s">
        <v>4752</v>
      </c>
      <c r="J6" t="s">
        <v>4762</v>
      </c>
      <c r="K6">
        <v>-14.7</v>
      </c>
    </row>
    <row r="7" spans="1:11">
      <c r="A7" t="s">
        <v>1612</v>
      </c>
      <c r="B7" s="17">
        <v>40295</v>
      </c>
      <c r="C7">
        <v>2010</v>
      </c>
      <c r="D7" t="s">
        <v>304</v>
      </c>
      <c r="E7" t="s">
        <v>4753</v>
      </c>
      <c r="F7" t="s">
        <v>1611</v>
      </c>
      <c r="G7">
        <v>615</v>
      </c>
      <c r="H7">
        <v>35</v>
      </c>
      <c r="I7" t="s">
        <v>4748</v>
      </c>
      <c r="J7" t="s">
        <v>4760</v>
      </c>
      <c r="K7">
        <v>6.1</v>
      </c>
    </row>
    <row r="8" spans="1:11">
      <c r="A8" t="s">
        <v>1613</v>
      </c>
      <c r="B8" s="17">
        <v>40295</v>
      </c>
      <c r="C8">
        <v>2010</v>
      </c>
      <c r="D8" t="s">
        <v>1403</v>
      </c>
      <c r="E8" t="s">
        <v>4754</v>
      </c>
      <c r="F8" t="s">
        <v>1611</v>
      </c>
      <c r="G8">
        <v>2496</v>
      </c>
      <c r="H8">
        <v>36</v>
      </c>
      <c r="I8" t="s">
        <v>4752</v>
      </c>
      <c r="J8" t="s">
        <v>4762</v>
      </c>
      <c r="K8">
        <v>-14.7</v>
      </c>
    </row>
    <row r="9" spans="1:11">
      <c r="A9" t="s">
        <v>1614</v>
      </c>
      <c r="B9" s="17">
        <v>40306</v>
      </c>
      <c r="C9">
        <v>2010</v>
      </c>
      <c r="D9" t="s">
        <v>1603</v>
      </c>
      <c r="E9" t="s">
        <v>4751</v>
      </c>
      <c r="F9" t="s">
        <v>1611</v>
      </c>
      <c r="G9">
        <v>1265</v>
      </c>
      <c r="H9">
        <v>30</v>
      </c>
      <c r="I9" t="s">
        <v>4752</v>
      </c>
      <c r="J9" t="s">
        <v>4762</v>
      </c>
      <c r="K9">
        <v>-23.7</v>
      </c>
    </row>
    <row r="10" spans="1:11">
      <c r="A10" t="s">
        <v>1615</v>
      </c>
      <c r="B10" s="17">
        <v>40315</v>
      </c>
      <c r="C10">
        <v>2010</v>
      </c>
      <c r="D10" t="s">
        <v>376</v>
      </c>
      <c r="E10" t="s">
        <v>4753</v>
      </c>
      <c r="F10" t="s">
        <v>1611</v>
      </c>
      <c r="G10">
        <v>1115</v>
      </c>
      <c r="H10">
        <v>34</v>
      </c>
      <c r="I10" t="s">
        <v>4752</v>
      </c>
      <c r="J10" t="s">
        <v>4762</v>
      </c>
      <c r="K10">
        <v>-11.1</v>
      </c>
    </row>
    <row r="11" spans="1:11">
      <c r="A11" t="s">
        <v>1616</v>
      </c>
      <c r="B11" s="17">
        <v>40348</v>
      </c>
      <c r="C11">
        <v>2010</v>
      </c>
      <c r="D11" t="s">
        <v>1603</v>
      </c>
      <c r="E11" t="s">
        <v>4755</v>
      </c>
      <c r="F11" t="s">
        <v>1611</v>
      </c>
      <c r="G11">
        <v>2414</v>
      </c>
      <c r="H11">
        <v>43</v>
      </c>
      <c r="I11" t="s">
        <v>4748</v>
      </c>
      <c r="J11" t="s">
        <v>4760</v>
      </c>
      <c r="K11">
        <v>13.7</v>
      </c>
    </row>
    <row r="12" spans="1:11">
      <c r="A12" t="s">
        <v>1617</v>
      </c>
      <c r="B12" s="17">
        <v>40348</v>
      </c>
      <c r="C12">
        <v>2010</v>
      </c>
      <c r="D12" t="s">
        <v>376</v>
      </c>
      <c r="E12" t="s">
        <v>4751</v>
      </c>
      <c r="F12" t="s">
        <v>1611</v>
      </c>
      <c r="G12">
        <v>4107</v>
      </c>
      <c r="H12">
        <v>37</v>
      </c>
      <c r="I12" t="s">
        <v>4752</v>
      </c>
      <c r="J12" t="s">
        <v>4762</v>
      </c>
      <c r="K12">
        <v>-8.4</v>
      </c>
    </row>
    <row r="13" spans="1:11">
      <c r="A13" t="s">
        <v>1618</v>
      </c>
      <c r="B13" s="17">
        <v>40350</v>
      </c>
      <c r="C13">
        <v>2010</v>
      </c>
      <c r="D13" t="s">
        <v>17</v>
      </c>
      <c r="E13" t="s">
        <v>4755</v>
      </c>
      <c r="F13" t="s">
        <v>1604</v>
      </c>
      <c r="G13">
        <v>266</v>
      </c>
      <c r="H13">
        <v>25</v>
      </c>
      <c r="I13" t="s">
        <v>4748</v>
      </c>
      <c r="J13" t="s">
        <v>4760</v>
      </c>
      <c r="K13">
        <v>8.6</v>
      </c>
    </row>
    <row r="14" spans="1:11">
      <c r="A14" t="s">
        <v>1619</v>
      </c>
      <c r="B14" s="17">
        <v>40354</v>
      </c>
      <c r="C14">
        <v>2010</v>
      </c>
      <c r="D14" t="s">
        <v>304</v>
      </c>
      <c r="E14" t="s">
        <v>4751</v>
      </c>
      <c r="F14" t="s">
        <v>1604</v>
      </c>
      <c r="G14">
        <v>207</v>
      </c>
      <c r="H14">
        <v>17</v>
      </c>
      <c r="I14" t="s">
        <v>4748</v>
      </c>
      <c r="J14" t="s">
        <v>4760</v>
      </c>
      <c r="K14">
        <v>8.3000000000000007</v>
      </c>
    </row>
    <row r="15" spans="1:11">
      <c r="A15" t="s">
        <v>1620</v>
      </c>
      <c r="B15" s="17">
        <v>40355</v>
      </c>
      <c r="C15">
        <v>2010</v>
      </c>
      <c r="D15" t="s">
        <v>1608</v>
      </c>
      <c r="E15" t="s">
        <v>4756</v>
      </c>
      <c r="F15" t="s">
        <v>1611</v>
      </c>
      <c r="G15">
        <v>830</v>
      </c>
      <c r="H15">
        <v>42</v>
      </c>
      <c r="I15" t="s">
        <v>4748</v>
      </c>
      <c r="J15" t="s">
        <v>4760</v>
      </c>
      <c r="K15">
        <v>8</v>
      </c>
    </row>
    <row r="16" spans="1:11">
      <c r="A16" t="s">
        <v>1621</v>
      </c>
      <c r="B16" s="17">
        <v>40360</v>
      </c>
      <c r="C16">
        <v>2010</v>
      </c>
      <c r="D16" t="s">
        <v>304</v>
      </c>
      <c r="E16" t="s">
        <v>4751</v>
      </c>
      <c r="F16" t="s">
        <v>1611</v>
      </c>
      <c r="G16">
        <v>2258</v>
      </c>
      <c r="H16">
        <v>39</v>
      </c>
      <c r="I16" t="s">
        <v>4752</v>
      </c>
      <c r="J16" t="s">
        <v>4762</v>
      </c>
      <c r="K16">
        <v>-13.5</v>
      </c>
    </row>
    <row r="17" spans="1:11">
      <c r="A17" t="s">
        <v>1622</v>
      </c>
      <c r="B17" s="17">
        <v>40367</v>
      </c>
      <c r="C17">
        <v>2010</v>
      </c>
      <c r="D17" t="s">
        <v>215</v>
      </c>
      <c r="E17" t="s">
        <v>4751</v>
      </c>
      <c r="F17" t="s">
        <v>1604</v>
      </c>
      <c r="G17">
        <v>358</v>
      </c>
      <c r="H17">
        <v>24</v>
      </c>
      <c r="I17" t="s">
        <v>4748</v>
      </c>
      <c r="J17" t="s">
        <v>4760</v>
      </c>
      <c r="K17">
        <v>13.7</v>
      </c>
    </row>
    <row r="18" spans="1:11">
      <c r="A18" t="s">
        <v>1623</v>
      </c>
      <c r="B18" s="17">
        <v>40368</v>
      </c>
      <c r="C18">
        <v>2010</v>
      </c>
      <c r="D18" t="s">
        <v>42</v>
      </c>
      <c r="E18" t="s">
        <v>4753</v>
      </c>
      <c r="F18" t="s">
        <v>1611</v>
      </c>
      <c r="G18">
        <v>2496</v>
      </c>
      <c r="H18">
        <v>39</v>
      </c>
      <c r="I18" t="s">
        <v>4750</v>
      </c>
      <c r="J18" t="s">
        <v>4761</v>
      </c>
      <c r="K18">
        <v>3.1</v>
      </c>
    </row>
    <row r="19" spans="1:11">
      <c r="A19" t="s">
        <v>1624</v>
      </c>
      <c r="B19" s="17">
        <v>40369</v>
      </c>
      <c r="C19">
        <v>2010</v>
      </c>
      <c r="D19" t="s">
        <v>304</v>
      </c>
      <c r="E19" t="s">
        <v>4747</v>
      </c>
      <c r="F19" t="s">
        <v>1604</v>
      </c>
      <c r="G19">
        <v>180</v>
      </c>
      <c r="H19">
        <v>8</v>
      </c>
      <c r="I19" t="s">
        <v>4752</v>
      </c>
      <c r="J19" t="s">
        <v>4762</v>
      </c>
      <c r="K19">
        <v>-10.199999999999999</v>
      </c>
    </row>
    <row r="20" spans="1:11">
      <c r="A20" t="s">
        <v>1625</v>
      </c>
      <c r="B20" s="17">
        <v>40384</v>
      </c>
      <c r="C20">
        <v>2010</v>
      </c>
      <c r="D20" t="s">
        <v>17</v>
      </c>
      <c r="E20" t="s">
        <v>4751</v>
      </c>
      <c r="F20" t="s">
        <v>1611</v>
      </c>
      <c r="G20">
        <v>3586</v>
      </c>
      <c r="H20">
        <v>41</v>
      </c>
      <c r="I20" t="s">
        <v>4752</v>
      </c>
      <c r="J20" t="s">
        <v>4762</v>
      </c>
      <c r="K20">
        <v>-11.3</v>
      </c>
    </row>
    <row r="21" spans="1:11">
      <c r="A21" t="s">
        <v>1626</v>
      </c>
      <c r="B21" s="17">
        <v>40397</v>
      </c>
      <c r="C21">
        <v>2010</v>
      </c>
      <c r="D21" t="s">
        <v>215</v>
      </c>
      <c r="E21" t="s">
        <v>4751</v>
      </c>
      <c r="F21" t="s">
        <v>1604</v>
      </c>
      <c r="G21">
        <v>300</v>
      </c>
      <c r="H21">
        <v>15</v>
      </c>
      <c r="I21" t="s">
        <v>4750</v>
      </c>
      <c r="J21" t="s">
        <v>4761</v>
      </c>
      <c r="K21">
        <v>-6.1</v>
      </c>
    </row>
    <row r="22" spans="1:11">
      <c r="A22" t="s">
        <v>1627</v>
      </c>
      <c r="B22" s="17">
        <v>40405</v>
      </c>
      <c r="C22">
        <v>2010</v>
      </c>
      <c r="D22" t="s">
        <v>53</v>
      </c>
      <c r="E22" t="s">
        <v>4757</v>
      </c>
      <c r="F22" t="s">
        <v>1611</v>
      </c>
      <c r="G22">
        <v>493</v>
      </c>
      <c r="H22">
        <v>36</v>
      </c>
      <c r="I22" t="s">
        <v>4748</v>
      </c>
      <c r="J22" t="s">
        <v>4760</v>
      </c>
      <c r="K22">
        <v>6.1</v>
      </c>
    </row>
    <row r="23" spans="1:11">
      <c r="A23" t="s">
        <v>1628</v>
      </c>
      <c r="B23" s="17">
        <v>40405</v>
      </c>
      <c r="C23">
        <v>2010</v>
      </c>
      <c r="D23" t="s">
        <v>1610</v>
      </c>
      <c r="E23" t="s">
        <v>4758</v>
      </c>
      <c r="F23" t="s">
        <v>1611</v>
      </c>
      <c r="G23">
        <v>1035</v>
      </c>
      <c r="H23">
        <v>37</v>
      </c>
      <c r="I23" t="s">
        <v>4752</v>
      </c>
      <c r="J23" t="s">
        <v>4762</v>
      </c>
      <c r="K23">
        <v>-5</v>
      </c>
    </row>
    <row r="24" spans="1:11">
      <c r="A24" t="s">
        <v>1629</v>
      </c>
      <c r="B24" s="17">
        <v>40407</v>
      </c>
      <c r="C24">
        <v>2010</v>
      </c>
      <c r="D24" t="s">
        <v>1403</v>
      </c>
      <c r="E24" t="s">
        <v>4754</v>
      </c>
      <c r="F24" t="s">
        <v>1604</v>
      </c>
      <c r="G24">
        <v>418</v>
      </c>
      <c r="H24">
        <v>21</v>
      </c>
      <c r="I24" t="s">
        <v>4748</v>
      </c>
      <c r="J24" t="s">
        <v>4760</v>
      </c>
      <c r="K24">
        <v>13</v>
      </c>
    </row>
    <row r="25" spans="1:11">
      <c r="A25" t="s">
        <v>1630</v>
      </c>
      <c r="B25" s="17">
        <v>40408</v>
      </c>
      <c r="C25">
        <v>2010</v>
      </c>
      <c r="D25" t="s">
        <v>17</v>
      </c>
      <c r="E25" t="s">
        <v>4759</v>
      </c>
      <c r="F25" t="s">
        <v>1611</v>
      </c>
      <c r="G25">
        <v>1219</v>
      </c>
      <c r="H25">
        <v>36</v>
      </c>
      <c r="I25" t="s">
        <v>4752</v>
      </c>
      <c r="J25" t="s">
        <v>4762</v>
      </c>
      <c r="K25">
        <v>9.5</v>
      </c>
    </row>
    <row r="26" spans="1:11">
      <c r="A26" t="s">
        <v>1631</v>
      </c>
      <c r="B26" s="17">
        <v>40412</v>
      </c>
      <c r="C26">
        <v>2010</v>
      </c>
      <c r="D26" t="s">
        <v>38</v>
      </c>
      <c r="E26" t="s">
        <v>4749</v>
      </c>
      <c r="F26" t="s">
        <v>1611</v>
      </c>
      <c r="G26">
        <v>3169</v>
      </c>
      <c r="H26">
        <v>39</v>
      </c>
      <c r="I26" t="s">
        <v>4748</v>
      </c>
      <c r="J26" t="s">
        <v>4760</v>
      </c>
      <c r="K26">
        <v>7.7</v>
      </c>
    </row>
    <row r="27" spans="1:11">
      <c r="A27" t="s">
        <v>1632</v>
      </c>
      <c r="B27" s="17">
        <v>40438</v>
      </c>
      <c r="C27">
        <v>2010</v>
      </c>
      <c r="D27" t="s">
        <v>1608</v>
      </c>
      <c r="E27" t="s">
        <v>4754</v>
      </c>
      <c r="F27" t="s">
        <v>1604</v>
      </c>
      <c r="G27">
        <v>388</v>
      </c>
      <c r="H27">
        <v>13</v>
      </c>
      <c r="I27" t="s">
        <v>4748</v>
      </c>
      <c r="J27" t="s">
        <v>4760</v>
      </c>
      <c r="K27">
        <v>-1.9</v>
      </c>
    </row>
    <row r="28" spans="1:11">
      <c r="A28" t="s">
        <v>1633</v>
      </c>
      <c r="B28" s="17">
        <v>40442</v>
      </c>
      <c r="C28">
        <v>2010</v>
      </c>
      <c r="D28" t="s">
        <v>9</v>
      </c>
      <c r="E28" t="s">
        <v>4754</v>
      </c>
      <c r="F28" t="s">
        <v>1604</v>
      </c>
      <c r="G28">
        <v>502</v>
      </c>
      <c r="H28">
        <v>22</v>
      </c>
      <c r="I28" t="s">
        <v>4748</v>
      </c>
      <c r="J28" t="s">
        <v>4760</v>
      </c>
      <c r="K28">
        <v>10.4</v>
      </c>
    </row>
    <row r="29" spans="1:11">
      <c r="A29" t="s">
        <v>1634</v>
      </c>
      <c r="B29" s="17">
        <v>40454</v>
      </c>
      <c r="C29">
        <v>2010</v>
      </c>
      <c r="D29" t="s">
        <v>376</v>
      </c>
      <c r="E29" t="s">
        <v>4753</v>
      </c>
      <c r="F29" t="s">
        <v>1611</v>
      </c>
      <c r="G29">
        <v>797</v>
      </c>
      <c r="H29">
        <v>47</v>
      </c>
      <c r="I29" t="s">
        <v>4750</v>
      </c>
      <c r="J29" t="s">
        <v>4761</v>
      </c>
      <c r="K29">
        <v>0.4</v>
      </c>
    </row>
    <row r="30" spans="1:11">
      <c r="A30" t="s">
        <v>1635</v>
      </c>
      <c r="B30" s="17">
        <v>40468</v>
      </c>
      <c r="C30">
        <v>2010</v>
      </c>
      <c r="D30" t="s">
        <v>1610</v>
      </c>
      <c r="E30" t="s">
        <v>4751</v>
      </c>
      <c r="F30" t="s">
        <v>1611</v>
      </c>
      <c r="G30">
        <v>1570</v>
      </c>
      <c r="H30">
        <v>36</v>
      </c>
      <c r="I30" t="s">
        <v>4752</v>
      </c>
      <c r="J30" t="s">
        <v>4762</v>
      </c>
      <c r="K30">
        <v>-3.6</v>
      </c>
    </row>
    <row r="31" spans="1:11">
      <c r="A31" t="s">
        <v>1636</v>
      </c>
      <c r="B31" s="17">
        <v>40478</v>
      </c>
      <c r="C31">
        <v>2010</v>
      </c>
      <c r="D31" t="s">
        <v>53</v>
      </c>
      <c r="E31" t="s">
        <v>4749</v>
      </c>
      <c r="F31" t="s">
        <v>1611</v>
      </c>
      <c r="G31">
        <v>898</v>
      </c>
      <c r="H31">
        <v>36</v>
      </c>
      <c r="I31" t="s">
        <v>4748</v>
      </c>
      <c r="J31" t="s">
        <v>4760</v>
      </c>
      <c r="K31">
        <v>-1.7</v>
      </c>
    </row>
    <row r="32" spans="1:11">
      <c r="A32" t="s">
        <v>1637</v>
      </c>
      <c r="B32" s="17">
        <v>40488</v>
      </c>
      <c r="C32">
        <v>2010</v>
      </c>
      <c r="D32" t="s">
        <v>125</v>
      </c>
      <c r="E32" t="s">
        <v>4754</v>
      </c>
      <c r="F32" t="s">
        <v>1611</v>
      </c>
      <c r="G32">
        <v>2235</v>
      </c>
      <c r="H32">
        <v>36</v>
      </c>
      <c r="I32" t="s">
        <v>4748</v>
      </c>
      <c r="J32" t="s">
        <v>4760</v>
      </c>
      <c r="K32">
        <v>6.7</v>
      </c>
    </row>
    <row r="33" spans="1:11">
      <c r="A33" t="s">
        <v>1638</v>
      </c>
      <c r="B33" s="17">
        <v>40497</v>
      </c>
      <c r="C33">
        <v>2010</v>
      </c>
      <c r="D33" t="s">
        <v>17</v>
      </c>
      <c r="E33" t="s">
        <v>4751</v>
      </c>
      <c r="F33" t="s">
        <v>1604</v>
      </c>
      <c r="G33">
        <v>436</v>
      </c>
      <c r="H33">
        <v>24</v>
      </c>
      <c r="I33" t="s">
        <v>4752</v>
      </c>
      <c r="J33" t="s">
        <v>4762</v>
      </c>
      <c r="K33">
        <v>-2.2000000000000002</v>
      </c>
    </row>
    <row r="34" spans="1:11">
      <c r="A34" t="s">
        <v>1639</v>
      </c>
      <c r="B34" s="17">
        <v>40498</v>
      </c>
      <c r="C34">
        <v>2010</v>
      </c>
      <c r="D34" t="s">
        <v>1640</v>
      </c>
      <c r="E34" t="s">
        <v>4747</v>
      </c>
      <c r="F34" t="s">
        <v>1611</v>
      </c>
      <c r="G34">
        <v>1232</v>
      </c>
      <c r="H34">
        <v>25</v>
      </c>
      <c r="I34" t="s">
        <v>4752</v>
      </c>
      <c r="J34" t="s">
        <v>4762</v>
      </c>
      <c r="K34">
        <v>-13.5</v>
      </c>
    </row>
    <row r="35" spans="1:11">
      <c r="A35" t="s">
        <v>1641</v>
      </c>
      <c r="B35" s="17">
        <v>40521</v>
      </c>
      <c r="C35">
        <v>2010</v>
      </c>
      <c r="D35" t="s">
        <v>125</v>
      </c>
      <c r="E35" t="s">
        <v>4751</v>
      </c>
      <c r="F35" t="s">
        <v>1611</v>
      </c>
      <c r="G35">
        <v>1845</v>
      </c>
      <c r="H35">
        <v>17</v>
      </c>
      <c r="I35" t="s">
        <v>4752</v>
      </c>
      <c r="J35" t="s">
        <v>4762</v>
      </c>
      <c r="K35">
        <v>-23</v>
      </c>
    </row>
    <row r="36" spans="1:11">
      <c r="A36" t="s">
        <v>1642</v>
      </c>
      <c r="B36" s="17">
        <v>40547</v>
      </c>
      <c r="C36">
        <v>2011</v>
      </c>
      <c r="D36" t="s">
        <v>304</v>
      </c>
      <c r="E36" t="s">
        <v>4747</v>
      </c>
      <c r="F36" t="s">
        <v>1604</v>
      </c>
      <c r="G36">
        <v>118</v>
      </c>
      <c r="H36">
        <v>13</v>
      </c>
      <c r="I36" t="s">
        <v>4748</v>
      </c>
      <c r="J36" t="s">
        <v>4760</v>
      </c>
      <c r="K36">
        <v>18.3</v>
      </c>
    </row>
    <row r="37" spans="1:11">
      <c r="A37" t="s">
        <v>1643</v>
      </c>
      <c r="B37" s="17">
        <v>40551</v>
      </c>
      <c r="C37">
        <v>2011</v>
      </c>
      <c r="D37" t="s">
        <v>215</v>
      </c>
      <c r="E37" t="s">
        <v>4751</v>
      </c>
      <c r="F37" t="s">
        <v>1611</v>
      </c>
      <c r="G37">
        <v>723</v>
      </c>
      <c r="H37">
        <v>34</v>
      </c>
      <c r="I37" t="s">
        <v>4748</v>
      </c>
      <c r="J37" t="s">
        <v>4760</v>
      </c>
      <c r="K37">
        <v>10.6</v>
      </c>
    </row>
    <row r="38" spans="1:11">
      <c r="A38" t="s">
        <v>1644</v>
      </c>
      <c r="B38" s="17">
        <v>40563</v>
      </c>
      <c r="C38">
        <v>2011</v>
      </c>
      <c r="D38" t="s">
        <v>130</v>
      </c>
      <c r="E38" t="s">
        <v>4754</v>
      </c>
      <c r="F38" t="s">
        <v>1604</v>
      </c>
      <c r="G38">
        <v>276</v>
      </c>
      <c r="H38">
        <v>21</v>
      </c>
      <c r="I38" t="s">
        <v>4750</v>
      </c>
      <c r="J38" t="s">
        <v>4761</v>
      </c>
      <c r="K38">
        <v>0.1</v>
      </c>
    </row>
    <row r="39" spans="1:11">
      <c r="A39" t="s">
        <v>1645</v>
      </c>
      <c r="B39" s="17">
        <v>40570</v>
      </c>
      <c r="C39">
        <v>2011</v>
      </c>
      <c r="D39" t="s">
        <v>1603</v>
      </c>
      <c r="E39" t="s">
        <v>4747</v>
      </c>
      <c r="F39" t="s">
        <v>1611</v>
      </c>
      <c r="G39">
        <v>794</v>
      </c>
      <c r="H39">
        <v>29</v>
      </c>
      <c r="I39" t="s">
        <v>4752</v>
      </c>
      <c r="J39" t="s">
        <v>4762</v>
      </c>
      <c r="K39">
        <v>-8.6</v>
      </c>
    </row>
    <row r="40" spans="1:11">
      <c r="A40" t="s">
        <v>1646</v>
      </c>
      <c r="B40" s="17">
        <v>40578</v>
      </c>
      <c r="C40">
        <v>2011</v>
      </c>
      <c r="D40" t="s">
        <v>1403</v>
      </c>
      <c r="E40" t="s">
        <v>4754</v>
      </c>
      <c r="F40" t="s">
        <v>1604</v>
      </c>
      <c r="G40">
        <v>348</v>
      </c>
      <c r="H40">
        <v>6</v>
      </c>
      <c r="I40" t="s">
        <v>4748</v>
      </c>
      <c r="J40" t="s">
        <v>4760</v>
      </c>
      <c r="K40">
        <v>7</v>
      </c>
    </row>
    <row r="41" spans="1:11">
      <c r="A41" t="s">
        <v>1647</v>
      </c>
      <c r="B41" s="17">
        <v>40582</v>
      </c>
      <c r="C41">
        <v>2011</v>
      </c>
      <c r="D41" t="s">
        <v>23</v>
      </c>
      <c r="E41" t="s">
        <v>4757</v>
      </c>
      <c r="F41" t="s">
        <v>1611</v>
      </c>
      <c r="G41">
        <v>1907</v>
      </c>
      <c r="H41">
        <v>37</v>
      </c>
      <c r="I41" t="s">
        <v>4748</v>
      </c>
      <c r="J41" t="s">
        <v>4760</v>
      </c>
      <c r="K41">
        <v>-2.6</v>
      </c>
    </row>
    <row r="42" spans="1:11">
      <c r="A42" t="s">
        <v>1648</v>
      </c>
      <c r="B42" s="17">
        <v>40593</v>
      </c>
      <c r="C42">
        <v>2011</v>
      </c>
      <c r="D42" t="s">
        <v>146</v>
      </c>
      <c r="E42" t="s">
        <v>4757</v>
      </c>
      <c r="F42" t="s">
        <v>1604</v>
      </c>
      <c r="G42">
        <v>104</v>
      </c>
      <c r="H42">
        <v>17</v>
      </c>
      <c r="I42" t="s">
        <v>4752</v>
      </c>
      <c r="J42" t="s">
        <v>4762</v>
      </c>
      <c r="K42">
        <v>-16</v>
      </c>
    </row>
    <row r="43" spans="1:11">
      <c r="A43" t="s">
        <v>1649</v>
      </c>
      <c r="B43" s="17">
        <v>40597</v>
      </c>
      <c r="C43">
        <v>2011</v>
      </c>
      <c r="D43" t="s">
        <v>9</v>
      </c>
      <c r="E43" t="s">
        <v>4757</v>
      </c>
      <c r="F43" t="s">
        <v>1611</v>
      </c>
      <c r="G43">
        <v>1449</v>
      </c>
      <c r="H43">
        <v>42</v>
      </c>
      <c r="I43" t="s">
        <v>4748</v>
      </c>
      <c r="J43" t="s">
        <v>4760</v>
      </c>
      <c r="K43">
        <v>5.4</v>
      </c>
    </row>
    <row r="44" spans="1:11">
      <c r="A44" t="s">
        <v>1650</v>
      </c>
      <c r="B44" s="17">
        <v>40598</v>
      </c>
      <c r="C44">
        <v>2011</v>
      </c>
      <c r="D44" t="s">
        <v>42</v>
      </c>
      <c r="E44" t="s">
        <v>4751</v>
      </c>
      <c r="F44" t="s">
        <v>1604</v>
      </c>
      <c r="G44">
        <v>133</v>
      </c>
      <c r="H44">
        <v>10</v>
      </c>
      <c r="I44" t="s">
        <v>4748</v>
      </c>
      <c r="J44" t="s">
        <v>4760</v>
      </c>
      <c r="K44">
        <v>21.6</v>
      </c>
    </row>
    <row r="45" spans="1:11">
      <c r="A45" t="s">
        <v>1651</v>
      </c>
      <c r="B45" s="17">
        <v>40606</v>
      </c>
      <c r="C45">
        <v>2011</v>
      </c>
      <c r="D45" t="s">
        <v>1608</v>
      </c>
      <c r="E45" t="s">
        <v>4751</v>
      </c>
      <c r="F45" t="s">
        <v>1611</v>
      </c>
      <c r="G45">
        <v>862</v>
      </c>
      <c r="H45">
        <v>28</v>
      </c>
      <c r="I45" t="s">
        <v>4750</v>
      </c>
      <c r="J45" t="s">
        <v>4761</v>
      </c>
      <c r="K45">
        <v>-5.9</v>
      </c>
    </row>
    <row r="46" spans="1:11">
      <c r="A46" t="s">
        <v>1652</v>
      </c>
      <c r="B46" s="17">
        <v>40609</v>
      </c>
      <c r="C46">
        <v>2011</v>
      </c>
      <c r="D46" t="s">
        <v>1640</v>
      </c>
      <c r="E46" t="s">
        <v>4755</v>
      </c>
      <c r="F46" t="s">
        <v>1611</v>
      </c>
      <c r="G46">
        <v>716</v>
      </c>
      <c r="H46">
        <v>32</v>
      </c>
      <c r="I46" t="s">
        <v>4748</v>
      </c>
      <c r="J46" t="s">
        <v>4760</v>
      </c>
      <c r="K46">
        <v>6.4</v>
      </c>
    </row>
    <row r="47" spans="1:11">
      <c r="A47" t="s">
        <v>1653</v>
      </c>
      <c r="B47" s="17">
        <v>40620</v>
      </c>
      <c r="C47">
        <v>2011</v>
      </c>
      <c r="D47" t="s">
        <v>146</v>
      </c>
      <c r="E47" t="s">
        <v>4757</v>
      </c>
      <c r="F47" t="s">
        <v>1611</v>
      </c>
      <c r="G47">
        <v>1007</v>
      </c>
      <c r="H47">
        <v>37</v>
      </c>
      <c r="I47" t="s">
        <v>4748</v>
      </c>
      <c r="J47" t="s">
        <v>4760</v>
      </c>
      <c r="K47">
        <v>6.9</v>
      </c>
    </row>
    <row r="48" spans="1:11">
      <c r="A48" t="s">
        <v>1654</v>
      </c>
      <c r="B48" s="17">
        <v>40643</v>
      </c>
      <c r="C48">
        <v>2011</v>
      </c>
      <c r="D48" t="s">
        <v>1603</v>
      </c>
      <c r="E48" t="s">
        <v>4758</v>
      </c>
      <c r="F48" t="s">
        <v>1611</v>
      </c>
      <c r="G48">
        <v>711</v>
      </c>
      <c r="H48">
        <v>34</v>
      </c>
      <c r="I48" t="s">
        <v>4748</v>
      </c>
      <c r="J48" t="s">
        <v>4760</v>
      </c>
      <c r="K48">
        <v>14.5</v>
      </c>
    </row>
    <row r="49" spans="1:11">
      <c r="A49" t="s">
        <v>1655</v>
      </c>
      <c r="B49" s="17">
        <v>40644</v>
      </c>
      <c r="C49">
        <v>2011</v>
      </c>
      <c r="D49" t="s">
        <v>215</v>
      </c>
      <c r="E49" t="s">
        <v>4751</v>
      </c>
      <c r="F49" t="s">
        <v>1604</v>
      </c>
      <c r="G49">
        <v>142</v>
      </c>
      <c r="H49">
        <v>18</v>
      </c>
      <c r="I49" t="s">
        <v>4750</v>
      </c>
      <c r="J49" t="s">
        <v>4761</v>
      </c>
      <c r="K49">
        <v>-13.4</v>
      </c>
    </row>
    <row r="50" spans="1:11">
      <c r="A50" t="s">
        <v>1656</v>
      </c>
      <c r="B50" s="17">
        <v>40657</v>
      </c>
      <c r="C50">
        <v>2011</v>
      </c>
      <c r="D50" t="s">
        <v>125</v>
      </c>
      <c r="E50" t="s">
        <v>4747</v>
      </c>
      <c r="F50" t="s">
        <v>1604</v>
      </c>
      <c r="G50">
        <v>270</v>
      </c>
      <c r="H50">
        <v>9</v>
      </c>
      <c r="I50" t="s">
        <v>4748</v>
      </c>
      <c r="J50" t="s">
        <v>4760</v>
      </c>
      <c r="K50">
        <v>16.100000000000001</v>
      </c>
    </row>
    <row r="51" spans="1:11">
      <c r="A51" t="s">
        <v>1657</v>
      </c>
      <c r="B51" s="17">
        <v>40667</v>
      </c>
      <c r="C51">
        <v>2011</v>
      </c>
      <c r="D51" t="s">
        <v>1610</v>
      </c>
      <c r="E51" t="s">
        <v>4757</v>
      </c>
      <c r="F51" t="s">
        <v>1604</v>
      </c>
      <c r="G51">
        <v>121</v>
      </c>
      <c r="H51">
        <v>27</v>
      </c>
      <c r="I51" t="s">
        <v>4750</v>
      </c>
      <c r="J51" t="s">
        <v>4761</v>
      </c>
      <c r="K51">
        <v>-4.5999999999999996</v>
      </c>
    </row>
    <row r="52" spans="1:11">
      <c r="A52" t="s">
        <v>1658</v>
      </c>
      <c r="B52" s="17">
        <v>40674</v>
      </c>
      <c r="C52">
        <v>2011</v>
      </c>
      <c r="D52" t="s">
        <v>125</v>
      </c>
      <c r="E52" t="s">
        <v>4751</v>
      </c>
      <c r="F52" t="s">
        <v>1604</v>
      </c>
      <c r="G52">
        <v>556</v>
      </c>
      <c r="H52">
        <v>20</v>
      </c>
      <c r="I52" t="s">
        <v>4748</v>
      </c>
      <c r="J52" t="s">
        <v>4760</v>
      </c>
      <c r="K52">
        <v>10.5</v>
      </c>
    </row>
    <row r="53" spans="1:11">
      <c r="A53" t="s">
        <v>1659</v>
      </c>
      <c r="B53" s="17">
        <v>40676</v>
      </c>
      <c r="C53">
        <v>2011</v>
      </c>
      <c r="D53" t="s">
        <v>1603</v>
      </c>
      <c r="E53" t="s">
        <v>4751</v>
      </c>
      <c r="F53" t="s">
        <v>1611</v>
      </c>
      <c r="G53">
        <v>834</v>
      </c>
      <c r="H53">
        <v>35</v>
      </c>
      <c r="I53" t="s">
        <v>4752</v>
      </c>
      <c r="J53" t="s">
        <v>4762</v>
      </c>
      <c r="K53">
        <v>-17.2</v>
      </c>
    </row>
    <row r="54" spans="1:11">
      <c r="A54" t="s">
        <v>1660</v>
      </c>
      <c r="B54" s="17">
        <v>40696</v>
      </c>
      <c r="C54">
        <v>2011</v>
      </c>
      <c r="D54" t="s">
        <v>17</v>
      </c>
      <c r="E54" t="s">
        <v>4757</v>
      </c>
      <c r="F54" t="s">
        <v>1611</v>
      </c>
      <c r="G54">
        <v>1416</v>
      </c>
      <c r="H54">
        <v>34</v>
      </c>
      <c r="I54" t="s">
        <v>4752</v>
      </c>
      <c r="J54" t="s">
        <v>4762</v>
      </c>
      <c r="K54">
        <v>-33.1</v>
      </c>
    </row>
    <row r="55" spans="1:11">
      <c r="A55" t="s">
        <v>1661</v>
      </c>
      <c r="B55" s="17">
        <v>40696</v>
      </c>
      <c r="C55">
        <v>2011</v>
      </c>
      <c r="D55" t="s">
        <v>215</v>
      </c>
      <c r="E55" t="s">
        <v>4751</v>
      </c>
      <c r="F55" t="s">
        <v>1611</v>
      </c>
      <c r="G55">
        <v>923</v>
      </c>
      <c r="H55">
        <v>27</v>
      </c>
      <c r="I55" t="s">
        <v>4752</v>
      </c>
      <c r="J55" t="s">
        <v>4762</v>
      </c>
      <c r="K55">
        <v>-17.600000000000001</v>
      </c>
    </row>
    <row r="56" spans="1:11">
      <c r="A56" t="s">
        <v>1662</v>
      </c>
      <c r="B56" s="17">
        <v>40697</v>
      </c>
      <c r="C56">
        <v>2011</v>
      </c>
      <c r="D56" t="s">
        <v>1403</v>
      </c>
      <c r="E56" t="s">
        <v>4759</v>
      </c>
      <c r="F56" t="s">
        <v>1604</v>
      </c>
      <c r="G56">
        <v>145</v>
      </c>
      <c r="H56">
        <v>23</v>
      </c>
      <c r="I56" t="s">
        <v>4750</v>
      </c>
      <c r="J56" t="s">
        <v>4761</v>
      </c>
      <c r="K56">
        <v>-4.4000000000000004</v>
      </c>
    </row>
    <row r="57" spans="1:11">
      <c r="A57" t="s">
        <v>1663</v>
      </c>
      <c r="B57" s="17">
        <v>40697</v>
      </c>
      <c r="C57">
        <v>2011</v>
      </c>
      <c r="D57" t="s">
        <v>1608</v>
      </c>
      <c r="E57" t="s">
        <v>4759</v>
      </c>
      <c r="F57" t="s">
        <v>1611</v>
      </c>
      <c r="G57">
        <v>1010</v>
      </c>
      <c r="H57">
        <v>44</v>
      </c>
      <c r="I57" t="s">
        <v>4752</v>
      </c>
      <c r="J57" t="s">
        <v>4762</v>
      </c>
      <c r="K57">
        <v>-35.799999999999997</v>
      </c>
    </row>
    <row r="58" spans="1:11">
      <c r="A58" t="s">
        <v>1664</v>
      </c>
      <c r="B58" s="17">
        <v>40713</v>
      </c>
      <c r="C58">
        <v>2011</v>
      </c>
      <c r="D58" t="s">
        <v>146</v>
      </c>
      <c r="E58" t="s">
        <v>4753</v>
      </c>
      <c r="F58" t="s">
        <v>1611</v>
      </c>
      <c r="G58">
        <v>489</v>
      </c>
      <c r="H58">
        <v>40</v>
      </c>
      <c r="I58" t="s">
        <v>4748</v>
      </c>
      <c r="J58" t="s">
        <v>4760</v>
      </c>
      <c r="K58">
        <v>1.3</v>
      </c>
    </row>
    <row r="59" spans="1:11">
      <c r="A59" t="s">
        <v>1665</v>
      </c>
      <c r="B59" s="17">
        <v>40717</v>
      </c>
      <c r="C59">
        <v>2011</v>
      </c>
      <c r="D59" t="s">
        <v>42</v>
      </c>
      <c r="E59" t="s">
        <v>4751</v>
      </c>
      <c r="F59" t="s">
        <v>1604</v>
      </c>
      <c r="G59">
        <v>350</v>
      </c>
      <c r="H59">
        <v>26</v>
      </c>
      <c r="I59" t="s">
        <v>4750</v>
      </c>
      <c r="J59" t="s">
        <v>4761</v>
      </c>
      <c r="K59">
        <v>-6.5</v>
      </c>
    </row>
    <row r="60" spans="1:11">
      <c r="A60" t="s">
        <v>1666</v>
      </c>
      <c r="B60" s="17">
        <v>40720</v>
      </c>
      <c r="C60">
        <v>2011</v>
      </c>
      <c r="D60" t="s">
        <v>376</v>
      </c>
      <c r="E60" t="s">
        <v>4749</v>
      </c>
      <c r="F60" t="s">
        <v>1604</v>
      </c>
      <c r="G60">
        <v>360</v>
      </c>
      <c r="H60">
        <v>22</v>
      </c>
      <c r="I60" t="s">
        <v>4748</v>
      </c>
      <c r="J60" t="s">
        <v>4760</v>
      </c>
      <c r="K60">
        <v>1.1000000000000001</v>
      </c>
    </row>
    <row r="61" spans="1:11">
      <c r="A61" t="s">
        <v>1667</v>
      </c>
      <c r="B61" s="17">
        <v>40725</v>
      </c>
      <c r="C61">
        <v>2011</v>
      </c>
      <c r="D61" t="s">
        <v>1403</v>
      </c>
      <c r="E61" t="s">
        <v>4756</v>
      </c>
      <c r="F61" t="s">
        <v>1604</v>
      </c>
      <c r="G61">
        <v>375</v>
      </c>
      <c r="H61">
        <v>6</v>
      </c>
      <c r="I61" t="s">
        <v>4748</v>
      </c>
      <c r="J61" t="s">
        <v>4760</v>
      </c>
      <c r="K61">
        <v>4.8</v>
      </c>
    </row>
    <row r="62" spans="1:11">
      <c r="A62" t="s">
        <v>1668</v>
      </c>
      <c r="B62" s="17">
        <v>40731</v>
      </c>
      <c r="C62">
        <v>2011</v>
      </c>
      <c r="D62" t="s">
        <v>67</v>
      </c>
      <c r="E62" t="s">
        <v>4759</v>
      </c>
      <c r="F62" t="s">
        <v>1604</v>
      </c>
      <c r="G62">
        <v>134</v>
      </c>
      <c r="H62">
        <v>28</v>
      </c>
      <c r="I62" t="s">
        <v>4748</v>
      </c>
      <c r="J62" t="s">
        <v>4760</v>
      </c>
      <c r="K62">
        <v>6.4</v>
      </c>
    </row>
    <row r="63" spans="1:11">
      <c r="A63" t="s">
        <v>1669</v>
      </c>
      <c r="B63" s="17">
        <v>40734</v>
      </c>
      <c r="C63">
        <v>2011</v>
      </c>
      <c r="D63" t="s">
        <v>53</v>
      </c>
      <c r="E63" t="s">
        <v>4757</v>
      </c>
      <c r="F63" t="s">
        <v>1611</v>
      </c>
      <c r="G63">
        <v>689</v>
      </c>
      <c r="H63">
        <v>42</v>
      </c>
      <c r="I63" t="s">
        <v>4752</v>
      </c>
      <c r="J63" t="s">
        <v>4762</v>
      </c>
      <c r="K63">
        <v>-0.9</v>
      </c>
    </row>
    <row r="64" spans="1:11">
      <c r="A64" t="s">
        <v>1670</v>
      </c>
      <c r="B64" s="17">
        <v>40736</v>
      </c>
      <c r="C64">
        <v>2011</v>
      </c>
      <c r="D64" t="s">
        <v>1403</v>
      </c>
      <c r="E64" t="s">
        <v>4749</v>
      </c>
      <c r="F64" t="s">
        <v>1604</v>
      </c>
      <c r="G64">
        <v>200</v>
      </c>
      <c r="H64">
        <v>14</v>
      </c>
      <c r="I64" t="s">
        <v>4750</v>
      </c>
      <c r="J64" t="s">
        <v>4761</v>
      </c>
      <c r="K64">
        <v>-3</v>
      </c>
    </row>
    <row r="65" spans="1:11">
      <c r="A65" t="s">
        <v>1671</v>
      </c>
      <c r="B65" s="17">
        <v>40744</v>
      </c>
      <c r="C65">
        <v>2011</v>
      </c>
      <c r="D65" t="s">
        <v>1603</v>
      </c>
      <c r="E65" t="s">
        <v>4754</v>
      </c>
      <c r="F65" t="s">
        <v>1604</v>
      </c>
      <c r="G65">
        <v>210</v>
      </c>
      <c r="H65">
        <v>21</v>
      </c>
      <c r="I65" t="s">
        <v>4748</v>
      </c>
      <c r="J65" t="s">
        <v>4760</v>
      </c>
      <c r="K65">
        <v>4.8</v>
      </c>
    </row>
    <row r="66" spans="1:11">
      <c r="A66" t="s">
        <v>1672</v>
      </c>
      <c r="B66" s="17">
        <v>40749</v>
      </c>
      <c r="C66">
        <v>2011</v>
      </c>
      <c r="D66" t="s">
        <v>1640</v>
      </c>
      <c r="E66" t="s">
        <v>4758</v>
      </c>
      <c r="F66" t="s">
        <v>1611</v>
      </c>
      <c r="G66">
        <v>836</v>
      </c>
      <c r="H66">
        <v>32</v>
      </c>
      <c r="I66" t="s">
        <v>4748</v>
      </c>
      <c r="J66" t="s">
        <v>4760</v>
      </c>
      <c r="K66">
        <v>12.8</v>
      </c>
    </row>
    <row r="67" spans="1:11">
      <c r="A67" t="s">
        <v>1673</v>
      </c>
      <c r="B67" s="17">
        <v>40758</v>
      </c>
      <c r="C67">
        <v>2011</v>
      </c>
      <c r="D67" t="s">
        <v>376</v>
      </c>
      <c r="E67" t="s">
        <v>4751</v>
      </c>
      <c r="F67" t="s">
        <v>1611</v>
      </c>
      <c r="G67">
        <v>1818</v>
      </c>
      <c r="H67">
        <v>30</v>
      </c>
      <c r="I67" t="s">
        <v>4748</v>
      </c>
      <c r="J67" t="s">
        <v>4760</v>
      </c>
      <c r="K67">
        <v>-1.1000000000000001</v>
      </c>
    </row>
    <row r="68" spans="1:11">
      <c r="A68" t="s">
        <v>1674</v>
      </c>
      <c r="B68" s="17">
        <v>40768</v>
      </c>
      <c r="C68">
        <v>2011</v>
      </c>
      <c r="D68" t="s">
        <v>17</v>
      </c>
      <c r="E68" t="s">
        <v>4751</v>
      </c>
      <c r="F68" t="s">
        <v>1611</v>
      </c>
      <c r="G68">
        <v>498</v>
      </c>
      <c r="H68">
        <v>29</v>
      </c>
      <c r="I68" t="s">
        <v>4752</v>
      </c>
      <c r="J68" t="s">
        <v>4762</v>
      </c>
      <c r="K68">
        <v>-0.5</v>
      </c>
    </row>
    <row r="69" spans="1:11">
      <c r="A69" t="s">
        <v>1675</v>
      </c>
      <c r="B69" s="17">
        <v>40804</v>
      </c>
      <c r="C69">
        <v>2011</v>
      </c>
      <c r="D69" t="s">
        <v>1676</v>
      </c>
      <c r="E69" t="s">
        <v>4749</v>
      </c>
      <c r="F69" t="s">
        <v>1604</v>
      </c>
      <c r="G69">
        <v>148</v>
      </c>
      <c r="H69">
        <v>9</v>
      </c>
      <c r="I69" t="s">
        <v>4748</v>
      </c>
      <c r="J69" t="s">
        <v>4760</v>
      </c>
      <c r="K69">
        <v>10.7</v>
      </c>
    </row>
    <row r="70" spans="1:11">
      <c r="A70" t="s">
        <v>1677</v>
      </c>
      <c r="B70" s="17">
        <v>40823</v>
      </c>
      <c r="C70">
        <v>2011</v>
      </c>
      <c r="D70" t="s">
        <v>1640</v>
      </c>
      <c r="E70" t="s">
        <v>4751</v>
      </c>
      <c r="F70" t="s">
        <v>1604</v>
      </c>
      <c r="G70">
        <v>251</v>
      </c>
      <c r="H70">
        <v>18</v>
      </c>
      <c r="I70" t="s">
        <v>4750</v>
      </c>
      <c r="J70" t="s">
        <v>4761</v>
      </c>
      <c r="K70">
        <v>-1.7</v>
      </c>
    </row>
    <row r="71" spans="1:11">
      <c r="A71" t="s">
        <v>1678</v>
      </c>
      <c r="B71" s="17">
        <v>40824</v>
      </c>
      <c r="C71">
        <v>2011</v>
      </c>
      <c r="D71" t="s">
        <v>1640</v>
      </c>
      <c r="E71" t="s">
        <v>4755</v>
      </c>
      <c r="F71" t="s">
        <v>1604</v>
      </c>
      <c r="G71">
        <v>163</v>
      </c>
      <c r="H71">
        <v>10</v>
      </c>
      <c r="I71" t="s">
        <v>4748</v>
      </c>
      <c r="J71" t="s">
        <v>4760</v>
      </c>
      <c r="K71">
        <v>4.8</v>
      </c>
    </row>
    <row r="72" spans="1:11">
      <c r="A72" t="s">
        <v>1679</v>
      </c>
      <c r="B72" s="17">
        <v>40848</v>
      </c>
      <c r="C72">
        <v>2011</v>
      </c>
      <c r="D72" t="s">
        <v>17</v>
      </c>
      <c r="E72" t="s">
        <v>4754</v>
      </c>
      <c r="F72" t="s">
        <v>1611</v>
      </c>
      <c r="G72">
        <v>1179</v>
      </c>
      <c r="H72">
        <v>45</v>
      </c>
      <c r="I72" t="s">
        <v>4748</v>
      </c>
      <c r="J72" t="s">
        <v>4760</v>
      </c>
      <c r="K72">
        <v>7.6</v>
      </c>
    </row>
    <row r="73" spans="1:11">
      <c r="A73" t="s">
        <v>1680</v>
      </c>
      <c r="B73" s="17">
        <v>40852</v>
      </c>
      <c r="C73">
        <v>2011</v>
      </c>
      <c r="D73" t="s">
        <v>215</v>
      </c>
      <c r="E73" t="s">
        <v>4753</v>
      </c>
      <c r="F73" t="s">
        <v>1611</v>
      </c>
      <c r="G73">
        <v>1639</v>
      </c>
      <c r="H73">
        <v>19</v>
      </c>
      <c r="I73" t="s">
        <v>4750</v>
      </c>
      <c r="J73" t="s">
        <v>4761</v>
      </c>
      <c r="K73">
        <v>-0.8</v>
      </c>
    </row>
    <row r="74" spans="1:11">
      <c r="A74" t="s">
        <v>1681</v>
      </c>
      <c r="B74" s="17">
        <v>40865</v>
      </c>
      <c r="C74">
        <v>2011</v>
      </c>
      <c r="D74" t="s">
        <v>1610</v>
      </c>
      <c r="E74" t="s">
        <v>4753</v>
      </c>
      <c r="F74" t="s">
        <v>1604</v>
      </c>
      <c r="G74">
        <v>125</v>
      </c>
      <c r="H74">
        <v>22</v>
      </c>
      <c r="I74" t="s">
        <v>4748</v>
      </c>
      <c r="J74" t="s">
        <v>4760</v>
      </c>
      <c r="K74">
        <v>2.6</v>
      </c>
    </row>
    <row r="75" spans="1:11">
      <c r="A75" t="s">
        <v>1682</v>
      </c>
      <c r="B75" s="17">
        <v>40885</v>
      </c>
      <c r="C75">
        <v>2011</v>
      </c>
      <c r="D75" t="s">
        <v>42</v>
      </c>
      <c r="E75" t="s">
        <v>4754</v>
      </c>
      <c r="F75" t="s">
        <v>1604</v>
      </c>
      <c r="G75">
        <v>274</v>
      </c>
      <c r="H75">
        <v>18</v>
      </c>
      <c r="I75" t="s">
        <v>4748</v>
      </c>
      <c r="J75" t="s">
        <v>4760</v>
      </c>
      <c r="K75">
        <v>0.7</v>
      </c>
    </row>
    <row r="76" spans="1:11">
      <c r="A76" t="s">
        <v>1683</v>
      </c>
      <c r="B76" s="17">
        <v>40888</v>
      </c>
      <c r="C76">
        <v>2011</v>
      </c>
      <c r="D76" t="s">
        <v>53</v>
      </c>
      <c r="E76" t="s">
        <v>4751</v>
      </c>
      <c r="F76" t="s">
        <v>1611</v>
      </c>
      <c r="G76">
        <v>1190</v>
      </c>
      <c r="H76">
        <v>44</v>
      </c>
      <c r="I76" t="s">
        <v>4750</v>
      </c>
      <c r="J76" t="s">
        <v>4761</v>
      </c>
      <c r="K76">
        <v>-6</v>
      </c>
    </row>
    <row r="77" spans="1:11">
      <c r="A77" t="s">
        <v>1684</v>
      </c>
      <c r="B77" s="17">
        <v>40903</v>
      </c>
      <c r="C77">
        <v>2011</v>
      </c>
      <c r="D77" t="s">
        <v>38</v>
      </c>
      <c r="E77" t="s">
        <v>4747</v>
      </c>
      <c r="F77" t="s">
        <v>1604</v>
      </c>
      <c r="G77">
        <v>250</v>
      </c>
      <c r="H77">
        <v>12</v>
      </c>
      <c r="I77" t="s">
        <v>4750</v>
      </c>
      <c r="J77" t="s">
        <v>4761</v>
      </c>
      <c r="K77">
        <v>0.1</v>
      </c>
    </row>
    <row r="78" spans="1:11">
      <c r="A78" t="s">
        <v>1685</v>
      </c>
      <c r="B78" s="17">
        <v>40910</v>
      </c>
      <c r="C78">
        <v>2012</v>
      </c>
      <c r="D78" t="s">
        <v>125</v>
      </c>
      <c r="E78" t="s">
        <v>4751</v>
      </c>
      <c r="F78" t="s">
        <v>1611</v>
      </c>
      <c r="G78">
        <v>1631</v>
      </c>
      <c r="H78">
        <v>32</v>
      </c>
      <c r="I78" t="s">
        <v>4752</v>
      </c>
      <c r="J78" t="s">
        <v>4762</v>
      </c>
      <c r="K78">
        <v>2.2000000000000002</v>
      </c>
    </row>
    <row r="79" spans="1:11">
      <c r="A79" t="s">
        <v>1686</v>
      </c>
      <c r="B79" s="17">
        <v>40940</v>
      </c>
      <c r="C79">
        <v>2012</v>
      </c>
      <c r="D79" t="s">
        <v>125</v>
      </c>
      <c r="E79" t="s">
        <v>4747</v>
      </c>
      <c r="F79" t="s">
        <v>1611</v>
      </c>
      <c r="G79">
        <v>484</v>
      </c>
      <c r="H79">
        <v>43</v>
      </c>
      <c r="I79" t="s">
        <v>4752</v>
      </c>
      <c r="J79" t="s">
        <v>4762</v>
      </c>
      <c r="K79">
        <v>-11.2</v>
      </c>
    </row>
    <row r="80" spans="1:11">
      <c r="A80" t="s">
        <v>1687</v>
      </c>
      <c r="B80" s="17">
        <v>40940</v>
      </c>
      <c r="C80">
        <v>2012</v>
      </c>
      <c r="D80" t="s">
        <v>1610</v>
      </c>
      <c r="E80" t="s">
        <v>4749</v>
      </c>
      <c r="F80" t="s">
        <v>1604</v>
      </c>
      <c r="G80">
        <v>192</v>
      </c>
      <c r="H80">
        <v>25</v>
      </c>
      <c r="I80" t="s">
        <v>4748</v>
      </c>
      <c r="J80" t="s">
        <v>4760</v>
      </c>
      <c r="K80">
        <v>7.8</v>
      </c>
    </row>
    <row r="81" spans="1:11">
      <c r="A81" t="s">
        <v>1688</v>
      </c>
      <c r="B81" s="17">
        <v>40947</v>
      </c>
      <c r="C81">
        <v>2012</v>
      </c>
      <c r="D81" t="s">
        <v>53</v>
      </c>
      <c r="E81" t="s">
        <v>4751</v>
      </c>
      <c r="F81" t="s">
        <v>1611</v>
      </c>
      <c r="G81">
        <v>356</v>
      </c>
      <c r="H81">
        <v>28</v>
      </c>
      <c r="I81" t="s">
        <v>4752</v>
      </c>
      <c r="J81" t="s">
        <v>4762</v>
      </c>
      <c r="K81">
        <v>-26.5</v>
      </c>
    </row>
    <row r="82" spans="1:11">
      <c r="A82" t="s">
        <v>1689</v>
      </c>
      <c r="B82" s="17">
        <v>40949</v>
      </c>
      <c r="C82">
        <v>2012</v>
      </c>
      <c r="D82" t="s">
        <v>42</v>
      </c>
      <c r="E82" t="s">
        <v>4747</v>
      </c>
      <c r="F82" t="s">
        <v>1611</v>
      </c>
      <c r="G82">
        <v>551</v>
      </c>
      <c r="H82">
        <v>38</v>
      </c>
      <c r="I82" t="s">
        <v>4748</v>
      </c>
      <c r="J82" t="s">
        <v>4760</v>
      </c>
      <c r="K82">
        <v>8.3000000000000007</v>
      </c>
    </row>
    <row r="83" spans="1:11">
      <c r="A83" t="s">
        <v>1690</v>
      </c>
      <c r="B83" s="17">
        <v>40950</v>
      </c>
      <c r="C83">
        <v>2012</v>
      </c>
      <c r="D83" t="s">
        <v>1610</v>
      </c>
      <c r="E83" t="s">
        <v>4753</v>
      </c>
      <c r="F83" t="s">
        <v>1611</v>
      </c>
      <c r="G83">
        <v>1990</v>
      </c>
      <c r="H83">
        <v>37</v>
      </c>
      <c r="I83" t="s">
        <v>4748</v>
      </c>
      <c r="J83" t="s">
        <v>4760</v>
      </c>
      <c r="K83">
        <v>14.1</v>
      </c>
    </row>
    <row r="84" spans="1:11">
      <c r="A84" t="s">
        <v>1691</v>
      </c>
      <c r="B84" s="17">
        <v>40950</v>
      </c>
      <c r="C84">
        <v>2012</v>
      </c>
      <c r="D84" t="s">
        <v>31</v>
      </c>
      <c r="E84" t="s">
        <v>4759</v>
      </c>
      <c r="F84" t="s">
        <v>1604</v>
      </c>
      <c r="G84">
        <v>438</v>
      </c>
      <c r="H84">
        <v>10</v>
      </c>
      <c r="I84" t="s">
        <v>4748</v>
      </c>
      <c r="J84" t="s">
        <v>4760</v>
      </c>
      <c r="K84">
        <v>6.7</v>
      </c>
    </row>
    <row r="85" spans="1:11">
      <c r="A85" t="s">
        <v>1692</v>
      </c>
      <c r="B85" s="17">
        <v>40959</v>
      </c>
      <c r="C85">
        <v>2012</v>
      </c>
      <c r="D85" t="s">
        <v>53</v>
      </c>
      <c r="E85" t="s">
        <v>4755</v>
      </c>
      <c r="F85" t="s">
        <v>1604</v>
      </c>
      <c r="G85">
        <v>214</v>
      </c>
      <c r="H85">
        <v>22</v>
      </c>
      <c r="I85" t="s">
        <v>4748</v>
      </c>
      <c r="J85" t="s">
        <v>4760</v>
      </c>
      <c r="K85">
        <v>9.1999999999999993</v>
      </c>
    </row>
    <row r="86" spans="1:11">
      <c r="A86" t="s">
        <v>1693</v>
      </c>
      <c r="B86" s="17">
        <v>40966</v>
      </c>
      <c r="C86">
        <v>2012</v>
      </c>
      <c r="D86" t="s">
        <v>9</v>
      </c>
      <c r="E86" t="s">
        <v>4751</v>
      </c>
      <c r="F86" t="s">
        <v>1604</v>
      </c>
      <c r="G86">
        <v>575</v>
      </c>
      <c r="H86">
        <v>11</v>
      </c>
      <c r="I86" t="s">
        <v>4748</v>
      </c>
      <c r="J86" t="s">
        <v>4760</v>
      </c>
      <c r="K86">
        <v>6.3</v>
      </c>
    </row>
    <row r="87" spans="1:11">
      <c r="A87" t="s">
        <v>1694</v>
      </c>
      <c r="B87" s="17">
        <v>41007</v>
      </c>
      <c r="C87">
        <v>2012</v>
      </c>
      <c r="D87" t="s">
        <v>376</v>
      </c>
      <c r="E87" t="s">
        <v>4754</v>
      </c>
      <c r="F87" t="s">
        <v>1611</v>
      </c>
      <c r="G87">
        <v>852</v>
      </c>
      <c r="H87">
        <v>29</v>
      </c>
      <c r="I87" t="s">
        <v>4752</v>
      </c>
      <c r="J87" t="s">
        <v>4762</v>
      </c>
      <c r="K87">
        <v>-4.9000000000000004</v>
      </c>
    </row>
    <row r="88" spans="1:11">
      <c r="A88" t="s">
        <v>1695</v>
      </c>
      <c r="B88" s="17">
        <v>41011</v>
      </c>
      <c r="C88">
        <v>2012</v>
      </c>
      <c r="D88" t="s">
        <v>1676</v>
      </c>
      <c r="E88" t="s">
        <v>4751</v>
      </c>
      <c r="F88" t="s">
        <v>1611</v>
      </c>
      <c r="G88">
        <v>1874</v>
      </c>
      <c r="H88">
        <v>32</v>
      </c>
      <c r="I88" t="s">
        <v>4748</v>
      </c>
      <c r="J88" t="s">
        <v>4760</v>
      </c>
      <c r="K88">
        <v>7.8</v>
      </c>
    </row>
    <row r="89" spans="1:11">
      <c r="A89" t="s">
        <v>1696</v>
      </c>
      <c r="B89" s="17">
        <v>41011</v>
      </c>
      <c r="C89">
        <v>2012</v>
      </c>
      <c r="D89" t="s">
        <v>9</v>
      </c>
      <c r="E89" t="s">
        <v>4759</v>
      </c>
      <c r="F89" t="s">
        <v>1604</v>
      </c>
      <c r="G89">
        <v>242</v>
      </c>
      <c r="H89">
        <v>14</v>
      </c>
      <c r="I89" t="s">
        <v>4752</v>
      </c>
      <c r="J89" t="s">
        <v>4762</v>
      </c>
      <c r="K89">
        <v>-11.7</v>
      </c>
    </row>
    <row r="90" spans="1:11">
      <c r="A90" t="s">
        <v>1697</v>
      </c>
      <c r="B90" s="17">
        <v>41016</v>
      </c>
      <c r="C90">
        <v>2012</v>
      </c>
      <c r="D90" t="s">
        <v>9</v>
      </c>
      <c r="E90" t="s">
        <v>4758</v>
      </c>
      <c r="F90" t="s">
        <v>1611</v>
      </c>
      <c r="G90">
        <v>1962</v>
      </c>
      <c r="H90">
        <v>34</v>
      </c>
      <c r="I90" t="s">
        <v>4752</v>
      </c>
      <c r="J90" t="s">
        <v>4762</v>
      </c>
      <c r="K90">
        <v>-2.1</v>
      </c>
    </row>
    <row r="91" spans="1:11">
      <c r="A91" t="s">
        <v>1698</v>
      </c>
      <c r="B91" s="17">
        <v>41018</v>
      </c>
      <c r="C91">
        <v>2012</v>
      </c>
      <c r="D91" t="s">
        <v>38</v>
      </c>
      <c r="E91" t="s">
        <v>4747</v>
      </c>
      <c r="F91" t="s">
        <v>1611</v>
      </c>
      <c r="G91">
        <v>1145</v>
      </c>
      <c r="H91">
        <v>29</v>
      </c>
      <c r="I91" t="s">
        <v>4752</v>
      </c>
      <c r="J91" t="s">
        <v>4762</v>
      </c>
      <c r="K91">
        <v>2.6</v>
      </c>
    </row>
    <row r="92" spans="1:11">
      <c r="A92" t="s">
        <v>1699</v>
      </c>
      <c r="B92" s="17">
        <v>41021</v>
      </c>
      <c r="C92">
        <v>2012</v>
      </c>
      <c r="D92" t="s">
        <v>376</v>
      </c>
      <c r="E92" t="s">
        <v>4753</v>
      </c>
      <c r="F92" t="s">
        <v>1604</v>
      </c>
      <c r="G92">
        <v>217</v>
      </c>
      <c r="H92">
        <v>11</v>
      </c>
      <c r="I92" t="s">
        <v>4748</v>
      </c>
      <c r="J92" t="s">
        <v>4760</v>
      </c>
      <c r="K92">
        <v>4.4000000000000004</v>
      </c>
    </row>
    <row r="93" spans="1:11">
      <c r="A93" t="s">
        <v>1700</v>
      </c>
      <c r="B93" s="17">
        <v>41023</v>
      </c>
      <c r="C93">
        <v>2012</v>
      </c>
      <c r="D93" t="s">
        <v>304</v>
      </c>
      <c r="E93" t="s">
        <v>4754</v>
      </c>
      <c r="F93" t="s">
        <v>1604</v>
      </c>
      <c r="G93">
        <v>185</v>
      </c>
      <c r="H93">
        <v>18</v>
      </c>
      <c r="I93" t="s">
        <v>4748</v>
      </c>
      <c r="J93" t="s">
        <v>4760</v>
      </c>
      <c r="K93">
        <v>12.9</v>
      </c>
    </row>
    <row r="94" spans="1:11">
      <c r="A94" t="s">
        <v>1701</v>
      </c>
      <c r="B94" s="17">
        <v>41024</v>
      </c>
      <c r="C94">
        <v>2012</v>
      </c>
      <c r="D94" t="s">
        <v>1676</v>
      </c>
      <c r="E94" t="s">
        <v>4751</v>
      </c>
      <c r="F94" t="s">
        <v>1611</v>
      </c>
      <c r="G94">
        <v>641</v>
      </c>
      <c r="H94">
        <v>40</v>
      </c>
      <c r="I94" t="s">
        <v>4748</v>
      </c>
      <c r="J94" t="s">
        <v>4760</v>
      </c>
      <c r="K94">
        <v>6</v>
      </c>
    </row>
    <row r="95" spans="1:11">
      <c r="A95" t="s">
        <v>1702</v>
      </c>
      <c r="B95" s="17">
        <v>41044</v>
      </c>
      <c r="C95">
        <v>2012</v>
      </c>
      <c r="D95" t="s">
        <v>1703</v>
      </c>
      <c r="E95" t="s">
        <v>4749</v>
      </c>
      <c r="F95" t="s">
        <v>1604</v>
      </c>
      <c r="G95">
        <v>149</v>
      </c>
      <c r="H95">
        <v>25</v>
      </c>
      <c r="I95" t="s">
        <v>4750</v>
      </c>
      <c r="J95" t="s">
        <v>4761</v>
      </c>
      <c r="K95">
        <v>-6.2</v>
      </c>
    </row>
    <row r="96" spans="1:11">
      <c r="A96" t="s">
        <v>1704</v>
      </c>
      <c r="B96" s="17">
        <v>41053</v>
      </c>
      <c r="C96">
        <v>2012</v>
      </c>
      <c r="D96" t="s">
        <v>31</v>
      </c>
      <c r="E96" t="s">
        <v>4751</v>
      </c>
      <c r="F96" t="s">
        <v>1611</v>
      </c>
      <c r="G96">
        <v>2342</v>
      </c>
      <c r="H96">
        <v>27</v>
      </c>
      <c r="I96" t="s">
        <v>4752</v>
      </c>
      <c r="J96" t="s">
        <v>4762</v>
      </c>
      <c r="K96">
        <v>-18.5</v>
      </c>
    </row>
    <row r="97" spans="1:11">
      <c r="A97" t="s">
        <v>1705</v>
      </c>
      <c r="B97" s="17">
        <v>41064</v>
      </c>
      <c r="C97">
        <v>2012</v>
      </c>
      <c r="D97" t="s">
        <v>146</v>
      </c>
      <c r="E97" t="s">
        <v>4757</v>
      </c>
      <c r="F97" t="s">
        <v>1604</v>
      </c>
      <c r="G97">
        <v>217</v>
      </c>
      <c r="H97">
        <v>16</v>
      </c>
      <c r="I97" t="s">
        <v>4748</v>
      </c>
      <c r="J97" t="s">
        <v>4760</v>
      </c>
      <c r="K97">
        <v>7.2</v>
      </c>
    </row>
    <row r="98" spans="1:11">
      <c r="A98" t="s">
        <v>1706</v>
      </c>
      <c r="B98" s="17">
        <v>41091</v>
      </c>
      <c r="C98">
        <v>2012</v>
      </c>
      <c r="D98" t="s">
        <v>23</v>
      </c>
      <c r="E98" t="s">
        <v>4755</v>
      </c>
      <c r="F98" t="s">
        <v>1611</v>
      </c>
      <c r="G98">
        <v>1956</v>
      </c>
      <c r="H98">
        <v>29</v>
      </c>
      <c r="I98" t="s">
        <v>4748</v>
      </c>
      <c r="J98" t="s">
        <v>4760</v>
      </c>
      <c r="K98">
        <v>15.4</v>
      </c>
    </row>
    <row r="99" spans="1:11">
      <c r="A99" t="s">
        <v>1707</v>
      </c>
      <c r="B99" s="17">
        <v>41092</v>
      </c>
      <c r="C99">
        <v>2012</v>
      </c>
      <c r="D99" t="s">
        <v>1676</v>
      </c>
      <c r="E99" t="s">
        <v>4751</v>
      </c>
      <c r="F99" t="s">
        <v>1611</v>
      </c>
      <c r="G99">
        <v>794</v>
      </c>
      <c r="H99">
        <v>38</v>
      </c>
      <c r="I99" t="s">
        <v>4748</v>
      </c>
      <c r="J99" t="s">
        <v>4760</v>
      </c>
      <c r="K99">
        <v>0.5</v>
      </c>
    </row>
    <row r="100" spans="1:11">
      <c r="A100" t="s">
        <v>1708</v>
      </c>
      <c r="B100" s="17">
        <v>41111</v>
      </c>
      <c r="C100">
        <v>2012</v>
      </c>
      <c r="D100" t="s">
        <v>215</v>
      </c>
      <c r="E100" t="s">
        <v>4747</v>
      </c>
      <c r="F100" t="s">
        <v>1604</v>
      </c>
      <c r="G100">
        <v>260</v>
      </c>
      <c r="H100">
        <v>14</v>
      </c>
      <c r="I100" t="s">
        <v>4748</v>
      </c>
      <c r="J100" t="s">
        <v>4760</v>
      </c>
      <c r="K100">
        <v>5.7</v>
      </c>
    </row>
    <row r="101" spans="1:11">
      <c r="A101" t="s">
        <v>1709</v>
      </c>
      <c r="B101" s="17">
        <v>41117</v>
      </c>
      <c r="C101">
        <v>2012</v>
      </c>
      <c r="D101" t="s">
        <v>1603</v>
      </c>
      <c r="E101" t="s">
        <v>4754</v>
      </c>
      <c r="F101" t="s">
        <v>1604</v>
      </c>
      <c r="G101">
        <v>270</v>
      </c>
      <c r="H101">
        <v>16</v>
      </c>
      <c r="I101" t="s">
        <v>4748</v>
      </c>
      <c r="J101" t="s">
        <v>4760</v>
      </c>
      <c r="K101">
        <v>3.5</v>
      </c>
    </row>
    <row r="102" spans="1:11">
      <c r="A102" t="s">
        <v>1710</v>
      </c>
      <c r="B102" s="17">
        <v>41122</v>
      </c>
      <c r="C102">
        <v>2012</v>
      </c>
      <c r="D102" t="s">
        <v>1603</v>
      </c>
      <c r="E102" t="s">
        <v>4759</v>
      </c>
      <c r="F102" t="s">
        <v>1611</v>
      </c>
      <c r="G102">
        <v>3409</v>
      </c>
      <c r="H102">
        <v>35</v>
      </c>
      <c r="I102" t="s">
        <v>4752</v>
      </c>
      <c r="J102" t="s">
        <v>4762</v>
      </c>
      <c r="K102">
        <v>-16.399999999999999</v>
      </c>
    </row>
    <row r="103" spans="1:11">
      <c r="A103" t="s">
        <v>1711</v>
      </c>
      <c r="B103" s="17">
        <v>41123</v>
      </c>
      <c r="C103">
        <v>2012</v>
      </c>
      <c r="D103" t="s">
        <v>146</v>
      </c>
      <c r="E103" t="s">
        <v>4759</v>
      </c>
      <c r="F103" t="s">
        <v>1611</v>
      </c>
      <c r="G103">
        <v>2629</v>
      </c>
      <c r="H103">
        <v>40</v>
      </c>
      <c r="I103" t="s">
        <v>4748</v>
      </c>
      <c r="J103" t="s">
        <v>4760</v>
      </c>
      <c r="K103">
        <v>21</v>
      </c>
    </row>
    <row r="104" spans="1:11">
      <c r="A104" t="s">
        <v>1712</v>
      </c>
      <c r="B104" s="17">
        <v>41127</v>
      </c>
      <c r="C104">
        <v>2012</v>
      </c>
      <c r="D104" t="s">
        <v>38</v>
      </c>
      <c r="E104" t="s">
        <v>4751</v>
      </c>
      <c r="F104" t="s">
        <v>1611</v>
      </c>
      <c r="G104">
        <v>2673</v>
      </c>
      <c r="H104">
        <v>34</v>
      </c>
      <c r="I104" t="s">
        <v>4752</v>
      </c>
      <c r="J104" t="s">
        <v>4762</v>
      </c>
      <c r="K104">
        <v>-21.9</v>
      </c>
    </row>
    <row r="105" spans="1:11">
      <c r="A105" t="s">
        <v>1713</v>
      </c>
      <c r="B105" s="17">
        <v>41132</v>
      </c>
      <c r="C105">
        <v>2012</v>
      </c>
      <c r="D105" t="s">
        <v>1703</v>
      </c>
      <c r="E105" t="s">
        <v>4747</v>
      </c>
      <c r="F105" t="s">
        <v>1604</v>
      </c>
      <c r="G105">
        <v>324</v>
      </c>
      <c r="H105">
        <v>33</v>
      </c>
      <c r="I105" t="s">
        <v>4752</v>
      </c>
      <c r="J105" t="s">
        <v>4762</v>
      </c>
      <c r="K105">
        <v>-36.6</v>
      </c>
    </row>
    <row r="106" spans="1:11">
      <c r="A106" t="s">
        <v>1714</v>
      </c>
      <c r="B106" s="17">
        <v>41135</v>
      </c>
      <c r="C106">
        <v>2012</v>
      </c>
      <c r="D106" t="s">
        <v>1640</v>
      </c>
      <c r="E106" t="s">
        <v>4747</v>
      </c>
      <c r="F106" t="s">
        <v>1604</v>
      </c>
      <c r="G106">
        <v>246</v>
      </c>
      <c r="H106">
        <v>11</v>
      </c>
      <c r="I106" t="s">
        <v>4750</v>
      </c>
      <c r="J106" t="s">
        <v>4761</v>
      </c>
      <c r="K106">
        <v>-7.6</v>
      </c>
    </row>
    <row r="107" spans="1:11">
      <c r="A107" t="s">
        <v>1715</v>
      </c>
      <c r="B107" s="17">
        <v>41161</v>
      </c>
      <c r="C107">
        <v>2012</v>
      </c>
      <c r="D107" t="s">
        <v>9</v>
      </c>
      <c r="E107" t="s">
        <v>4753</v>
      </c>
      <c r="F107" t="s">
        <v>1604</v>
      </c>
      <c r="G107">
        <v>550</v>
      </c>
      <c r="H107">
        <v>17</v>
      </c>
      <c r="I107" t="s">
        <v>4748</v>
      </c>
      <c r="J107" t="s">
        <v>4760</v>
      </c>
      <c r="K107">
        <v>16.600000000000001</v>
      </c>
    </row>
    <row r="108" spans="1:11">
      <c r="A108" t="s">
        <v>1716</v>
      </c>
      <c r="B108" s="17">
        <v>41165</v>
      </c>
      <c r="C108">
        <v>2012</v>
      </c>
      <c r="D108" t="s">
        <v>9</v>
      </c>
      <c r="E108" t="s">
        <v>4756</v>
      </c>
      <c r="F108" t="s">
        <v>1604</v>
      </c>
      <c r="G108">
        <v>275</v>
      </c>
      <c r="H108">
        <v>26</v>
      </c>
      <c r="I108" t="s">
        <v>4748</v>
      </c>
      <c r="J108" t="s">
        <v>4760</v>
      </c>
      <c r="K108">
        <v>13.1</v>
      </c>
    </row>
    <row r="109" spans="1:11">
      <c r="A109" t="s">
        <v>1717</v>
      </c>
      <c r="B109" s="17">
        <v>41173</v>
      </c>
      <c r="C109">
        <v>2012</v>
      </c>
      <c r="D109" t="s">
        <v>1608</v>
      </c>
      <c r="E109" t="s">
        <v>4747</v>
      </c>
      <c r="F109" t="s">
        <v>1611</v>
      </c>
      <c r="G109">
        <v>1166</v>
      </c>
      <c r="H109">
        <v>32</v>
      </c>
      <c r="I109" t="s">
        <v>4752</v>
      </c>
      <c r="J109" t="s">
        <v>4762</v>
      </c>
      <c r="K109">
        <v>-17.5</v>
      </c>
    </row>
    <row r="110" spans="1:11">
      <c r="A110" t="s">
        <v>1718</v>
      </c>
      <c r="B110" s="17">
        <v>41176</v>
      </c>
      <c r="C110">
        <v>2012</v>
      </c>
      <c r="D110" t="s">
        <v>1640</v>
      </c>
      <c r="E110" t="s">
        <v>4751</v>
      </c>
      <c r="F110" t="s">
        <v>1611</v>
      </c>
      <c r="G110">
        <v>4179</v>
      </c>
      <c r="H110">
        <v>43</v>
      </c>
      <c r="I110" t="s">
        <v>4752</v>
      </c>
      <c r="J110" t="s">
        <v>4762</v>
      </c>
      <c r="K110">
        <v>-10.5</v>
      </c>
    </row>
    <row r="111" spans="1:11">
      <c r="A111" t="s">
        <v>1719</v>
      </c>
      <c r="B111" s="17">
        <v>41184</v>
      </c>
      <c r="C111">
        <v>2012</v>
      </c>
      <c r="D111" t="s">
        <v>42</v>
      </c>
      <c r="E111" t="s">
        <v>4751</v>
      </c>
      <c r="F111" t="s">
        <v>1611</v>
      </c>
      <c r="G111">
        <v>1065</v>
      </c>
      <c r="H111">
        <v>23</v>
      </c>
      <c r="I111" t="s">
        <v>4748</v>
      </c>
      <c r="J111" t="s">
        <v>4760</v>
      </c>
      <c r="K111">
        <v>3.6</v>
      </c>
    </row>
    <row r="112" spans="1:11">
      <c r="A112" t="s">
        <v>1720</v>
      </c>
      <c r="B112" s="17">
        <v>41186</v>
      </c>
      <c r="C112">
        <v>2012</v>
      </c>
      <c r="D112" t="s">
        <v>53</v>
      </c>
      <c r="E112" t="s">
        <v>4751</v>
      </c>
      <c r="F112" t="s">
        <v>1604</v>
      </c>
      <c r="G112">
        <v>320</v>
      </c>
      <c r="H112">
        <v>36</v>
      </c>
      <c r="I112" t="s">
        <v>4748</v>
      </c>
      <c r="J112" t="s">
        <v>4760</v>
      </c>
      <c r="K112">
        <v>-2.1</v>
      </c>
    </row>
    <row r="113" spans="1:11">
      <c r="A113" t="s">
        <v>1721</v>
      </c>
      <c r="B113" s="17">
        <v>41203</v>
      </c>
      <c r="C113">
        <v>2012</v>
      </c>
      <c r="D113" t="s">
        <v>146</v>
      </c>
      <c r="E113" t="s">
        <v>4751</v>
      </c>
      <c r="F113" t="s">
        <v>1611</v>
      </c>
      <c r="G113">
        <v>662</v>
      </c>
      <c r="H113">
        <v>42</v>
      </c>
      <c r="I113" t="s">
        <v>4750</v>
      </c>
      <c r="J113" t="s">
        <v>4761</v>
      </c>
      <c r="K113">
        <v>1.6</v>
      </c>
    </row>
    <row r="114" spans="1:11">
      <c r="A114" t="s">
        <v>1722</v>
      </c>
      <c r="B114" s="17">
        <v>41204</v>
      </c>
      <c r="C114">
        <v>2012</v>
      </c>
      <c r="D114" t="s">
        <v>146</v>
      </c>
      <c r="E114" t="s">
        <v>4751</v>
      </c>
      <c r="F114" t="s">
        <v>1604</v>
      </c>
      <c r="G114">
        <v>688</v>
      </c>
      <c r="H114">
        <v>14</v>
      </c>
      <c r="I114" t="s">
        <v>4748</v>
      </c>
      <c r="J114" t="s">
        <v>4760</v>
      </c>
      <c r="K114">
        <v>3.9</v>
      </c>
    </row>
    <row r="115" spans="1:11">
      <c r="A115" t="s">
        <v>1723</v>
      </c>
      <c r="B115" s="17">
        <v>41217</v>
      </c>
      <c r="C115">
        <v>2012</v>
      </c>
      <c r="D115" t="s">
        <v>304</v>
      </c>
      <c r="E115" t="s">
        <v>4751</v>
      </c>
      <c r="F115" t="s">
        <v>1604</v>
      </c>
      <c r="G115">
        <v>497</v>
      </c>
      <c r="H115">
        <v>21</v>
      </c>
      <c r="I115" t="s">
        <v>4748</v>
      </c>
      <c r="J115" t="s">
        <v>4760</v>
      </c>
      <c r="K115">
        <v>11.9</v>
      </c>
    </row>
    <row r="116" spans="1:11">
      <c r="A116" t="s">
        <v>1724</v>
      </c>
      <c r="B116" s="17">
        <v>41228</v>
      </c>
      <c r="C116">
        <v>2012</v>
      </c>
      <c r="D116" t="s">
        <v>1640</v>
      </c>
      <c r="E116" t="s">
        <v>4747</v>
      </c>
      <c r="F116" t="s">
        <v>1611</v>
      </c>
      <c r="G116">
        <v>478</v>
      </c>
      <c r="H116">
        <v>34</v>
      </c>
      <c r="I116" t="s">
        <v>4752</v>
      </c>
      <c r="J116" t="s">
        <v>4762</v>
      </c>
      <c r="K116">
        <v>-14.8</v>
      </c>
    </row>
    <row r="117" spans="1:11">
      <c r="A117" t="s">
        <v>1725</v>
      </c>
      <c r="B117" s="17">
        <v>41235</v>
      </c>
      <c r="C117">
        <v>2012</v>
      </c>
      <c r="D117" t="s">
        <v>304</v>
      </c>
      <c r="E117" t="s">
        <v>4751</v>
      </c>
      <c r="F117" t="s">
        <v>1604</v>
      </c>
      <c r="G117">
        <v>151</v>
      </c>
      <c r="H117">
        <v>18</v>
      </c>
      <c r="I117" t="s">
        <v>4752</v>
      </c>
      <c r="J117" t="s">
        <v>4762</v>
      </c>
      <c r="K117">
        <v>-2.7</v>
      </c>
    </row>
    <row r="118" spans="1:11">
      <c r="A118" t="s">
        <v>1726</v>
      </c>
      <c r="B118" s="17">
        <v>41262</v>
      </c>
      <c r="C118">
        <v>2012</v>
      </c>
      <c r="D118" t="s">
        <v>1610</v>
      </c>
      <c r="E118" t="s">
        <v>4751</v>
      </c>
      <c r="F118" t="s">
        <v>1604</v>
      </c>
      <c r="G118">
        <v>590</v>
      </c>
      <c r="H118">
        <v>29</v>
      </c>
      <c r="I118" t="s">
        <v>4752</v>
      </c>
      <c r="J118" t="s">
        <v>4762</v>
      </c>
      <c r="K118">
        <v>-9.5</v>
      </c>
    </row>
    <row r="119" spans="1:11">
      <c r="A119" t="s">
        <v>1727</v>
      </c>
      <c r="B119" s="17">
        <v>41285</v>
      </c>
      <c r="C119">
        <v>2013</v>
      </c>
      <c r="D119" t="s">
        <v>31</v>
      </c>
      <c r="E119" t="s">
        <v>4757</v>
      </c>
      <c r="F119" t="s">
        <v>1604</v>
      </c>
      <c r="G119">
        <v>182</v>
      </c>
      <c r="H119">
        <v>17</v>
      </c>
      <c r="I119" t="s">
        <v>4748</v>
      </c>
      <c r="J119" t="s">
        <v>4760</v>
      </c>
      <c r="K119">
        <v>13.5</v>
      </c>
    </row>
    <row r="120" spans="1:11">
      <c r="A120" t="s">
        <v>1728</v>
      </c>
      <c r="B120" s="17">
        <v>41285</v>
      </c>
      <c r="C120">
        <v>2013</v>
      </c>
      <c r="D120" t="s">
        <v>23</v>
      </c>
      <c r="E120" t="s">
        <v>4754</v>
      </c>
      <c r="F120" t="s">
        <v>1604</v>
      </c>
      <c r="G120">
        <v>225</v>
      </c>
      <c r="H120">
        <v>17</v>
      </c>
      <c r="I120" t="s">
        <v>4748</v>
      </c>
      <c r="J120" t="s">
        <v>4760</v>
      </c>
      <c r="K120">
        <v>5.7</v>
      </c>
    </row>
    <row r="121" spans="1:11">
      <c r="A121" t="s">
        <v>1729</v>
      </c>
      <c r="B121" s="17">
        <v>41297</v>
      </c>
      <c r="C121">
        <v>2013</v>
      </c>
      <c r="D121" t="s">
        <v>38</v>
      </c>
      <c r="E121" t="s">
        <v>4747</v>
      </c>
      <c r="F121" t="s">
        <v>1611</v>
      </c>
      <c r="G121">
        <v>1689</v>
      </c>
      <c r="H121">
        <v>27</v>
      </c>
      <c r="I121" t="s">
        <v>4752</v>
      </c>
      <c r="J121" t="s">
        <v>4762</v>
      </c>
      <c r="K121">
        <v>-12.8</v>
      </c>
    </row>
    <row r="122" spans="1:11">
      <c r="A122" t="s">
        <v>1730</v>
      </c>
      <c r="B122" s="17">
        <v>41306</v>
      </c>
      <c r="C122">
        <v>2013</v>
      </c>
      <c r="D122" t="s">
        <v>42</v>
      </c>
      <c r="E122" t="s">
        <v>4757</v>
      </c>
      <c r="F122" t="s">
        <v>1611</v>
      </c>
      <c r="G122">
        <v>832</v>
      </c>
      <c r="H122">
        <v>35</v>
      </c>
      <c r="I122" t="s">
        <v>4750</v>
      </c>
      <c r="J122" t="s">
        <v>4761</v>
      </c>
      <c r="K122">
        <v>-7.6</v>
      </c>
    </row>
    <row r="123" spans="1:11">
      <c r="A123" t="s">
        <v>1731</v>
      </c>
      <c r="B123" s="17">
        <v>41306</v>
      </c>
      <c r="C123">
        <v>2013</v>
      </c>
      <c r="D123" t="s">
        <v>1703</v>
      </c>
      <c r="E123" t="s">
        <v>4749</v>
      </c>
      <c r="F123" t="s">
        <v>1611</v>
      </c>
      <c r="G123">
        <v>1527</v>
      </c>
      <c r="H123">
        <v>34</v>
      </c>
      <c r="I123" t="s">
        <v>4752</v>
      </c>
      <c r="J123" t="s">
        <v>4762</v>
      </c>
      <c r="K123">
        <v>-8</v>
      </c>
    </row>
    <row r="124" spans="1:11">
      <c r="A124" t="s">
        <v>1732</v>
      </c>
      <c r="B124" s="17">
        <v>41307</v>
      </c>
      <c r="C124">
        <v>2013</v>
      </c>
      <c r="D124" t="s">
        <v>130</v>
      </c>
      <c r="E124" t="s">
        <v>4759</v>
      </c>
      <c r="F124" t="s">
        <v>1611</v>
      </c>
      <c r="G124">
        <v>571</v>
      </c>
      <c r="H124">
        <v>34</v>
      </c>
      <c r="I124" t="s">
        <v>4752</v>
      </c>
      <c r="J124" t="s">
        <v>4762</v>
      </c>
      <c r="K124">
        <v>-14.9</v>
      </c>
    </row>
    <row r="125" spans="1:11">
      <c r="A125" t="s">
        <v>1733</v>
      </c>
      <c r="B125" s="17">
        <v>41313</v>
      </c>
      <c r="C125">
        <v>2013</v>
      </c>
      <c r="D125" t="s">
        <v>125</v>
      </c>
      <c r="E125" t="s">
        <v>4757</v>
      </c>
      <c r="F125" t="s">
        <v>1611</v>
      </c>
      <c r="G125">
        <v>679</v>
      </c>
      <c r="H125">
        <v>39</v>
      </c>
      <c r="I125" t="s">
        <v>4748</v>
      </c>
      <c r="J125" t="s">
        <v>4760</v>
      </c>
      <c r="K125">
        <v>7.3</v>
      </c>
    </row>
    <row r="126" spans="1:11">
      <c r="A126" t="s">
        <v>1734</v>
      </c>
      <c r="B126" s="17">
        <v>41318</v>
      </c>
      <c r="C126">
        <v>2013</v>
      </c>
      <c r="D126" t="s">
        <v>1610</v>
      </c>
      <c r="E126" t="s">
        <v>4754</v>
      </c>
      <c r="F126" t="s">
        <v>1611</v>
      </c>
      <c r="G126">
        <v>1938</v>
      </c>
      <c r="H126">
        <v>31</v>
      </c>
      <c r="I126" t="s">
        <v>4748</v>
      </c>
      <c r="J126" t="s">
        <v>4760</v>
      </c>
      <c r="K126">
        <v>6.4</v>
      </c>
    </row>
    <row r="127" spans="1:11">
      <c r="A127" t="s">
        <v>1735</v>
      </c>
      <c r="B127" s="17">
        <v>41360</v>
      </c>
      <c r="C127">
        <v>2013</v>
      </c>
      <c r="D127" t="s">
        <v>17</v>
      </c>
      <c r="E127" t="s">
        <v>4751</v>
      </c>
      <c r="F127" t="s">
        <v>1611</v>
      </c>
      <c r="G127">
        <v>604</v>
      </c>
      <c r="H127">
        <v>29</v>
      </c>
      <c r="I127" t="s">
        <v>4750</v>
      </c>
      <c r="J127" t="s">
        <v>4761</v>
      </c>
      <c r="K127">
        <v>-6.1</v>
      </c>
    </row>
    <row r="128" spans="1:11">
      <c r="A128" t="s">
        <v>1736</v>
      </c>
      <c r="B128" s="17">
        <v>41383</v>
      </c>
      <c r="C128">
        <v>2013</v>
      </c>
      <c r="D128" t="s">
        <v>9</v>
      </c>
      <c r="E128" t="s">
        <v>4757</v>
      </c>
      <c r="F128" t="s">
        <v>1611</v>
      </c>
      <c r="G128">
        <v>1065</v>
      </c>
      <c r="H128">
        <v>46</v>
      </c>
      <c r="I128" t="s">
        <v>4750</v>
      </c>
      <c r="J128" t="s">
        <v>4761</v>
      </c>
      <c r="K128">
        <v>4.5</v>
      </c>
    </row>
    <row r="129" spans="1:11">
      <c r="A129" t="s">
        <v>1737</v>
      </c>
      <c r="B129" s="17">
        <v>41390</v>
      </c>
      <c r="C129">
        <v>2013</v>
      </c>
      <c r="D129" t="s">
        <v>215</v>
      </c>
      <c r="E129" t="s">
        <v>4751</v>
      </c>
      <c r="F129" t="s">
        <v>1611</v>
      </c>
      <c r="G129">
        <v>838</v>
      </c>
      <c r="H129">
        <v>36</v>
      </c>
      <c r="I129" t="s">
        <v>4752</v>
      </c>
      <c r="J129" t="s">
        <v>4762</v>
      </c>
      <c r="K129">
        <v>-34.5</v>
      </c>
    </row>
    <row r="130" spans="1:11">
      <c r="A130" t="s">
        <v>1738</v>
      </c>
      <c r="B130" s="17">
        <v>41396</v>
      </c>
      <c r="C130">
        <v>2013</v>
      </c>
      <c r="D130" t="s">
        <v>376</v>
      </c>
      <c r="E130" t="s">
        <v>4754</v>
      </c>
      <c r="F130" t="s">
        <v>1604</v>
      </c>
      <c r="G130">
        <v>142</v>
      </c>
      <c r="H130">
        <v>17</v>
      </c>
      <c r="I130" t="s">
        <v>4748</v>
      </c>
      <c r="J130" t="s">
        <v>4760</v>
      </c>
      <c r="K130">
        <v>-4.5</v>
      </c>
    </row>
    <row r="131" spans="1:11">
      <c r="A131" t="s">
        <v>1739</v>
      </c>
      <c r="B131" s="17">
        <v>41406</v>
      </c>
      <c r="C131">
        <v>2013</v>
      </c>
      <c r="D131" t="s">
        <v>17</v>
      </c>
      <c r="E131" t="s">
        <v>4759</v>
      </c>
      <c r="F131" t="s">
        <v>1604</v>
      </c>
      <c r="G131">
        <v>93</v>
      </c>
      <c r="H131">
        <v>9</v>
      </c>
      <c r="I131" t="s">
        <v>4750</v>
      </c>
      <c r="J131" t="s">
        <v>4761</v>
      </c>
      <c r="K131">
        <v>-3.6</v>
      </c>
    </row>
    <row r="132" spans="1:11">
      <c r="A132" t="s">
        <v>1740</v>
      </c>
      <c r="B132" s="17">
        <v>41410</v>
      </c>
      <c r="C132">
        <v>2013</v>
      </c>
      <c r="D132" t="s">
        <v>17</v>
      </c>
      <c r="E132" t="s">
        <v>4747</v>
      </c>
      <c r="F132" t="s">
        <v>1604</v>
      </c>
      <c r="G132">
        <v>206</v>
      </c>
      <c r="H132">
        <v>22</v>
      </c>
      <c r="I132" t="s">
        <v>4750</v>
      </c>
      <c r="J132" t="s">
        <v>4761</v>
      </c>
      <c r="K132">
        <v>-5</v>
      </c>
    </row>
    <row r="133" spans="1:11">
      <c r="A133" t="s">
        <v>1741</v>
      </c>
      <c r="B133" s="17">
        <v>41427</v>
      </c>
      <c r="C133">
        <v>2013</v>
      </c>
      <c r="D133" t="s">
        <v>31</v>
      </c>
      <c r="E133" t="s">
        <v>4749</v>
      </c>
      <c r="F133" t="s">
        <v>1611</v>
      </c>
      <c r="G133">
        <v>2212</v>
      </c>
      <c r="H133">
        <v>29</v>
      </c>
      <c r="I133" t="s">
        <v>4752</v>
      </c>
      <c r="J133" t="s">
        <v>4762</v>
      </c>
      <c r="K133">
        <v>-9.1</v>
      </c>
    </row>
    <row r="134" spans="1:11">
      <c r="A134" t="s">
        <v>1742</v>
      </c>
      <c r="B134" s="17">
        <v>41430</v>
      </c>
      <c r="C134">
        <v>2013</v>
      </c>
      <c r="D134" t="s">
        <v>53</v>
      </c>
      <c r="E134" t="s">
        <v>4747</v>
      </c>
      <c r="F134" t="s">
        <v>1611</v>
      </c>
      <c r="G134">
        <v>845</v>
      </c>
      <c r="H134">
        <v>35</v>
      </c>
      <c r="I134" t="s">
        <v>4748</v>
      </c>
      <c r="J134" t="s">
        <v>4760</v>
      </c>
      <c r="K134">
        <v>13.3</v>
      </c>
    </row>
    <row r="135" spans="1:11">
      <c r="A135" t="s">
        <v>1743</v>
      </c>
      <c r="B135" s="17">
        <v>41433</v>
      </c>
      <c r="C135">
        <v>2013</v>
      </c>
      <c r="D135" t="s">
        <v>376</v>
      </c>
      <c r="E135" t="s">
        <v>4749</v>
      </c>
      <c r="F135" t="s">
        <v>1611</v>
      </c>
      <c r="G135">
        <v>1121</v>
      </c>
      <c r="H135">
        <v>38</v>
      </c>
      <c r="I135" t="s">
        <v>4748</v>
      </c>
      <c r="J135" t="s">
        <v>4760</v>
      </c>
      <c r="K135">
        <v>4.8</v>
      </c>
    </row>
    <row r="136" spans="1:11">
      <c r="A136" t="s">
        <v>1744</v>
      </c>
      <c r="B136" s="17">
        <v>41436</v>
      </c>
      <c r="C136">
        <v>2013</v>
      </c>
      <c r="D136" t="s">
        <v>146</v>
      </c>
      <c r="E136" t="s">
        <v>4751</v>
      </c>
      <c r="F136" t="s">
        <v>1611</v>
      </c>
      <c r="G136">
        <v>889</v>
      </c>
      <c r="H136">
        <v>38</v>
      </c>
      <c r="I136" t="s">
        <v>4748</v>
      </c>
      <c r="J136" t="s">
        <v>4760</v>
      </c>
      <c r="K136">
        <v>17.600000000000001</v>
      </c>
    </row>
    <row r="137" spans="1:11">
      <c r="A137" t="s">
        <v>1745</v>
      </c>
      <c r="B137" s="17">
        <v>41440</v>
      </c>
      <c r="C137">
        <v>2013</v>
      </c>
      <c r="D137" t="s">
        <v>146</v>
      </c>
      <c r="E137" t="s">
        <v>4754</v>
      </c>
      <c r="F137" t="s">
        <v>1611</v>
      </c>
      <c r="G137">
        <v>1722</v>
      </c>
      <c r="H137">
        <v>42</v>
      </c>
      <c r="I137" t="s">
        <v>4752</v>
      </c>
      <c r="J137" t="s">
        <v>4762</v>
      </c>
      <c r="K137">
        <v>-4.3</v>
      </c>
    </row>
    <row r="138" spans="1:11">
      <c r="A138" t="s">
        <v>1746</v>
      </c>
      <c r="B138" s="17">
        <v>41441</v>
      </c>
      <c r="C138">
        <v>2013</v>
      </c>
      <c r="D138" t="s">
        <v>1610</v>
      </c>
      <c r="E138" t="s">
        <v>4751</v>
      </c>
      <c r="F138" t="s">
        <v>1611</v>
      </c>
      <c r="G138">
        <v>543</v>
      </c>
      <c r="H138">
        <v>29</v>
      </c>
      <c r="I138" t="s">
        <v>4752</v>
      </c>
      <c r="J138" t="s">
        <v>4762</v>
      </c>
      <c r="K138">
        <v>-0.9</v>
      </c>
    </row>
    <row r="139" spans="1:11">
      <c r="A139" t="s">
        <v>1747</v>
      </c>
      <c r="B139" s="17">
        <v>41443</v>
      </c>
      <c r="C139">
        <v>2013</v>
      </c>
      <c r="D139" t="s">
        <v>67</v>
      </c>
      <c r="E139" t="s">
        <v>4749</v>
      </c>
      <c r="F139" t="s">
        <v>1611</v>
      </c>
      <c r="G139">
        <v>1502</v>
      </c>
      <c r="H139">
        <v>37</v>
      </c>
      <c r="I139" t="s">
        <v>4750</v>
      </c>
      <c r="J139" t="s">
        <v>4761</v>
      </c>
      <c r="K139">
        <v>2.9</v>
      </c>
    </row>
    <row r="140" spans="1:11">
      <c r="A140" t="s">
        <v>1748</v>
      </c>
      <c r="B140" s="17">
        <v>41450</v>
      </c>
      <c r="C140">
        <v>2013</v>
      </c>
      <c r="D140" t="s">
        <v>38</v>
      </c>
      <c r="E140" t="s">
        <v>4751</v>
      </c>
      <c r="F140" t="s">
        <v>1611</v>
      </c>
      <c r="G140">
        <v>952</v>
      </c>
      <c r="H140">
        <v>35</v>
      </c>
      <c r="I140" t="s">
        <v>4752</v>
      </c>
      <c r="J140" t="s">
        <v>4762</v>
      </c>
      <c r="K140">
        <v>-20.2</v>
      </c>
    </row>
    <row r="141" spans="1:11">
      <c r="A141" t="s">
        <v>1749</v>
      </c>
      <c r="B141" s="17">
        <v>41456</v>
      </c>
      <c r="C141">
        <v>2013</v>
      </c>
      <c r="D141" t="s">
        <v>1603</v>
      </c>
      <c r="E141" t="s">
        <v>4757</v>
      </c>
      <c r="F141" t="s">
        <v>1611</v>
      </c>
      <c r="G141">
        <v>2502</v>
      </c>
      <c r="H141">
        <v>33</v>
      </c>
      <c r="I141" t="s">
        <v>4748</v>
      </c>
      <c r="J141" t="s">
        <v>4760</v>
      </c>
      <c r="K141">
        <v>10.1</v>
      </c>
    </row>
    <row r="142" spans="1:11">
      <c r="A142" t="s">
        <v>1750</v>
      </c>
      <c r="B142" s="17">
        <v>41476</v>
      </c>
      <c r="C142">
        <v>2013</v>
      </c>
      <c r="D142" t="s">
        <v>1640</v>
      </c>
      <c r="E142" t="s">
        <v>4751</v>
      </c>
      <c r="F142" t="s">
        <v>1611</v>
      </c>
      <c r="G142">
        <v>491</v>
      </c>
      <c r="H142">
        <v>36</v>
      </c>
      <c r="I142" t="s">
        <v>4750</v>
      </c>
      <c r="J142" t="s">
        <v>4761</v>
      </c>
      <c r="K142">
        <v>-4.8</v>
      </c>
    </row>
    <row r="143" spans="1:11">
      <c r="A143" t="s">
        <v>1751</v>
      </c>
      <c r="B143" s="17">
        <v>41480</v>
      </c>
      <c r="C143">
        <v>2013</v>
      </c>
      <c r="D143" t="s">
        <v>67</v>
      </c>
      <c r="E143" t="s">
        <v>4751</v>
      </c>
      <c r="F143" t="s">
        <v>1611</v>
      </c>
      <c r="G143">
        <v>1582</v>
      </c>
      <c r="H143">
        <v>40</v>
      </c>
      <c r="I143" t="s">
        <v>4752</v>
      </c>
      <c r="J143" t="s">
        <v>4762</v>
      </c>
      <c r="K143">
        <v>-16.2</v>
      </c>
    </row>
    <row r="144" spans="1:11">
      <c r="A144" t="s">
        <v>1752</v>
      </c>
      <c r="B144" s="17">
        <v>41482</v>
      </c>
      <c r="C144">
        <v>2013</v>
      </c>
      <c r="D144" t="s">
        <v>38</v>
      </c>
      <c r="E144" t="s">
        <v>4753</v>
      </c>
      <c r="F144" t="s">
        <v>1604</v>
      </c>
      <c r="G144">
        <v>200</v>
      </c>
      <c r="H144">
        <v>21</v>
      </c>
      <c r="I144" t="s">
        <v>4748</v>
      </c>
      <c r="J144" t="s">
        <v>4760</v>
      </c>
      <c r="K144">
        <v>20.2</v>
      </c>
    </row>
    <row r="145" spans="1:11">
      <c r="A145" t="s">
        <v>1753</v>
      </c>
      <c r="B145" s="17">
        <v>41493</v>
      </c>
      <c r="C145">
        <v>2013</v>
      </c>
      <c r="D145" t="s">
        <v>304</v>
      </c>
      <c r="E145" t="s">
        <v>4754</v>
      </c>
      <c r="F145" t="s">
        <v>1604</v>
      </c>
      <c r="G145">
        <v>231</v>
      </c>
      <c r="H145">
        <v>21</v>
      </c>
      <c r="I145" t="s">
        <v>4748</v>
      </c>
      <c r="J145" t="s">
        <v>4760</v>
      </c>
      <c r="K145">
        <v>4.5</v>
      </c>
    </row>
    <row r="146" spans="1:11">
      <c r="A146" t="s">
        <v>1754</v>
      </c>
      <c r="B146" s="17">
        <v>41493</v>
      </c>
      <c r="C146">
        <v>2013</v>
      </c>
      <c r="D146" t="s">
        <v>125</v>
      </c>
      <c r="E146" t="s">
        <v>4751</v>
      </c>
      <c r="F146" t="s">
        <v>1611</v>
      </c>
      <c r="G146">
        <v>389</v>
      </c>
      <c r="H146">
        <v>41</v>
      </c>
      <c r="I146" t="s">
        <v>4748</v>
      </c>
      <c r="J146" t="s">
        <v>4760</v>
      </c>
      <c r="K146">
        <v>17.2</v>
      </c>
    </row>
    <row r="147" spans="1:11">
      <c r="A147" t="s">
        <v>1755</v>
      </c>
      <c r="B147" s="17">
        <v>41494</v>
      </c>
      <c r="C147">
        <v>2013</v>
      </c>
      <c r="D147" t="s">
        <v>1676</v>
      </c>
      <c r="E147" t="s">
        <v>4754</v>
      </c>
      <c r="F147" t="s">
        <v>1604</v>
      </c>
      <c r="G147">
        <v>150</v>
      </c>
      <c r="H147">
        <v>8</v>
      </c>
      <c r="I147" t="s">
        <v>4748</v>
      </c>
      <c r="J147" t="s">
        <v>4760</v>
      </c>
      <c r="K147">
        <v>8.5</v>
      </c>
    </row>
    <row r="148" spans="1:11">
      <c r="A148" t="s">
        <v>1756</v>
      </c>
      <c r="B148" s="17">
        <v>41497</v>
      </c>
      <c r="C148">
        <v>2013</v>
      </c>
      <c r="D148" t="s">
        <v>1603</v>
      </c>
      <c r="E148" t="s">
        <v>4756</v>
      </c>
      <c r="F148" t="s">
        <v>1604</v>
      </c>
      <c r="G148">
        <v>213</v>
      </c>
      <c r="H148">
        <v>7</v>
      </c>
      <c r="I148" t="s">
        <v>4750</v>
      </c>
      <c r="J148" t="s">
        <v>4761</v>
      </c>
      <c r="K148">
        <v>-4.5999999999999996</v>
      </c>
    </row>
    <row r="149" spans="1:11">
      <c r="A149" t="s">
        <v>1757</v>
      </c>
      <c r="B149" s="17">
        <v>41518</v>
      </c>
      <c r="C149">
        <v>2013</v>
      </c>
      <c r="D149" t="s">
        <v>215</v>
      </c>
      <c r="E149" t="s">
        <v>4759</v>
      </c>
      <c r="F149" t="s">
        <v>1611</v>
      </c>
      <c r="G149">
        <v>1034</v>
      </c>
      <c r="H149">
        <v>31</v>
      </c>
      <c r="I149" t="s">
        <v>4750</v>
      </c>
      <c r="J149" t="s">
        <v>4761</v>
      </c>
      <c r="K149">
        <v>-13.8</v>
      </c>
    </row>
    <row r="150" spans="1:11">
      <c r="A150" t="s">
        <v>1758</v>
      </c>
      <c r="B150" s="17">
        <v>41525</v>
      </c>
      <c r="C150">
        <v>2013</v>
      </c>
      <c r="D150" t="s">
        <v>42</v>
      </c>
      <c r="E150" t="s">
        <v>4751</v>
      </c>
      <c r="F150" t="s">
        <v>1604</v>
      </c>
      <c r="G150">
        <v>224</v>
      </c>
      <c r="H150">
        <v>21</v>
      </c>
      <c r="I150" t="s">
        <v>4750</v>
      </c>
      <c r="J150" t="s">
        <v>4761</v>
      </c>
      <c r="K150">
        <v>-6.6</v>
      </c>
    </row>
    <row r="151" spans="1:11">
      <c r="A151" t="s">
        <v>1759</v>
      </c>
      <c r="B151" s="17">
        <v>41549</v>
      </c>
      <c r="C151">
        <v>2013</v>
      </c>
      <c r="D151" t="s">
        <v>67</v>
      </c>
      <c r="E151" t="s">
        <v>4759</v>
      </c>
      <c r="F151" t="s">
        <v>1611</v>
      </c>
      <c r="G151">
        <v>268</v>
      </c>
      <c r="H151">
        <v>34</v>
      </c>
      <c r="I151" t="s">
        <v>4748</v>
      </c>
      <c r="J151" t="s">
        <v>4760</v>
      </c>
      <c r="K151">
        <v>14.4</v>
      </c>
    </row>
    <row r="152" spans="1:11">
      <c r="A152" t="s">
        <v>1760</v>
      </c>
      <c r="B152" s="17">
        <v>41554</v>
      </c>
      <c r="C152">
        <v>2013</v>
      </c>
      <c r="D152" t="s">
        <v>146</v>
      </c>
      <c r="E152" t="s">
        <v>4754</v>
      </c>
      <c r="F152" t="s">
        <v>1604</v>
      </c>
      <c r="G152">
        <v>132</v>
      </c>
      <c r="H152">
        <v>21</v>
      </c>
      <c r="I152" t="s">
        <v>4748</v>
      </c>
      <c r="J152" t="s">
        <v>4760</v>
      </c>
      <c r="K152">
        <v>10.199999999999999</v>
      </c>
    </row>
    <row r="153" spans="1:11">
      <c r="A153" t="s">
        <v>1761</v>
      </c>
      <c r="B153" s="17">
        <v>41557</v>
      </c>
      <c r="C153">
        <v>2013</v>
      </c>
      <c r="D153" t="s">
        <v>38</v>
      </c>
      <c r="E153" t="s">
        <v>4758</v>
      </c>
      <c r="F153" t="s">
        <v>1604</v>
      </c>
      <c r="G153">
        <v>530</v>
      </c>
      <c r="H153">
        <v>23</v>
      </c>
      <c r="I153" t="s">
        <v>4752</v>
      </c>
      <c r="J153" t="s">
        <v>4762</v>
      </c>
      <c r="K153">
        <v>2.4</v>
      </c>
    </row>
    <row r="154" spans="1:11">
      <c r="A154" t="s">
        <v>1762</v>
      </c>
      <c r="B154" s="17">
        <v>41562</v>
      </c>
      <c r="C154">
        <v>2013</v>
      </c>
      <c r="D154" t="s">
        <v>215</v>
      </c>
      <c r="E154" t="s">
        <v>4753</v>
      </c>
      <c r="F154" t="s">
        <v>1604</v>
      </c>
      <c r="G154">
        <v>405</v>
      </c>
      <c r="H154">
        <v>14</v>
      </c>
      <c r="I154" t="s">
        <v>4748</v>
      </c>
      <c r="J154" t="s">
        <v>4760</v>
      </c>
      <c r="K154">
        <v>16.899999999999999</v>
      </c>
    </row>
    <row r="155" spans="1:11">
      <c r="A155" t="s">
        <v>1763</v>
      </c>
      <c r="B155" s="17">
        <v>41569</v>
      </c>
      <c r="C155">
        <v>2013</v>
      </c>
      <c r="D155" t="s">
        <v>9</v>
      </c>
      <c r="E155" t="s">
        <v>4753</v>
      </c>
      <c r="F155" t="s">
        <v>1611</v>
      </c>
      <c r="G155">
        <v>831</v>
      </c>
      <c r="H155">
        <v>36</v>
      </c>
      <c r="I155" t="s">
        <v>4748</v>
      </c>
      <c r="J155" t="s">
        <v>4760</v>
      </c>
      <c r="K155">
        <v>9.6999999999999993</v>
      </c>
    </row>
    <row r="156" spans="1:11">
      <c r="A156" t="s">
        <v>1764</v>
      </c>
      <c r="B156" s="17">
        <v>41590</v>
      </c>
      <c r="C156">
        <v>2013</v>
      </c>
      <c r="D156" t="s">
        <v>53</v>
      </c>
      <c r="E156" t="s">
        <v>4751</v>
      </c>
      <c r="F156" t="s">
        <v>1611</v>
      </c>
      <c r="G156">
        <v>771</v>
      </c>
      <c r="H156">
        <v>27</v>
      </c>
      <c r="I156" t="s">
        <v>4752</v>
      </c>
      <c r="J156" t="s">
        <v>4762</v>
      </c>
      <c r="K156">
        <v>-3.8</v>
      </c>
    </row>
    <row r="157" spans="1:11">
      <c r="A157" t="s">
        <v>1765</v>
      </c>
      <c r="B157" s="17">
        <v>41604</v>
      </c>
      <c r="C157">
        <v>2013</v>
      </c>
      <c r="D157" t="s">
        <v>376</v>
      </c>
      <c r="E157" t="s">
        <v>4757</v>
      </c>
      <c r="F157" t="s">
        <v>1611</v>
      </c>
      <c r="G157">
        <v>544</v>
      </c>
      <c r="H157">
        <v>42</v>
      </c>
      <c r="I157" t="s">
        <v>4748</v>
      </c>
      <c r="J157" t="s">
        <v>4760</v>
      </c>
      <c r="K157">
        <v>6.7</v>
      </c>
    </row>
    <row r="158" spans="1:11">
      <c r="A158" t="s">
        <v>1766</v>
      </c>
      <c r="B158" s="17">
        <v>41614</v>
      </c>
      <c r="C158">
        <v>2013</v>
      </c>
      <c r="D158" t="s">
        <v>31</v>
      </c>
      <c r="E158" t="s">
        <v>4751</v>
      </c>
      <c r="F158" t="s">
        <v>1604</v>
      </c>
      <c r="G158">
        <v>261</v>
      </c>
      <c r="H158">
        <v>14</v>
      </c>
      <c r="I158" t="s">
        <v>4748</v>
      </c>
      <c r="J158" t="s">
        <v>4760</v>
      </c>
      <c r="K158">
        <v>7.7</v>
      </c>
    </row>
    <row r="159" spans="1:11">
      <c r="A159" t="s">
        <v>1767</v>
      </c>
      <c r="B159" s="17">
        <v>41616</v>
      </c>
      <c r="C159">
        <v>2013</v>
      </c>
      <c r="D159" t="s">
        <v>23</v>
      </c>
      <c r="E159" t="s">
        <v>4757</v>
      </c>
      <c r="F159" t="s">
        <v>1604</v>
      </c>
      <c r="G159">
        <v>179</v>
      </c>
      <c r="H159">
        <v>22</v>
      </c>
      <c r="I159" t="s">
        <v>4752</v>
      </c>
      <c r="J159" t="s">
        <v>4762</v>
      </c>
      <c r="K159">
        <v>-29.5</v>
      </c>
    </row>
    <row r="160" spans="1:11">
      <c r="A160" t="s">
        <v>1768</v>
      </c>
      <c r="B160" s="17">
        <v>41628</v>
      </c>
      <c r="C160">
        <v>2013</v>
      </c>
      <c r="D160" t="s">
        <v>1403</v>
      </c>
      <c r="E160" t="s">
        <v>4759</v>
      </c>
      <c r="F160" t="s">
        <v>1611</v>
      </c>
      <c r="G160">
        <v>548</v>
      </c>
      <c r="H160">
        <v>45</v>
      </c>
      <c r="I160" t="s">
        <v>4748</v>
      </c>
      <c r="J160" t="s">
        <v>4760</v>
      </c>
      <c r="K160">
        <v>7.8</v>
      </c>
    </row>
    <row r="161" spans="1:11">
      <c r="A161" t="s">
        <v>1769</v>
      </c>
      <c r="B161" s="17">
        <v>41646</v>
      </c>
      <c r="C161">
        <v>2014</v>
      </c>
      <c r="D161" t="s">
        <v>1608</v>
      </c>
      <c r="E161" t="s">
        <v>4751</v>
      </c>
      <c r="F161" t="s">
        <v>1604</v>
      </c>
      <c r="G161">
        <v>218</v>
      </c>
      <c r="H161">
        <v>13</v>
      </c>
      <c r="I161" t="s">
        <v>4750</v>
      </c>
      <c r="J161" t="s">
        <v>4761</v>
      </c>
      <c r="K161">
        <v>-8.4</v>
      </c>
    </row>
    <row r="162" spans="1:11">
      <c r="A162" t="s">
        <v>1770</v>
      </c>
      <c r="B162" s="17">
        <v>41654</v>
      </c>
      <c r="C162">
        <v>2014</v>
      </c>
      <c r="D162" t="s">
        <v>31</v>
      </c>
      <c r="E162" t="s">
        <v>4749</v>
      </c>
      <c r="F162" t="s">
        <v>1611</v>
      </c>
      <c r="G162">
        <v>783</v>
      </c>
      <c r="H162">
        <v>38</v>
      </c>
      <c r="I162" t="s">
        <v>4750</v>
      </c>
      <c r="J162" t="s">
        <v>4761</v>
      </c>
      <c r="K162">
        <v>-11.1</v>
      </c>
    </row>
    <row r="163" spans="1:11">
      <c r="A163" t="s">
        <v>1771</v>
      </c>
      <c r="B163" s="17">
        <v>41665</v>
      </c>
      <c r="C163">
        <v>2014</v>
      </c>
      <c r="D163" t="s">
        <v>130</v>
      </c>
      <c r="E163" t="s">
        <v>4757</v>
      </c>
      <c r="F163" t="s">
        <v>1611</v>
      </c>
      <c r="G163">
        <v>504</v>
      </c>
      <c r="H163">
        <v>36</v>
      </c>
      <c r="I163" t="s">
        <v>4748</v>
      </c>
      <c r="J163" t="s">
        <v>4760</v>
      </c>
      <c r="K163">
        <v>13.5</v>
      </c>
    </row>
    <row r="164" spans="1:11">
      <c r="A164" t="s">
        <v>1772</v>
      </c>
      <c r="B164" s="17">
        <v>41693</v>
      </c>
      <c r="C164">
        <v>2014</v>
      </c>
      <c r="D164" t="s">
        <v>53</v>
      </c>
      <c r="E164" t="s">
        <v>4753</v>
      </c>
      <c r="F164" t="s">
        <v>1604</v>
      </c>
      <c r="G164">
        <v>224</v>
      </c>
      <c r="H164">
        <v>9</v>
      </c>
      <c r="I164" t="s">
        <v>4748</v>
      </c>
      <c r="J164" t="s">
        <v>4760</v>
      </c>
      <c r="K164">
        <v>6.3</v>
      </c>
    </row>
    <row r="165" spans="1:11">
      <c r="A165" t="s">
        <v>1773</v>
      </c>
      <c r="B165" s="17">
        <v>41703</v>
      </c>
      <c r="C165">
        <v>2014</v>
      </c>
      <c r="D165" t="s">
        <v>42</v>
      </c>
      <c r="E165" t="s">
        <v>4754</v>
      </c>
      <c r="F165" t="s">
        <v>1611</v>
      </c>
      <c r="G165">
        <v>1729</v>
      </c>
      <c r="H165">
        <v>30</v>
      </c>
      <c r="I165" t="s">
        <v>4748</v>
      </c>
      <c r="J165" t="s">
        <v>4760</v>
      </c>
      <c r="K165">
        <v>1.9</v>
      </c>
    </row>
    <row r="166" spans="1:11">
      <c r="A166" t="s">
        <v>1774</v>
      </c>
      <c r="B166" s="17">
        <v>41704</v>
      </c>
      <c r="C166">
        <v>2014</v>
      </c>
      <c r="D166" t="s">
        <v>125</v>
      </c>
      <c r="E166" t="s">
        <v>4751</v>
      </c>
      <c r="F166" t="s">
        <v>1604</v>
      </c>
      <c r="G166">
        <v>351</v>
      </c>
      <c r="H166">
        <v>19</v>
      </c>
      <c r="I166" t="s">
        <v>4748</v>
      </c>
      <c r="J166" t="s">
        <v>4760</v>
      </c>
      <c r="K166">
        <v>10.9</v>
      </c>
    </row>
    <row r="167" spans="1:11">
      <c r="A167" t="s">
        <v>1775</v>
      </c>
      <c r="B167" s="17">
        <v>41716</v>
      </c>
      <c r="C167">
        <v>2014</v>
      </c>
      <c r="D167" t="s">
        <v>67</v>
      </c>
      <c r="E167" t="s">
        <v>4754</v>
      </c>
      <c r="F167" t="s">
        <v>1604</v>
      </c>
      <c r="G167">
        <v>170</v>
      </c>
      <c r="H167">
        <v>16</v>
      </c>
      <c r="I167" t="s">
        <v>4752</v>
      </c>
      <c r="J167" t="s">
        <v>4762</v>
      </c>
      <c r="K167">
        <v>-23.9</v>
      </c>
    </row>
    <row r="168" spans="1:11">
      <c r="A168" t="s">
        <v>1776</v>
      </c>
      <c r="B168" s="17">
        <v>41720</v>
      </c>
      <c r="C168">
        <v>2014</v>
      </c>
      <c r="D168" t="s">
        <v>146</v>
      </c>
      <c r="E168" t="s">
        <v>4756</v>
      </c>
      <c r="F168" t="s">
        <v>1604</v>
      </c>
      <c r="G168">
        <v>161</v>
      </c>
      <c r="H168">
        <v>22</v>
      </c>
      <c r="I168" t="s">
        <v>4752</v>
      </c>
      <c r="J168" t="s">
        <v>4762</v>
      </c>
      <c r="K168">
        <v>-10.3</v>
      </c>
    </row>
    <row r="169" spans="1:11">
      <c r="A169" t="s">
        <v>1777</v>
      </c>
      <c r="B169" s="17">
        <v>41730</v>
      </c>
      <c r="C169">
        <v>2014</v>
      </c>
      <c r="D169" t="s">
        <v>1640</v>
      </c>
      <c r="E169" t="s">
        <v>4747</v>
      </c>
      <c r="F169" t="s">
        <v>1604</v>
      </c>
      <c r="G169">
        <v>164</v>
      </c>
      <c r="H169">
        <v>22</v>
      </c>
      <c r="I169" t="s">
        <v>4748</v>
      </c>
      <c r="J169" t="s">
        <v>4760</v>
      </c>
      <c r="K169">
        <v>16.899999999999999</v>
      </c>
    </row>
    <row r="170" spans="1:11">
      <c r="A170" t="s">
        <v>1778</v>
      </c>
      <c r="B170" s="17">
        <v>41734</v>
      </c>
      <c r="C170">
        <v>2014</v>
      </c>
      <c r="D170" t="s">
        <v>53</v>
      </c>
      <c r="E170" t="s">
        <v>4757</v>
      </c>
      <c r="F170" t="s">
        <v>1611</v>
      </c>
      <c r="G170">
        <v>1469</v>
      </c>
      <c r="H170">
        <v>31</v>
      </c>
      <c r="I170" t="s">
        <v>4750</v>
      </c>
      <c r="J170" t="s">
        <v>4761</v>
      </c>
      <c r="K170">
        <v>2.9</v>
      </c>
    </row>
    <row r="171" spans="1:11">
      <c r="A171" t="s">
        <v>1779</v>
      </c>
      <c r="B171" s="17">
        <v>41744</v>
      </c>
      <c r="C171">
        <v>2014</v>
      </c>
      <c r="D171" t="s">
        <v>1703</v>
      </c>
      <c r="E171" t="s">
        <v>4749</v>
      </c>
      <c r="F171" t="s">
        <v>1611</v>
      </c>
      <c r="G171">
        <v>334</v>
      </c>
      <c r="H171">
        <v>20</v>
      </c>
      <c r="I171" t="s">
        <v>4748</v>
      </c>
      <c r="J171" t="s">
        <v>4760</v>
      </c>
      <c r="K171">
        <v>13.9</v>
      </c>
    </row>
    <row r="172" spans="1:11">
      <c r="A172" t="s">
        <v>1780</v>
      </c>
      <c r="B172" s="17">
        <v>41746</v>
      </c>
      <c r="C172">
        <v>2014</v>
      </c>
      <c r="D172" t="s">
        <v>17</v>
      </c>
      <c r="E172" t="s">
        <v>4759</v>
      </c>
      <c r="F172" t="s">
        <v>1611</v>
      </c>
      <c r="G172">
        <v>1124</v>
      </c>
      <c r="H172">
        <v>44</v>
      </c>
      <c r="I172" t="s">
        <v>4752</v>
      </c>
      <c r="J172" t="s">
        <v>4762</v>
      </c>
      <c r="K172">
        <v>-7.3</v>
      </c>
    </row>
    <row r="173" spans="1:11">
      <c r="A173" t="s">
        <v>1781</v>
      </c>
      <c r="B173" s="17">
        <v>41753</v>
      </c>
      <c r="C173">
        <v>2014</v>
      </c>
      <c r="D173" t="s">
        <v>9</v>
      </c>
      <c r="E173" t="s">
        <v>4758</v>
      </c>
      <c r="F173" t="s">
        <v>1611</v>
      </c>
      <c r="G173">
        <v>461</v>
      </c>
      <c r="H173">
        <v>42</v>
      </c>
      <c r="I173" t="s">
        <v>4748</v>
      </c>
      <c r="J173" t="s">
        <v>4760</v>
      </c>
      <c r="K173">
        <v>11.3</v>
      </c>
    </row>
    <row r="174" spans="1:11">
      <c r="A174" t="s">
        <v>1782</v>
      </c>
      <c r="B174" s="17">
        <v>41755</v>
      </c>
      <c r="C174">
        <v>2014</v>
      </c>
      <c r="D174" t="s">
        <v>130</v>
      </c>
      <c r="E174" t="s">
        <v>4757</v>
      </c>
      <c r="F174" t="s">
        <v>1604</v>
      </c>
      <c r="G174">
        <v>502</v>
      </c>
      <c r="H174">
        <v>15</v>
      </c>
      <c r="I174" t="s">
        <v>4748</v>
      </c>
      <c r="J174" t="s">
        <v>4760</v>
      </c>
      <c r="K174">
        <v>8.9</v>
      </c>
    </row>
    <row r="175" spans="1:11">
      <c r="A175" t="s">
        <v>1783</v>
      </c>
      <c r="B175" s="17">
        <v>41762</v>
      </c>
      <c r="C175">
        <v>2014</v>
      </c>
      <c r="D175" t="s">
        <v>1676</v>
      </c>
      <c r="E175" t="s">
        <v>4756</v>
      </c>
      <c r="F175" t="s">
        <v>1611</v>
      </c>
      <c r="G175">
        <v>424</v>
      </c>
      <c r="H175">
        <v>45</v>
      </c>
      <c r="I175" t="s">
        <v>4752</v>
      </c>
      <c r="J175" t="s">
        <v>4762</v>
      </c>
      <c r="K175">
        <v>4.7</v>
      </c>
    </row>
    <row r="176" spans="1:11">
      <c r="A176" t="s">
        <v>1784</v>
      </c>
      <c r="B176" s="17">
        <v>41762</v>
      </c>
      <c r="C176">
        <v>2014</v>
      </c>
      <c r="D176" t="s">
        <v>125</v>
      </c>
      <c r="E176" t="s">
        <v>4759</v>
      </c>
      <c r="F176" t="s">
        <v>1611</v>
      </c>
      <c r="G176">
        <v>543</v>
      </c>
      <c r="H176">
        <v>34</v>
      </c>
      <c r="I176" t="s">
        <v>4752</v>
      </c>
      <c r="J176" t="s">
        <v>4762</v>
      </c>
      <c r="K176">
        <v>-0.7</v>
      </c>
    </row>
    <row r="177" spans="1:11">
      <c r="A177" t="s">
        <v>1785</v>
      </c>
      <c r="B177" s="17">
        <v>41771</v>
      </c>
      <c r="C177">
        <v>2014</v>
      </c>
      <c r="D177" t="s">
        <v>1608</v>
      </c>
      <c r="E177" t="s">
        <v>4753</v>
      </c>
      <c r="F177" t="s">
        <v>1611</v>
      </c>
      <c r="G177">
        <v>532</v>
      </c>
      <c r="H177">
        <v>29</v>
      </c>
      <c r="I177" t="s">
        <v>4748</v>
      </c>
      <c r="J177" t="s">
        <v>4760</v>
      </c>
      <c r="K177">
        <v>6.1</v>
      </c>
    </row>
    <row r="178" spans="1:11">
      <c r="A178" t="s">
        <v>1786</v>
      </c>
      <c r="B178" s="17">
        <v>41777</v>
      </c>
      <c r="C178">
        <v>2014</v>
      </c>
      <c r="D178" t="s">
        <v>9</v>
      </c>
      <c r="E178" t="s">
        <v>4755</v>
      </c>
      <c r="F178" t="s">
        <v>1611</v>
      </c>
      <c r="G178">
        <v>1737</v>
      </c>
      <c r="H178">
        <v>46</v>
      </c>
      <c r="I178" t="s">
        <v>4748</v>
      </c>
      <c r="J178" t="s">
        <v>4760</v>
      </c>
      <c r="K178">
        <v>14.9</v>
      </c>
    </row>
    <row r="179" spans="1:11">
      <c r="A179" t="s">
        <v>1787</v>
      </c>
      <c r="B179" s="17">
        <v>41796</v>
      </c>
      <c r="C179">
        <v>2014</v>
      </c>
      <c r="D179" t="s">
        <v>67</v>
      </c>
      <c r="E179" t="s">
        <v>4751</v>
      </c>
      <c r="F179" t="s">
        <v>1611</v>
      </c>
      <c r="G179">
        <v>1709</v>
      </c>
      <c r="H179">
        <v>32</v>
      </c>
      <c r="I179" t="s">
        <v>4752</v>
      </c>
      <c r="J179" t="s">
        <v>4762</v>
      </c>
      <c r="K179">
        <v>-26.1</v>
      </c>
    </row>
    <row r="180" spans="1:11">
      <c r="A180" t="s">
        <v>1788</v>
      </c>
      <c r="B180" s="17">
        <v>41800</v>
      </c>
      <c r="C180">
        <v>2014</v>
      </c>
      <c r="D180" t="s">
        <v>1676</v>
      </c>
      <c r="E180" t="s">
        <v>4751</v>
      </c>
      <c r="F180" t="s">
        <v>1611</v>
      </c>
      <c r="G180">
        <v>1665</v>
      </c>
      <c r="H180">
        <v>42</v>
      </c>
      <c r="I180" t="s">
        <v>4748</v>
      </c>
      <c r="J180" t="s">
        <v>4760</v>
      </c>
      <c r="K180">
        <v>8.1999999999999993</v>
      </c>
    </row>
    <row r="181" spans="1:11">
      <c r="A181" t="s">
        <v>1789</v>
      </c>
      <c r="B181" s="17">
        <v>41827</v>
      </c>
      <c r="C181">
        <v>2014</v>
      </c>
      <c r="D181" t="s">
        <v>23</v>
      </c>
      <c r="E181" t="s">
        <v>4751</v>
      </c>
      <c r="F181" t="s">
        <v>1611</v>
      </c>
      <c r="G181">
        <v>1883</v>
      </c>
      <c r="H181">
        <v>25</v>
      </c>
      <c r="I181" t="s">
        <v>4750</v>
      </c>
      <c r="J181" t="s">
        <v>4761</v>
      </c>
      <c r="K181">
        <v>4.9000000000000004</v>
      </c>
    </row>
    <row r="182" spans="1:11">
      <c r="A182" t="s">
        <v>1790</v>
      </c>
      <c r="B182" s="17">
        <v>41867</v>
      </c>
      <c r="C182">
        <v>2014</v>
      </c>
      <c r="D182" t="s">
        <v>17</v>
      </c>
      <c r="E182" t="s">
        <v>4751</v>
      </c>
      <c r="F182" t="s">
        <v>1611</v>
      </c>
      <c r="G182">
        <v>2629</v>
      </c>
      <c r="H182">
        <v>37</v>
      </c>
      <c r="I182" t="s">
        <v>4748</v>
      </c>
      <c r="J182" t="s">
        <v>4760</v>
      </c>
      <c r="K182">
        <v>10.3</v>
      </c>
    </row>
    <row r="183" spans="1:11">
      <c r="A183" t="s">
        <v>1791</v>
      </c>
      <c r="B183" s="17">
        <v>41868</v>
      </c>
      <c r="C183">
        <v>2014</v>
      </c>
      <c r="D183" t="s">
        <v>146</v>
      </c>
      <c r="E183" t="s">
        <v>4751</v>
      </c>
      <c r="F183" t="s">
        <v>1604</v>
      </c>
      <c r="G183">
        <v>128</v>
      </c>
      <c r="H183">
        <v>27</v>
      </c>
      <c r="I183" t="s">
        <v>4748</v>
      </c>
      <c r="J183" t="s">
        <v>4760</v>
      </c>
      <c r="K183">
        <v>7.9</v>
      </c>
    </row>
    <row r="184" spans="1:11">
      <c r="A184" t="s">
        <v>1792</v>
      </c>
      <c r="B184" s="17">
        <v>41885</v>
      </c>
      <c r="C184">
        <v>2014</v>
      </c>
      <c r="D184" t="s">
        <v>1703</v>
      </c>
      <c r="E184" t="s">
        <v>4757</v>
      </c>
      <c r="F184" t="s">
        <v>1611</v>
      </c>
      <c r="G184">
        <v>553</v>
      </c>
      <c r="H184">
        <v>38</v>
      </c>
      <c r="I184" t="s">
        <v>4752</v>
      </c>
      <c r="J184" t="s">
        <v>4762</v>
      </c>
      <c r="K184">
        <v>-5.8</v>
      </c>
    </row>
    <row r="185" spans="1:11">
      <c r="A185" t="s">
        <v>1793</v>
      </c>
      <c r="B185" s="17">
        <v>41902</v>
      </c>
      <c r="C185">
        <v>2014</v>
      </c>
      <c r="D185" t="s">
        <v>31</v>
      </c>
      <c r="E185" t="s">
        <v>4759</v>
      </c>
      <c r="F185" t="s">
        <v>1611</v>
      </c>
      <c r="G185">
        <v>501</v>
      </c>
      <c r="H185">
        <v>44</v>
      </c>
      <c r="I185" t="s">
        <v>4752</v>
      </c>
      <c r="J185" t="s">
        <v>4762</v>
      </c>
      <c r="K185">
        <v>-18.3</v>
      </c>
    </row>
    <row r="186" spans="1:11">
      <c r="A186" t="s">
        <v>1794</v>
      </c>
      <c r="B186" s="17">
        <v>41949</v>
      </c>
      <c r="C186">
        <v>2014</v>
      </c>
      <c r="D186" t="s">
        <v>125</v>
      </c>
      <c r="E186" t="s">
        <v>4757</v>
      </c>
      <c r="F186" t="s">
        <v>1611</v>
      </c>
      <c r="G186">
        <v>1654</v>
      </c>
      <c r="H186">
        <v>48</v>
      </c>
      <c r="I186" t="s">
        <v>4748</v>
      </c>
      <c r="J186" t="s">
        <v>4760</v>
      </c>
      <c r="K186">
        <v>5</v>
      </c>
    </row>
    <row r="187" spans="1:11">
      <c r="A187" t="s">
        <v>1795</v>
      </c>
      <c r="B187" s="17">
        <v>41960</v>
      </c>
      <c r="C187">
        <v>2014</v>
      </c>
      <c r="D187" t="s">
        <v>9</v>
      </c>
      <c r="E187" t="s">
        <v>4754</v>
      </c>
      <c r="F187" t="s">
        <v>1611</v>
      </c>
      <c r="G187">
        <v>1149</v>
      </c>
      <c r="H187">
        <v>33</v>
      </c>
      <c r="I187" t="s">
        <v>4748</v>
      </c>
      <c r="J187" t="s">
        <v>4760</v>
      </c>
      <c r="K187">
        <v>16.399999999999999</v>
      </c>
    </row>
    <row r="188" spans="1:11">
      <c r="A188" t="s">
        <v>1796</v>
      </c>
      <c r="B188" s="17">
        <v>41966</v>
      </c>
      <c r="C188">
        <v>2014</v>
      </c>
      <c r="D188" t="s">
        <v>53</v>
      </c>
      <c r="E188" t="s">
        <v>4751</v>
      </c>
      <c r="F188" t="s">
        <v>1611</v>
      </c>
      <c r="G188">
        <v>1592</v>
      </c>
      <c r="H188">
        <v>31</v>
      </c>
      <c r="I188" t="s">
        <v>4748</v>
      </c>
      <c r="J188" t="s">
        <v>4760</v>
      </c>
      <c r="K188">
        <v>6.3</v>
      </c>
    </row>
    <row r="189" spans="1:11">
      <c r="A189" t="s">
        <v>1797</v>
      </c>
      <c r="B189" s="17">
        <v>41967</v>
      </c>
      <c r="C189">
        <v>2014</v>
      </c>
      <c r="D189" t="s">
        <v>9</v>
      </c>
      <c r="E189" t="s">
        <v>4751</v>
      </c>
      <c r="F189" t="s">
        <v>1604</v>
      </c>
      <c r="G189">
        <v>144</v>
      </c>
      <c r="H189">
        <v>15</v>
      </c>
      <c r="I189" t="s">
        <v>4748</v>
      </c>
      <c r="J189" t="s">
        <v>4760</v>
      </c>
      <c r="K189">
        <v>13</v>
      </c>
    </row>
    <row r="190" spans="1:11">
      <c r="A190" t="s">
        <v>1798</v>
      </c>
      <c r="B190" s="17">
        <v>41985</v>
      </c>
      <c r="C190">
        <v>2014</v>
      </c>
      <c r="D190" t="s">
        <v>23</v>
      </c>
      <c r="E190" t="s">
        <v>4751</v>
      </c>
      <c r="F190" t="s">
        <v>1604</v>
      </c>
      <c r="G190">
        <v>202</v>
      </c>
      <c r="H190">
        <v>16</v>
      </c>
      <c r="I190" t="s">
        <v>4748</v>
      </c>
      <c r="J190" t="s">
        <v>4760</v>
      </c>
      <c r="K190">
        <v>12</v>
      </c>
    </row>
    <row r="191" spans="1:11">
      <c r="A191" t="s">
        <v>1799</v>
      </c>
      <c r="B191" s="17">
        <v>41987</v>
      </c>
      <c r="C191">
        <v>2014</v>
      </c>
      <c r="D191" t="s">
        <v>42</v>
      </c>
      <c r="E191" t="s">
        <v>4751</v>
      </c>
      <c r="F191" t="s">
        <v>1604</v>
      </c>
      <c r="G191">
        <v>52</v>
      </c>
      <c r="H191">
        <v>25</v>
      </c>
      <c r="I191" t="s">
        <v>4750</v>
      </c>
      <c r="J191" t="s">
        <v>4761</v>
      </c>
      <c r="K191">
        <v>-13.6</v>
      </c>
    </row>
    <row r="192" spans="1:11">
      <c r="A192" t="s">
        <v>1800</v>
      </c>
      <c r="B192" s="17">
        <v>41987</v>
      </c>
      <c r="C192">
        <v>2014</v>
      </c>
      <c r="D192" t="s">
        <v>38</v>
      </c>
      <c r="E192" t="s">
        <v>4751</v>
      </c>
      <c r="F192" t="s">
        <v>1611</v>
      </c>
      <c r="G192">
        <v>852</v>
      </c>
      <c r="H192">
        <v>36</v>
      </c>
      <c r="I192" t="s">
        <v>4748</v>
      </c>
      <c r="J192" t="s">
        <v>4760</v>
      </c>
      <c r="K192">
        <v>1.5</v>
      </c>
    </row>
    <row r="193" spans="1:11">
      <c r="A193" t="s">
        <v>1801</v>
      </c>
      <c r="B193" s="17">
        <v>42008</v>
      </c>
      <c r="C193">
        <v>2015</v>
      </c>
      <c r="D193" t="s">
        <v>1703</v>
      </c>
      <c r="E193" t="s">
        <v>4747</v>
      </c>
      <c r="F193" t="s">
        <v>1611</v>
      </c>
      <c r="G193">
        <v>794</v>
      </c>
      <c r="H193">
        <v>36</v>
      </c>
      <c r="I193" t="s">
        <v>4752</v>
      </c>
      <c r="J193" t="s">
        <v>4762</v>
      </c>
      <c r="K193">
        <v>-22.7</v>
      </c>
    </row>
    <row r="194" spans="1:11">
      <c r="A194" t="s">
        <v>1802</v>
      </c>
      <c r="B194" s="17">
        <v>42016</v>
      </c>
      <c r="C194">
        <v>2015</v>
      </c>
      <c r="D194" t="s">
        <v>1640</v>
      </c>
      <c r="E194" t="s">
        <v>4759</v>
      </c>
      <c r="F194" t="s">
        <v>1611</v>
      </c>
      <c r="G194">
        <v>1530</v>
      </c>
      <c r="H194">
        <v>38</v>
      </c>
      <c r="I194" t="s">
        <v>4752</v>
      </c>
      <c r="J194" t="s">
        <v>4762</v>
      </c>
      <c r="K194">
        <v>-19.2</v>
      </c>
    </row>
    <row r="195" spans="1:11">
      <c r="A195" t="s">
        <v>1803</v>
      </c>
      <c r="B195" s="17">
        <v>42017</v>
      </c>
      <c r="C195">
        <v>2015</v>
      </c>
      <c r="D195" t="s">
        <v>67</v>
      </c>
      <c r="E195" t="s">
        <v>4751</v>
      </c>
      <c r="F195" t="s">
        <v>1604</v>
      </c>
      <c r="G195">
        <v>265</v>
      </c>
      <c r="H195">
        <v>14</v>
      </c>
      <c r="I195" t="s">
        <v>4750</v>
      </c>
      <c r="J195" t="s">
        <v>4761</v>
      </c>
      <c r="K195">
        <v>-2.7</v>
      </c>
    </row>
    <row r="196" spans="1:11">
      <c r="A196" t="s">
        <v>1804</v>
      </c>
      <c r="B196" s="17">
        <v>42029</v>
      </c>
      <c r="C196">
        <v>2015</v>
      </c>
      <c r="D196" t="s">
        <v>1676</v>
      </c>
      <c r="E196" t="s">
        <v>4749</v>
      </c>
      <c r="F196" t="s">
        <v>1604</v>
      </c>
      <c r="G196">
        <v>242</v>
      </c>
      <c r="H196">
        <v>10</v>
      </c>
      <c r="I196" t="s">
        <v>4748</v>
      </c>
      <c r="J196" t="s">
        <v>4760</v>
      </c>
      <c r="K196">
        <v>5.6</v>
      </c>
    </row>
    <row r="197" spans="1:11">
      <c r="A197" t="s">
        <v>1805</v>
      </c>
      <c r="B197" s="17">
        <v>42039</v>
      </c>
      <c r="C197">
        <v>2015</v>
      </c>
      <c r="D197" t="s">
        <v>146</v>
      </c>
      <c r="E197" t="s">
        <v>4753</v>
      </c>
      <c r="F197" t="s">
        <v>1611</v>
      </c>
      <c r="G197">
        <v>648</v>
      </c>
      <c r="H197">
        <v>39</v>
      </c>
      <c r="I197" t="s">
        <v>4752</v>
      </c>
      <c r="J197" t="s">
        <v>4762</v>
      </c>
      <c r="K197">
        <v>-15.9</v>
      </c>
    </row>
    <row r="198" spans="1:11">
      <c r="A198" t="s">
        <v>1806</v>
      </c>
      <c r="B198" s="17">
        <v>42040</v>
      </c>
      <c r="C198">
        <v>2015</v>
      </c>
      <c r="D198" t="s">
        <v>1676</v>
      </c>
      <c r="E198" t="s">
        <v>4751</v>
      </c>
      <c r="F198" t="s">
        <v>1611</v>
      </c>
      <c r="G198">
        <v>811</v>
      </c>
      <c r="H198">
        <v>30</v>
      </c>
      <c r="I198" t="s">
        <v>4748</v>
      </c>
      <c r="J198" t="s">
        <v>4760</v>
      </c>
      <c r="K198">
        <v>12.5</v>
      </c>
    </row>
    <row r="199" spans="1:11">
      <c r="A199" t="s">
        <v>1807</v>
      </c>
      <c r="B199" s="17">
        <v>42049</v>
      </c>
      <c r="C199">
        <v>2015</v>
      </c>
      <c r="D199" t="s">
        <v>38</v>
      </c>
      <c r="E199" t="s">
        <v>4754</v>
      </c>
      <c r="F199" t="s">
        <v>1611</v>
      </c>
      <c r="G199">
        <v>841</v>
      </c>
      <c r="H199">
        <v>37</v>
      </c>
      <c r="I199" t="s">
        <v>4748</v>
      </c>
      <c r="J199" t="s">
        <v>4760</v>
      </c>
      <c r="K199">
        <v>9.6999999999999993</v>
      </c>
    </row>
    <row r="200" spans="1:11">
      <c r="A200" t="s">
        <v>1808</v>
      </c>
      <c r="B200" s="17">
        <v>42055</v>
      </c>
      <c r="C200">
        <v>2015</v>
      </c>
      <c r="D200" t="s">
        <v>1703</v>
      </c>
      <c r="E200" t="s">
        <v>4759</v>
      </c>
      <c r="F200" t="s">
        <v>1604</v>
      </c>
      <c r="G200">
        <v>183</v>
      </c>
      <c r="H200">
        <v>14</v>
      </c>
      <c r="I200" t="s">
        <v>4748</v>
      </c>
      <c r="J200" t="s">
        <v>4760</v>
      </c>
      <c r="K200">
        <v>3.5</v>
      </c>
    </row>
    <row r="201" spans="1:11">
      <c r="A201" t="s">
        <v>1809</v>
      </c>
      <c r="B201" s="17">
        <v>42061</v>
      </c>
      <c r="C201">
        <v>2015</v>
      </c>
      <c r="D201" t="s">
        <v>17</v>
      </c>
      <c r="E201" t="s">
        <v>4757</v>
      </c>
      <c r="F201" t="s">
        <v>1604</v>
      </c>
      <c r="G201">
        <v>115</v>
      </c>
      <c r="H201">
        <v>17</v>
      </c>
      <c r="I201" t="s">
        <v>4748</v>
      </c>
      <c r="J201" t="s">
        <v>4760</v>
      </c>
      <c r="K201">
        <v>8.9</v>
      </c>
    </row>
    <row r="202" spans="1:11">
      <c r="A202" t="s">
        <v>1810</v>
      </c>
      <c r="B202" s="17">
        <v>42074</v>
      </c>
      <c r="C202">
        <v>2015</v>
      </c>
      <c r="D202" t="s">
        <v>17</v>
      </c>
      <c r="E202" t="s">
        <v>4754</v>
      </c>
      <c r="F202" t="s">
        <v>1604</v>
      </c>
      <c r="G202">
        <v>185</v>
      </c>
      <c r="H202">
        <v>37</v>
      </c>
      <c r="I202" t="s">
        <v>4748</v>
      </c>
      <c r="J202" t="s">
        <v>4760</v>
      </c>
      <c r="K202">
        <v>4.0999999999999996</v>
      </c>
    </row>
    <row r="203" spans="1:11">
      <c r="A203" t="s">
        <v>1811</v>
      </c>
      <c r="B203" s="17">
        <v>42079</v>
      </c>
      <c r="C203">
        <v>2015</v>
      </c>
      <c r="D203" t="s">
        <v>31</v>
      </c>
      <c r="E203" t="s">
        <v>4751</v>
      </c>
      <c r="F203" t="s">
        <v>1611</v>
      </c>
      <c r="G203">
        <v>1519</v>
      </c>
      <c r="H203">
        <v>33</v>
      </c>
      <c r="I203" t="s">
        <v>4748</v>
      </c>
      <c r="J203" t="s">
        <v>4760</v>
      </c>
      <c r="K203">
        <v>0.2</v>
      </c>
    </row>
    <row r="204" spans="1:11">
      <c r="A204" t="s">
        <v>1812</v>
      </c>
      <c r="B204" s="17">
        <v>42125</v>
      </c>
      <c r="C204">
        <v>2015</v>
      </c>
      <c r="D204" t="s">
        <v>1603</v>
      </c>
      <c r="E204" t="s">
        <v>4747</v>
      </c>
      <c r="F204" t="s">
        <v>1604</v>
      </c>
      <c r="G204">
        <v>220</v>
      </c>
      <c r="H204">
        <v>15</v>
      </c>
      <c r="I204" t="s">
        <v>4748</v>
      </c>
      <c r="J204" t="s">
        <v>4760</v>
      </c>
      <c r="K204">
        <v>12.5</v>
      </c>
    </row>
    <row r="205" spans="1:11">
      <c r="A205" t="s">
        <v>1813</v>
      </c>
      <c r="B205" s="17">
        <v>42131</v>
      </c>
      <c r="C205">
        <v>2015</v>
      </c>
      <c r="D205" t="s">
        <v>146</v>
      </c>
      <c r="E205" t="s">
        <v>4754</v>
      </c>
      <c r="F205" t="s">
        <v>1611</v>
      </c>
      <c r="G205">
        <v>1515</v>
      </c>
      <c r="H205">
        <v>30</v>
      </c>
      <c r="I205" t="s">
        <v>4748</v>
      </c>
      <c r="J205" t="s">
        <v>4760</v>
      </c>
      <c r="K205">
        <v>1.7</v>
      </c>
    </row>
    <row r="206" spans="1:11">
      <c r="A206" t="s">
        <v>1814</v>
      </c>
      <c r="B206" s="17">
        <v>42161</v>
      </c>
      <c r="C206">
        <v>2015</v>
      </c>
      <c r="D206" t="s">
        <v>146</v>
      </c>
      <c r="E206" t="s">
        <v>4759</v>
      </c>
      <c r="F206" t="s">
        <v>1611</v>
      </c>
      <c r="G206">
        <v>1411</v>
      </c>
      <c r="H206">
        <v>21</v>
      </c>
      <c r="I206" t="s">
        <v>4748</v>
      </c>
      <c r="J206" t="s">
        <v>4760</v>
      </c>
      <c r="K206">
        <v>3.3</v>
      </c>
    </row>
    <row r="207" spans="1:11">
      <c r="A207" t="s">
        <v>1815</v>
      </c>
      <c r="B207" s="17">
        <v>42167</v>
      </c>
      <c r="C207">
        <v>2015</v>
      </c>
      <c r="D207" t="s">
        <v>67</v>
      </c>
      <c r="E207" t="s">
        <v>4757</v>
      </c>
      <c r="F207" t="s">
        <v>1604</v>
      </c>
      <c r="G207">
        <v>130</v>
      </c>
      <c r="H207">
        <v>17</v>
      </c>
      <c r="I207" t="s">
        <v>4752</v>
      </c>
      <c r="J207" t="s">
        <v>4762</v>
      </c>
      <c r="K207">
        <v>-13.6</v>
      </c>
    </row>
    <row r="208" spans="1:11">
      <c r="A208" t="s">
        <v>1816</v>
      </c>
      <c r="B208" s="17">
        <v>42175</v>
      </c>
      <c r="C208">
        <v>2015</v>
      </c>
      <c r="D208" t="s">
        <v>1603</v>
      </c>
      <c r="E208" t="s">
        <v>4747</v>
      </c>
      <c r="F208" t="s">
        <v>1611</v>
      </c>
      <c r="G208">
        <v>942</v>
      </c>
      <c r="H208">
        <v>31</v>
      </c>
      <c r="I208" t="s">
        <v>4752</v>
      </c>
      <c r="J208" t="s">
        <v>4762</v>
      </c>
      <c r="K208">
        <v>6.6</v>
      </c>
    </row>
    <row r="209" spans="1:11">
      <c r="A209" t="s">
        <v>1817</v>
      </c>
      <c r="B209" s="17">
        <v>42175</v>
      </c>
      <c r="C209">
        <v>2015</v>
      </c>
      <c r="D209" t="s">
        <v>1676</v>
      </c>
      <c r="E209" t="s">
        <v>4753</v>
      </c>
      <c r="F209" t="s">
        <v>1604</v>
      </c>
      <c r="G209">
        <v>290</v>
      </c>
      <c r="H209">
        <v>21</v>
      </c>
      <c r="I209" t="s">
        <v>4748</v>
      </c>
      <c r="J209" t="s">
        <v>4760</v>
      </c>
      <c r="K209">
        <v>10.1</v>
      </c>
    </row>
    <row r="210" spans="1:11">
      <c r="A210" t="s">
        <v>1818</v>
      </c>
      <c r="B210" s="17">
        <v>42189</v>
      </c>
      <c r="C210">
        <v>2015</v>
      </c>
      <c r="D210" t="s">
        <v>1608</v>
      </c>
      <c r="E210" t="s">
        <v>4749</v>
      </c>
      <c r="F210" t="s">
        <v>1611</v>
      </c>
      <c r="G210">
        <v>1219</v>
      </c>
      <c r="H210">
        <v>33</v>
      </c>
      <c r="I210" t="s">
        <v>4748</v>
      </c>
      <c r="J210" t="s">
        <v>4760</v>
      </c>
      <c r="K210">
        <v>2.4</v>
      </c>
    </row>
    <row r="211" spans="1:11">
      <c r="A211" t="s">
        <v>1819</v>
      </c>
      <c r="B211" s="17">
        <v>42200</v>
      </c>
      <c r="C211">
        <v>2015</v>
      </c>
      <c r="D211" t="s">
        <v>146</v>
      </c>
      <c r="E211" t="s">
        <v>4749</v>
      </c>
      <c r="F211" t="s">
        <v>1611</v>
      </c>
      <c r="G211">
        <v>1378</v>
      </c>
      <c r="H211">
        <v>43</v>
      </c>
      <c r="I211" t="s">
        <v>4748</v>
      </c>
      <c r="J211" t="s">
        <v>4760</v>
      </c>
      <c r="K211">
        <v>4.5999999999999996</v>
      </c>
    </row>
    <row r="212" spans="1:11">
      <c r="A212" t="s">
        <v>1820</v>
      </c>
      <c r="B212" s="17">
        <v>42201</v>
      </c>
      <c r="C212">
        <v>2015</v>
      </c>
      <c r="D212" t="s">
        <v>125</v>
      </c>
      <c r="E212" t="s">
        <v>4747</v>
      </c>
      <c r="F212" t="s">
        <v>1611</v>
      </c>
      <c r="G212">
        <v>2639</v>
      </c>
      <c r="H212">
        <v>40</v>
      </c>
      <c r="I212" t="s">
        <v>4752</v>
      </c>
      <c r="J212" t="s">
        <v>4762</v>
      </c>
      <c r="K212">
        <v>-26.3</v>
      </c>
    </row>
    <row r="213" spans="1:11">
      <c r="A213" t="s">
        <v>1821</v>
      </c>
      <c r="B213" s="17">
        <v>42203</v>
      </c>
      <c r="C213">
        <v>2015</v>
      </c>
      <c r="D213" t="s">
        <v>9</v>
      </c>
      <c r="E213" t="s">
        <v>4756</v>
      </c>
      <c r="F213" t="s">
        <v>1611</v>
      </c>
      <c r="G213">
        <v>408</v>
      </c>
      <c r="H213">
        <v>38</v>
      </c>
      <c r="I213" t="s">
        <v>4752</v>
      </c>
      <c r="J213" t="s">
        <v>4762</v>
      </c>
      <c r="K213">
        <v>-13.3</v>
      </c>
    </row>
    <row r="214" spans="1:11">
      <c r="A214" t="s">
        <v>1822</v>
      </c>
      <c r="B214" s="17">
        <v>42203</v>
      </c>
      <c r="C214">
        <v>2015</v>
      </c>
      <c r="D214" t="s">
        <v>1703</v>
      </c>
      <c r="E214" t="s">
        <v>4753</v>
      </c>
      <c r="F214" t="s">
        <v>1604</v>
      </c>
      <c r="G214">
        <v>170</v>
      </c>
      <c r="H214">
        <v>26</v>
      </c>
      <c r="I214" t="s">
        <v>4748</v>
      </c>
      <c r="J214" t="s">
        <v>4760</v>
      </c>
      <c r="K214">
        <v>16.399999999999999</v>
      </c>
    </row>
    <row r="215" spans="1:11">
      <c r="A215" t="s">
        <v>1823</v>
      </c>
      <c r="B215" s="17">
        <v>42211</v>
      </c>
      <c r="C215">
        <v>2015</v>
      </c>
      <c r="D215" t="s">
        <v>1603</v>
      </c>
      <c r="E215" t="s">
        <v>4747</v>
      </c>
      <c r="F215" t="s">
        <v>1604</v>
      </c>
      <c r="G215">
        <v>188</v>
      </c>
      <c r="H215">
        <v>13</v>
      </c>
      <c r="I215" t="s">
        <v>4748</v>
      </c>
      <c r="J215" t="s">
        <v>4760</v>
      </c>
      <c r="K215">
        <v>8.4</v>
      </c>
    </row>
    <row r="216" spans="1:11">
      <c r="A216" t="s">
        <v>1824</v>
      </c>
      <c r="B216" s="17">
        <v>42226</v>
      </c>
      <c r="C216">
        <v>2015</v>
      </c>
      <c r="D216" t="s">
        <v>9</v>
      </c>
      <c r="E216" t="s">
        <v>4751</v>
      </c>
      <c r="F216" t="s">
        <v>1611</v>
      </c>
      <c r="G216">
        <v>1377</v>
      </c>
      <c r="H216">
        <v>43</v>
      </c>
      <c r="I216" t="s">
        <v>4752</v>
      </c>
      <c r="J216" t="s">
        <v>4762</v>
      </c>
      <c r="K216">
        <v>-16.7</v>
      </c>
    </row>
    <row r="217" spans="1:11">
      <c r="A217" t="s">
        <v>1825</v>
      </c>
      <c r="B217" s="17">
        <v>42229</v>
      </c>
      <c r="C217">
        <v>2015</v>
      </c>
      <c r="D217" t="s">
        <v>1403</v>
      </c>
      <c r="E217" t="s">
        <v>4759</v>
      </c>
      <c r="F217" t="s">
        <v>1611</v>
      </c>
      <c r="G217">
        <v>1402</v>
      </c>
      <c r="H217">
        <v>37</v>
      </c>
      <c r="I217" t="s">
        <v>4752</v>
      </c>
      <c r="J217" t="s">
        <v>4762</v>
      </c>
      <c r="K217">
        <v>-15.9</v>
      </c>
    </row>
    <row r="218" spans="1:11">
      <c r="A218" t="s">
        <v>1826</v>
      </c>
      <c r="B218" s="17">
        <v>42272</v>
      </c>
      <c r="C218">
        <v>2015</v>
      </c>
      <c r="D218" t="s">
        <v>130</v>
      </c>
      <c r="E218" t="s">
        <v>4757</v>
      </c>
      <c r="F218" t="s">
        <v>1604</v>
      </c>
      <c r="G218">
        <v>266</v>
      </c>
      <c r="H218">
        <v>9</v>
      </c>
      <c r="I218" t="s">
        <v>4748</v>
      </c>
      <c r="J218" t="s">
        <v>4760</v>
      </c>
      <c r="K218">
        <v>11.3</v>
      </c>
    </row>
    <row r="219" spans="1:11">
      <c r="A219" t="s">
        <v>1827</v>
      </c>
      <c r="B219" s="17">
        <v>42293</v>
      </c>
      <c r="C219">
        <v>2015</v>
      </c>
      <c r="D219" t="s">
        <v>23</v>
      </c>
      <c r="E219" t="s">
        <v>4751</v>
      </c>
      <c r="F219" t="s">
        <v>1604</v>
      </c>
      <c r="G219">
        <v>370</v>
      </c>
      <c r="H219">
        <v>14</v>
      </c>
      <c r="I219" t="s">
        <v>4752</v>
      </c>
      <c r="J219" t="s">
        <v>4762</v>
      </c>
      <c r="K219">
        <v>-31.8</v>
      </c>
    </row>
    <row r="220" spans="1:11">
      <c r="A220" t="s">
        <v>1828</v>
      </c>
      <c r="B220" s="17">
        <v>42294</v>
      </c>
      <c r="C220">
        <v>2015</v>
      </c>
      <c r="D220" t="s">
        <v>1610</v>
      </c>
      <c r="E220" t="s">
        <v>4749</v>
      </c>
      <c r="F220" t="s">
        <v>1604</v>
      </c>
      <c r="G220">
        <v>334</v>
      </c>
      <c r="H220">
        <v>16</v>
      </c>
      <c r="I220" t="s">
        <v>4748</v>
      </c>
      <c r="J220" t="s">
        <v>4760</v>
      </c>
      <c r="K220">
        <v>4.5999999999999996</v>
      </c>
    </row>
    <row r="221" spans="1:11">
      <c r="A221" t="s">
        <v>1829</v>
      </c>
      <c r="B221" s="17">
        <v>42295</v>
      </c>
      <c r="C221">
        <v>2015</v>
      </c>
      <c r="D221" t="s">
        <v>67</v>
      </c>
      <c r="E221" t="s">
        <v>4754</v>
      </c>
      <c r="F221" t="s">
        <v>1611</v>
      </c>
      <c r="G221">
        <v>1540</v>
      </c>
      <c r="H221">
        <v>40</v>
      </c>
      <c r="I221" t="s">
        <v>4748</v>
      </c>
      <c r="J221" t="s">
        <v>4760</v>
      </c>
      <c r="K221">
        <v>10.4</v>
      </c>
    </row>
    <row r="222" spans="1:11">
      <c r="A222" t="s">
        <v>1830</v>
      </c>
      <c r="B222" s="17">
        <v>42297</v>
      </c>
      <c r="C222">
        <v>2015</v>
      </c>
      <c r="D222" t="s">
        <v>42</v>
      </c>
      <c r="E222" t="s">
        <v>4754</v>
      </c>
      <c r="F222" t="s">
        <v>1611</v>
      </c>
      <c r="G222">
        <v>2265</v>
      </c>
      <c r="H222">
        <v>36</v>
      </c>
      <c r="I222" t="s">
        <v>4748</v>
      </c>
      <c r="J222" t="s">
        <v>4760</v>
      </c>
      <c r="K222">
        <v>11.1</v>
      </c>
    </row>
    <row r="223" spans="1:11">
      <c r="A223" t="s">
        <v>1831</v>
      </c>
      <c r="B223" s="17">
        <v>42310</v>
      </c>
      <c r="C223">
        <v>2015</v>
      </c>
      <c r="D223" t="s">
        <v>1608</v>
      </c>
      <c r="E223" t="s">
        <v>4751</v>
      </c>
      <c r="F223" t="s">
        <v>1604</v>
      </c>
      <c r="G223">
        <v>98</v>
      </c>
      <c r="H223">
        <v>13</v>
      </c>
      <c r="I223" t="s">
        <v>4748</v>
      </c>
      <c r="J223" t="s">
        <v>4760</v>
      </c>
      <c r="K223">
        <v>9.6</v>
      </c>
    </row>
    <row r="224" spans="1:11">
      <c r="A224" t="s">
        <v>1832</v>
      </c>
      <c r="B224" s="17">
        <v>42319</v>
      </c>
      <c r="C224">
        <v>2015</v>
      </c>
      <c r="D224" t="s">
        <v>1640</v>
      </c>
      <c r="E224" t="s">
        <v>4753</v>
      </c>
      <c r="F224" t="s">
        <v>1604</v>
      </c>
      <c r="G224">
        <v>377</v>
      </c>
      <c r="H224">
        <v>17</v>
      </c>
      <c r="I224" t="s">
        <v>4750</v>
      </c>
      <c r="J224" t="s">
        <v>4761</v>
      </c>
      <c r="K224">
        <v>0.5</v>
      </c>
    </row>
    <row r="225" spans="1:11">
      <c r="A225" t="s">
        <v>1833</v>
      </c>
      <c r="B225" s="17">
        <v>42328</v>
      </c>
      <c r="C225">
        <v>2015</v>
      </c>
      <c r="D225" t="s">
        <v>376</v>
      </c>
      <c r="E225" t="s">
        <v>4751</v>
      </c>
      <c r="F225" t="s">
        <v>1604</v>
      </c>
      <c r="G225">
        <v>529</v>
      </c>
      <c r="H225">
        <v>26</v>
      </c>
      <c r="I225" t="s">
        <v>4748</v>
      </c>
      <c r="J225" t="s">
        <v>4760</v>
      </c>
      <c r="K225">
        <v>5.6</v>
      </c>
    </row>
    <row r="226" spans="1:11">
      <c r="A226" t="s">
        <v>1834</v>
      </c>
      <c r="B226" s="17">
        <v>42333</v>
      </c>
      <c r="C226">
        <v>2015</v>
      </c>
      <c r="D226" t="s">
        <v>1703</v>
      </c>
      <c r="E226" t="s">
        <v>4751</v>
      </c>
      <c r="F226" t="s">
        <v>1611</v>
      </c>
      <c r="G226">
        <v>979</v>
      </c>
      <c r="H226">
        <v>29</v>
      </c>
      <c r="I226" t="s">
        <v>4752</v>
      </c>
      <c r="J226" t="s">
        <v>4762</v>
      </c>
      <c r="K226">
        <v>-20.7</v>
      </c>
    </row>
    <row r="227" spans="1:11">
      <c r="A227" t="s">
        <v>1835</v>
      </c>
      <c r="B227" s="17">
        <v>42346</v>
      </c>
      <c r="C227">
        <v>2015</v>
      </c>
      <c r="D227" t="s">
        <v>31</v>
      </c>
      <c r="E227" t="s">
        <v>4751</v>
      </c>
      <c r="F227" t="s">
        <v>1611</v>
      </c>
      <c r="G227">
        <v>976</v>
      </c>
      <c r="H227">
        <v>38</v>
      </c>
      <c r="I227" t="s">
        <v>4750</v>
      </c>
      <c r="J227" t="s">
        <v>4761</v>
      </c>
      <c r="K227">
        <v>-6.4</v>
      </c>
    </row>
    <row r="228" spans="1:11">
      <c r="A228" t="s">
        <v>1836</v>
      </c>
      <c r="B228" s="17">
        <v>42355</v>
      </c>
      <c r="C228">
        <v>2015</v>
      </c>
      <c r="D228" t="s">
        <v>23</v>
      </c>
      <c r="E228" t="s">
        <v>4747</v>
      </c>
      <c r="F228" t="s">
        <v>1611</v>
      </c>
      <c r="G228">
        <v>897</v>
      </c>
      <c r="H228">
        <v>30</v>
      </c>
      <c r="I228" t="s">
        <v>4752</v>
      </c>
      <c r="J228" t="s">
        <v>4762</v>
      </c>
      <c r="K228">
        <v>-9.1</v>
      </c>
    </row>
    <row r="229" spans="1:11">
      <c r="A229" t="s">
        <v>1837</v>
      </c>
      <c r="B229" s="17">
        <v>42370</v>
      </c>
      <c r="C229">
        <v>2016</v>
      </c>
      <c r="D229" t="s">
        <v>1603</v>
      </c>
      <c r="E229" t="s">
        <v>4747</v>
      </c>
      <c r="F229" t="s">
        <v>1604</v>
      </c>
      <c r="G229">
        <v>168</v>
      </c>
      <c r="H229">
        <v>13</v>
      </c>
      <c r="I229" t="s">
        <v>4748</v>
      </c>
      <c r="J229" t="s">
        <v>4760</v>
      </c>
      <c r="K229">
        <v>4</v>
      </c>
    </row>
    <row r="230" spans="1:11">
      <c r="A230" t="s">
        <v>1838</v>
      </c>
      <c r="B230" s="17">
        <v>42382</v>
      </c>
      <c r="C230">
        <v>2016</v>
      </c>
      <c r="D230" t="s">
        <v>1403</v>
      </c>
      <c r="E230" t="s">
        <v>4754</v>
      </c>
      <c r="F230" t="s">
        <v>1604</v>
      </c>
      <c r="G230">
        <v>146</v>
      </c>
      <c r="H230">
        <v>15</v>
      </c>
      <c r="I230" t="s">
        <v>4748</v>
      </c>
      <c r="J230" t="s">
        <v>4760</v>
      </c>
      <c r="K230">
        <v>16.5</v>
      </c>
    </row>
    <row r="231" spans="1:11">
      <c r="A231" t="s">
        <v>1839</v>
      </c>
      <c r="B231" s="17">
        <v>42384</v>
      </c>
      <c r="C231">
        <v>2016</v>
      </c>
      <c r="D231" t="s">
        <v>146</v>
      </c>
      <c r="E231" t="s">
        <v>4751</v>
      </c>
      <c r="F231" t="s">
        <v>1611</v>
      </c>
      <c r="G231">
        <v>571</v>
      </c>
      <c r="H231">
        <v>45</v>
      </c>
      <c r="I231" t="s">
        <v>4752</v>
      </c>
      <c r="J231" t="s">
        <v>4762</v>
      </c>
      <c r="K231">
        <v>-33.5</v>
      </c>
    </row>
    <row r="232" spans="1:11">
      <c r="A232" t="s">
        <v>1840</v>
      </c>
      <c r="B232" s="17">
        <v>42385</v>
      </c>
      <c r="C232">
        <v>2016</v>
      </c>
      <c r="D232" t="s">
        <v>23</v>
      </c>
      <c r="E232" t="s">
        <v>4757</v>
      </c>
      <c r="F232" t="s">
        <v>1611</v>
      </c>
      <c r="G232">
        <v>1139</v>
      </c>
      <c r="H232">
        <v>50</v>
      </c>
      <c r="I232" t="s">
        <v>4752</v>
      </c>
      <c r="J232" t="s">
        <v>4762</v>
      </c>
      <c r="K232">
        <v>-3.5</v>
      </c>
    </row>
    <row r="233" spans="1:11">
      <c r="A233" t="s">
        <v>1841</v>
      </c>
      <c r="B233" s="17">
        <v>42387</v>
      </c>
      <c r="C233">
        <v>2016</v>
      </c>
      <c r="D233" t="s">
        <v>9</v>
      </c>
      <c r="E233" t="s">
        <v>4751</v>
      </c>
      <c r="F233" t="s">
        <v>1604</v>
      </c>
      <c r="G233">
        <v>325</v>
      </c>
      <c r="H233">
        <v>23</v>
      </c>
      <c r="I233" t="s">
        <v>4748</v>
      </c>
      <c r="J233" t="s">
        <v>4760</v>
      </c>
      <c r="K233">
        <v>-4.2</v>
      </c>
    </row>
    <row r="234" spans="1:11">
      <c r="A234" t="s">
        <v>1842</v>
      </c>
      <c r="B234" s="17">
        <v>42435</v>
      </c>
      <c r="C234">
        <v>2016</v>
      </c>
      <c r="D234" t="s">
        <v>17</v>
      </c>
      <c r="E234" t="s">
        <v>4757</v>
      </c>
      <c r="F234" t="s">
        <v>1604</v>
      </c>
      <c r="G234">
        <v>228</v>
      </c>
      <c r="H234">
        <v>22</v>
      </c>
      <c r="I234" t="s">
        <v>4748</v>
      </c>
      <c r="J234" t="s">
        <v>4760</v>
      </c>
      <c r="K234">
        <v>12.8</v>
      </c>
    </row>
    <row r="235" spans="1:11">
      <c r="A235" t="s">
        <v>1843</v>
      </c>
      <c r="B235" s="17">
        <v>42437</v>
      </c>
      <c r="C235">
        <v>2016</v>
      </c>
      <c r="D235" t="s">
        <v>146</v>
      </c>
      <c r="E235" t="s">
        <v>4755</v>
      </c>
      <c r="F235" t="s">
        <v>1604</v>
      </c>
      <c r="G235">
        <v>184</v>
      </c>
      <c r="H235">
        <v>15</v>
      </c>
      <c r="I235" t="s">
        <v>4752</v>
      </c>
      <c r="J235" t="s">
        <v>4762</v>
      </c>
      <c r="K235">
        <v>-8.3000000000000007</v>
      </c>
    </row>
    <row r="236" spans="1:11">
      <c r="A236" t="s">
        <v>1844</v>
      </c>
      <c r="B236" s="17">
        <v>42464</v>
      </c>
      <c r="C236">
        <v>2016</v>
      </c>
      <c r="D236" t="s">
        <v>17</v>
      </c>
      <c r="E236" t="s">
        <v>4747</v>
      </c>
      <c r="F236" t="s">
        <v>1604</v>
      </c>
      <c r="G236">
        <v>254</v>
      </c>
      <c r="H236">
        <v>15</v>
      </c>
      <c r="I236" t="s">
        <v>4752</v>
      </c>
      <c r="J236" t="s">
        <v>4762</v>
      </c>
      <c r="K236">
        <v>-22.9</v>
      </c>
    </row>
    <row r="237" spans="1:11">
      <c r="A237" t="s">
        <v>1845</v>
      </c>
      <c r="B237" s="17">
        <v>42466</v>
      </c>
      <c r="C237">
        <v>2016</v>
      </c>
      <c r="D237" t="s">
        <v>1403</v>
      </c>
      <c r="E237" t="s">
        <v>4751</v>
      </c>
      <c r="F237" t="s">
        <v>1611</v>
      </c>
      <c r="G237">
        <v>359</v>
      </c>
      <c r="H237">
        <v>43</v>
      </c>
      <c r="I237" t="s">
        <v>4750</v>
      </c>
      <c r="J237" t="s">
        <v>4761</v>
      </c>
      <c r="K237">
        <v>-0.8</v>
      </c>
    </row>
    <row r="238" spans="1:11">
      <c r="A238" t="s">
        <v>1846</v>
      </c>
      <c r="B238" s="17">
        <v>42471</v>
      </c>
      <c r="C238">
        <v>2016</v>
      </c>
      <c r="D238" t="s">
        <v>376</v>
      </c>
      <c r="E238" t="s">
        <v>4749</v>
      </c>
      <c r="F238" t="s">
        <v>1604</v>
      </c>
      <c r="G238">
        <v>149</v>
      </c>
      <c r="H238">
        <v>6</v>
      </c>
      <c r="I238" t="s">
        <v>4748</v>
      </c>
      <c r="J238" t="s">
        <v>4760</v>
      </c>
      <c r="K238">
        <v>11.8</v>
      </c>
    </row>
    <row r="239" spans="1:11">
      <c r="A239" t="s">
        <v>1847</v>
      </c>
      <c r="B239" s="17">
        <v>42498</v>
      </c>
      <c r="C239">
        <v>2016</v>
      </c>
      <c r="D239" t="s">
        <v>146</v>
      </c>
      <c r="E239" t="s">
        <v>4751</v>
      </c>
      <c r="F239" t="s">
        <v>1604</v>
      </c>
      <c r="G239">
        <v>208</v>
      </c>
      <c r="H239">
        <v>14</v>
      </c>
      <c r="I239" t="s">
        <v>4750</v>
      </c>
      <c r="J239" t="s">
        <v>4761</v>
      </c>
      <c r="K239">
        <v>3.9</v>
      </c>
    </row>
    <row r="240" spans="1:11">
      <c r="A240" t="s">
        <v>1848</v>
      </c>
      <c r="B240" s="17">
        <v>42505</v>
      </c>
      <c r="C240">
        <v>2016</v>
      </c>
      <c r="D240" t="s">
        <v>31</v>
      </c>
      <c r="E240" t="s">
        <v>4754</v>
      </c>
      <c r="F240" t="s">
        <v>1604</v>
      </c>
      <c r="G240">
        <v>994</v>
      </c>
      <c r="H240">
        <v>16</v>
      </c>
      <c r="I240" t="s">
        <v>4748</v>
      </c>
      <c r="J240" t="s">
        <v>4760</v>
      </c>
      <c r="K240">
        <v>3.4</v>
      </c>
    </row>
    <row r="241" spans="1:11">
      <c r="A241" t="s">
        <v>1849</v>
      </c>
      <c r="B241" s="17">
        <v>42507</v>
      </c>
      <c r="C241">
        <v>2016</v>
      </c>
      <c r="D241" t="s">
        <v>9</v>
      </c>
      <c r="E241" t="s">
        <v>4756</v>
      </c>
      <c r="F241" t="s">
        <v>1611</v>
      </c>
      <c r="G241">
        <v>513</v>
      </c>
      <c r="H241">
        <v>37</v>
      </c>
      <c r="I241" t="s">
        <v>4750</v>
      </c>
      <c r="J241" t="s">
        <v>4761</v>
      </c>
      <c r="K241">
        <v>-4.2</v>
      </c>
    </row>
    <row r="242" spans="1:11">
      <c r="A242" t="s">
        <v>1850</v>
      </c>
      <c r="B242" s="17">
        <v>42513</v>
      </c>
      <c r="C242">
        <v>2016</v>
      </c>
      <c r="D242" t="s">
        <v>1640</v>
      </c>
      <c r="E242" t="s">
        <v>4747</v>
      </c>
      <c r="F242" t="s">
        <v>1611</v>
      </c>
      <c r="G242">
        <v>1101</v>
      </c>
      <c r="H242">
        <v>21</v>
      </c>
      <c r="I242" t="s">
        <v>4752</v>
      </c>
      <c r="J242" t="s">
        <v>4762</v>
      </c>
      <c r="K242">
        <v>-3.7</v>
      </c>
    </row>
    <row r="243" spans="1:11">
      <c r="A243" t="s">
        <v>1851</v>
      </c>
      <c r="B243" s="17">
        <v>42515</v>
      </c>
      <c r="C243">
        <v>2016</v>
      </c>
      <c r="D243" t="s">
        <v>31</v>
      </c>
      <c r="E243" t="s">
        <v>4751</v>
      </c>
      <c r="F243" t="s">
        <v>1611</v>
      </c>
      <c r="G243">
        <v>2851</v>
      </c>
      <c r="H243">
        <v>37</v>
      </c>
      <c r="I243" t="s">
        <v>4750</v>
      </c>
      <c r="J243" t="s">
        <v>4761</v>
      </c>
      <c r="K243">
        <v>-8.6</v>
      </c>
    </row>
    <row r="244" spans="1:11">
      <c r="A244" t="s">
        <v>1852</v>
      </c>
      <c r="B244" s="17">
        <v>42517</v>
      </c>
      <c r="C244">
        <v>2016</v>
      </c>
      <c r="D244" t="s">
        <v>31</v>
      </c>
      <c r="E244" t="s">
        <v>4757</v>
      </c>
      <c r="F244" t="s">
        <v>1611</v>
      </c>
      <c r="G244">
        <v>522</v>
      </c>
      <c r="H244">
        <v>35</v>
      </c>
      <c r="I244" t="s">
        <v>4748</v>
      </c>
      <c r="J244" t="s">
        <v>4760</v>
      </c>
      <c r="K244">
        <v>7.5</v>
      </c>
    </row>
    <row r="245" spans="1:11">
      <c r="A245" t="s">
        <v>1853</v>
      </c>
      <c r="B245" s="17">
        <v>42517</v>
      </c>
      <c r="C245">
        <v>2016</v>
      </c>
      <c r="D245" t="s">
        <v>9</v>
      </c>
      <c r="E245" t="s">
        <v>4751</v>
      </c>
      <c r="F245" t="s">
        <v>1611</v>
      </c>
      <c r="G245">
        <v>1374</v>
      </c>
      <c r="H245">
        <v>32</v>
      </c>
      <c r="I245" t="s">
        <v>4752</v>
      </c>
      <c r="J245" t="s">
        <v>4762</v>
      </c>
      <c r="K245">
        <v>-13.1</v>
      </c>
    </row>
    <row r="246" spans="1:11">
      <c r="A246" t="s">
        <v>1854</v>
      </c>
      <c r="B246" s="17">
        <v>42527</v>
      </c>
      <c r="C246">
        <v>2016</v>
      </c>
      <c r="D246" t="s">
        <v>1610</v>
      </c>
      <c r="E246" t="s">
        <v>4759</v>
      </c>
      <c r="F246" t="s">
        <v>1604</v>
      </c>
      <c r="G246">
        <v>127</v>
      </c>
      <c r="H246">
        <v>16</v>
      </c>
      <c r="I246" t="s">
        <v>4752</v>
      </c>
      <c r="J246" t="s">
        <v>4762</v>
      </c>
      <c r="K246">
        <v>-11.7</v>
      </c>
    </row>
    <row r="247" spans="1:11">
      <c r="A247" t="s">
        <v>1855</v>
      </c>
      <c r="B247" s="17">
        <v>42555</v>
      </c>
      <c r="C247">
        <v>2016</v>
      </c>
      <c r="D247" t="s">
        <v>215</v>
      </c>
      <c r="E247" t="s">
        <v>4754</v>
      </c>
      <c r="F247" t="s">
        <v>1611</v>
      </c>
      <c r="G247">
        <v>1473</v>
      </c>
      <c r="H247">
        <v>34</v>
      </c>
      <c r="I247" t="s">
        <v>4752</v>
      </c>
      <c r="J247" t="s">
        <v>4762</v>
      </c>
      <c r="K247">
        <v>-29.5</v>
      </c>
    </row>
    <row r="248" spans="1:11">
      <c r="A248" t="s">
        <v>1856</v>
      </c>
      <c r="B248" s="17">
        <v>42562</v>
      </c>
      <c r="C248">
        <v>2016</v>
      </c>
      <c r="D248" t="s">
        <v>38</v>
      </c>
      <c r="E248" t="s">
        <v>4753</v>
      </c>
      <c r="F248" t="s">
        <v>1604</v>
      </c>
      <c r="G248">
        <v>342</v>
      </c>
      <c r="H248">
        <v>22</v>
      </c>
      <c r="I248" t="s">
        <v>4748</v>
      </c>
      <c r="J248" t="s">
        <v>4760</v>
      </c>
      <c r="K248">
        <v>8.6999999999999993</v>
      </c>
    </row>
    <row r="249" spans="1:11">
      <c r="A249" t="s">
        <v>1857</v>
      </c>
      <c r="B249" s="17">
        <v>42590</v>
      </c>
      <c r="C249">
        <v>2016</v>
      </c>
      <c r="D249" t="s">
        <v>215</v>
      </c>
      <c r="E249" t="s">
        <v>4751</v>
      </c>
      <c r="F249" t="s">
        <v>1604</v>
      </c>
      <c r="G249">
        <v>308</v>
      </c>
      <c r="H249">
        <v>26</v>
      </c>
      <c r="I249" t="s">
        <v>4752</v>
      </c>
      <c r="J249" t="s">
        <v>4762</v>
      </c>
      <c r="K249">
        <v>-19.399999999999999</v>
      </c>
    </row>
    <row r="250" spans="1:11">
      <c r="A250" t="s">
        <v>1858</v>
      </c>
      <c r="B250" s="17">
        <v>42601</v>
      </c>
      <c r="C250">
        <v>2016</v>
      </c>
      <c r="D250" t="s">
        <v>1610</v>
      </c>
      <c r="E250" t="s">
        <v>4758</v>
      </c>
      <c r="F250" t="s">
        <v>1604</v>
      </c>
      <c r="G250">
        <v>170</v>
      </c>
      <c r="H250">
        <v>11</v>
      </c>
      <c r="I250" t="s">
        <v>4752</v>
      </c>
      <c r="J250" t="s">
        <v>4762</v>
      </c>
      <c r="K250">
        <v>-17</v>
      </c>
    </row>
    <row r="251" spans="1:11">
      <c r="A251" t="s">
        <v>1859</v>
      </c>
      <c r="B251" s="17">
        <v>42626</v>
      </c>
      <c r="C251">
        <v>2016</v>
      </c>
      <c r="D251" t="s">
        <v>17</v>
      </c>
      <c r="E251" t="s">
        <v>4751</v>
      </c>
      <c r="F251" t="s">
        <v>1604</v>
      </c>
      <c r="G251">
        <v>197</v>
      </c>
      <c r="H251">
        <v>21</v>
      </c>
      <c r="I251" t="s">
        <v>4748</v>
      </c>
      <c r="J251" t="s">
        <v>4760</v>
      </c>
      <c r="K251">
        <v>3.7</v>
      </c>
    </row>
    <row r="252" spans="1:11">
      <c r="A252" t="s">
        <v>1860</v>
      </c>
      <c r="B252" s="17">
        <v>42632</v>
      </c>
      <c r="C252">
        <v>2016</v>
      </c>
      <c r="D252" t="s">
        <v>67</v>
      </c>
      <c r="E252" t="s">
        <v>4751</v>
      </c>
      <c r="F252" t="s">
        <v>1604</v>
      </c>
      <c r="G252">
        <v>259</v>
      </c>
      <c r="H252">
        <v>20</v>
      </c>
      <c r="I252" t="s">
        <v>4748</v>
      </c>
      <c r="J252" t="s">
        <v>4760</v>
      </c>
      <c r="K252">
        <v>4</v>
      </c>
    </row>
    <row r="253" spans="1:11">
      <c r="A253" t="s">
        <v>1861</v>
      </c>
      <c r="B253" s="17">
        <v>42649</v>
      </c>
      <c r="C253">
        <v>2016</v>
      </c>
      <c r="D253" t="s">
        <v>42</v>
      </c>
      <c r="E253" t="s">
        <v>4751</v>
      </c>
      <c r="F253" t="s">
        <v>1604</v>
      </c>
      <c r="G253">
        <v>84</v>
      </c>
      <c r="H253">
        <v>18</v>
      </c>
      <c r="I253" t="s">
        <v>4752</v>
      </c>
      <c r="J253" t="s">
        <v>4762</v>
      </c>
      <c r="K253">
        <v>-16</v>
      </c>
    </row>
    <row r="254" spans="1:11">
      <c r="A254" t="s">
        <v>1862</v>
      </c>
      <c r="B254" s="17">
        <v>42655</v>
      </c>
      <c r="C254">
        <v>2016</v>
      </c>
      <c r="D254" t="s">
        <v>1403</v>
      </c>
      <c r="E254" t="s">
        <v>4756</v>
      </c>
      <c r="F254" t="s">
        <v>1611</v>
      </c>
      <c r="G254">
        <v>777</v>
      </c>
      <c r="H254">
        <v>41</v>
      </c>
      <c r="I254" t="s">
        <v>4748</v>
      </c>
      <c r="J254" t="s">
        <v>4760</v>
      </c>
      <c r="K254">
        <v>-3.9</v>
      </c>
    </row>
    <row r="255" spans="1:11">
      <c r="A255" t="s">
        <v>1863</v>
      </c>
      <c r="B255" s="17">
        <v>42657</v>
      </c>
      <c r="C255">
        <v>2016</v>
      </c>
      <c r="D255" t="s">
        <v>31</v>
      </c>
      <c r="E255" t="s">
        <v>4751</v>
      </c>
      <c r="F255" t="s">
        <v>1611</v>
      </c>
      <c r="G255">
        <v>1458</v>
      </c>
      <c r="H255">
        <v>32</v>
      </c>
      <c r="I255" t="s">
        <v>4752</v>
      </c>
      <c r="J255" t="s">
        <v>4762</v>
      </c>
      <c r="K255">
        <v>-10.7</v>
      </c>
    </row>
    <row r="256" spans="1:11">
      <c r="A256" t="s">
        <v>1864</v>
      </c>
      <c r="B256" s="17">
        <v>42689</v>
      </c>
      <c r="C256">
        <v>2016</v>
      </c>
      <c r="D256" t="s">
        <v>304</v>
      </c>
      <c r="E256" t="s">
        <v>4751</v>
      </c>
      <c r="F256" t="s">
        <v>1611</v>
      </c>
      <c r="G256">
        <v>297</v>
      </c>
      <c r="H256">
        <v>32</v>
      </c>
      <c r="I256" t="s">
        <v>4752</v>
      </c>
      <c r="J256" t="s">
        <v>4762</v>
      </c>
      <c r="K256">
        <v>-5.6</v>
      </c>
    </row>
    <row r="257" spans="1:11">
      <c r="A257" t="s">
        <v>1865</v>
      </c>
      <c r="B257" s="17">
        <v>42696</v>
      </c>
      <c r="C257">
        <v>2016</v>
      </c>
      <c r="D257" t="s">
        <v>1640</v>
      </c>
      <c r="E257" t="s">
        <v>4757</v>
      </c>
      <c r="F257" t="s">
        <v>1604</v>
      </c>
      <c r="G257">
        <v>510</v>
      </c>
      <c r="H257">
        <v>14</v>
      </c>
      <c r="I257" t="s">
        <v>4748</v>
      </c>
      <c r="J257" t="s">
        <v>4760</v>
      </c>
      <c r="K257">
        <v>9.6999999999999993</v>
      </c>
    </row>
    <row r="258" spans="1:11">
      <c r="A258" t="s">
        <v>1866</v>
      </c>
      <c r="B258" s="17">
        <v>42716</v>
      </c>
      <c r="C258">
        <v>2016</v>
      </c>
      <c r="D258" t="s">
        <v>130</v>
      </c>
      <c r="E258" t="s">
        <v>4747</v>
      </c>
      <c r="F258" t="s">
        <v>1611</v>
      </c>
      <c r="G258">
        <v>1449</v>
      </c>
      <c r="H258">
        <v>41</v>
      </c>
      <c r="I258" t="s">
        <v>4748</v>
      </c>
      <c r="J258" t="s">
        <v>4760</v>
      </c>
      <c r="K258">
        <v>9.6999999999999993</v>
      </c>
    </row>
    <row r="259" spans="1:11">
      <c r="A259" t="s">
        <v>1867</v>
      </c>
      <c r="B259" s="17">
        <v>42729</v>
      </c>
      <c r="C259">
        <v>2016</v>
      </c>
      <c r="D259" t="s">
        <v>304</v>
      </c>
      <c r="E259" t="s">
        <v>4749</v>
      </c>
      <c r="F259" t="s">
        <v>1611</v>
      </c>
      <c r="G259">
        <v>634</v>
      </c>
      <c r="H259">
        <v>33</v>
      </c>
      <c r="I259" t="s">
        <v>4752</v>
      </c>
      <c r="J259" t="s">
        <v>4762</v>
      </c>
      <c r="K259">
        <v>-6.9</v>
      </c>
    </row>
    <row r="260" spans="1:11">
      <c r="A260" t="s">
        <v>1868</v>
      </c>
      <c r="B260" s="17">
        <v>42749</v>
      </c>
      <c r="C260">
        <v>2017</v>
      </c>
      <c r="D260" t="s">
        <v>1610</v>
      </c>
      <c r="E260" t="s">
        <v>4751</v>
      </c>
      <c r="F260" t="s">
        <v>1611</v>
      </c>
      <c r="G260">
        <v>1563</v>
      </c>
      <c r="H260">
        <v>39</v>
      </c>
      <c r="I260" t="s">
        <v>4750</v>
      </c>
      <c r="J260" t="s">
        <v>4761</v>
      </c>
      <c r="K260">
        <v>-9</v>
      </c>
    </row>
    <row r="261" spans="1:11">
      <c r="A261" t="s">
        <v>1869</v>
      </c>
      <c r="B261" s="17">
        <v>42756</v>
      </c>
      <c r="C261">
        <v>2017</v>
      </c>
      <c r="D261" t="s">
        <v>1640</v>
      </c>
      <c r="E261" t="s">
        <v>4751</v>
      </c>
      <c r="F261" t="s">
        <v>1611</v>
      </c>
      <c r="G261">
        <v>865</v>
      </c>
      <c r="H261">
        <v>41</v>
      </c>
      <c r="I261" t="s">
        <v>4750</v>
      </c>
      <c r="J261" t="s">
        <v>4761</v>
      </c>
      <c r="K261">
        <v>-7.3</v>
      </c>
    </row>
    <row r="262" spans="1:11">
      <c r="A262" t="s">
        <v>1870</v>
      </c>
      <c r="B262" s="17">
        <v>42768</v>
      </c>
      <c r="C262">
        <v>2017</v>
      </c>
      <c r="D262" t="s">
        <v>1603</v>
      </c>
      <c r="E262" t="s">
        <v>4755</v>
      </c>
      <c r="F262" t="s">
        <v>1604</v>
      </c>
      <c r="G262">
        <v>354</v>
      </c>
      <c r="H262">
        <v>22</v>
      </c>
      <c r="I262" t="s">
        <v>4748</v>
      </c>
      <c r="J262" t="s">
        <v>4760</v>
      </c>
      <c r="K262">
        <v>2.2999999999999998</v>
      </c>
    </row>
    <row r="263" spans="1:11">
      <c r="A263" t="s">
        <v>1871</v>
      </c>
      <c r="B263" s="17">
        <v>42773</v>
      </c>
      <c r="C263">
        <v>2017</v>
      </c>
      <c r="D263" t="s">
        <v>1703</v>
      </c>
      <c r="E263" t="s">
        <v>4758</v>
      </c>
      <c r="F263" t="s">
        <v>1604</v>
      </c>
      <c r="G263">
        <v>92</v>
      </c>
      <c r="H263">
        <v>18</v>
      </c>
      <c r="I263" t="s">
        <v>4752</v>
      </c>
      <c r="J263" t="s">
        <v>4762</v>
      </c>
      <c r="K263">
        <v>-20.399999999999999</v>
      </c>
    </row>
    <row r="264" spans="1:11">
      <c r="A264" t="s">
        <v>1872</v>
      </c>
      <c r="B264" s="17">
        <v>42784</v>
      </c>
      <c r="C264">
        <v>2017</v>
      </c>
      <c r="D264" t="s">
        <v>1640</v>
      </c>
      <c r="E264" t="s">
        <v>4749</v>
      </c>
      <c r="F264" t="s">
        <v>1611</v>
      </c>
      <c r="G264">
        <v>1405</v>
      </c>
      <c r="H264">
        <v>32</v>
      </c>
      <c r="I264" t="s">
        <v>4748</v>
      </c>
      <c r="J264" t="s">
        <v>4760</v>
      </c>
      <c r="K264">
        <v>10</v>
      </c>
    </row>
    <row r="265" spans="1:11">
      <c r="A265" t="s">
        <v>1873</v>
      </c>
      <c r="B265" s="17">
        <v>42786</v>
      </c>
      <c r="C265">
        <v>2017</v>
      </c>
      <c r="D265" t="s">
        <v>9</v>
      </c>
      <c r="E265" t="s">
        <v>4751</v>
      </c>
      <c r="F265" t="s">
        <v>1611</v>
      </c>
      <c r="G265">
        <v>800</v>
      </c>
      <c r="H265">
        <v>26</v>
      </c>
      <c r="I265" t="s">
        <v>4748</v>
      </c>
      <c r="J265" t="s">
        <v>4760</v>
      </c>
      <c r="K265">
        <v>13.9</v>
      </c>
    </row>
    <row r="266" spans="1:11">
      <c r="A266" t="s">
        <v>1874</v>
      </c>
      <c r="B266" s="17">
        <v>42796</v>
      </c>
      <c r="C266">
        <v>2017</v>
      </c>
      <c r="D266" t="s">
        <v>146</v>
      </c>
      <c r="E266" t="s">
        <v>4757</v>
      </c>
      <c r="F266" t="s">
        <v>1604</v>
      </c>
      <c r="G266">
        <v>268</v>
      </c>
      <c r="H266">
        <v>6</v>
      </c>
      <c r="I266" t="s">
        <v>4748</v>
      </c>
      <c r="J266" t="s">
        <v>4760</v>
      </c>
      <c r="K266">
        <v>14.5</v>
      </c>
    </row>
    <row r="267" spans="1:11">
      <c r="A267" t="s">
        <v>1875</v>
      </c>
      <c r="B267" s="17">
        <v>42813</v>
      </c>
      <c r="C267">
        <v>2017</v>
      </c>
      <c r="D267" t="s">
        <v>1610</v>
      </c>
      <c r="E267" t="s">
        <v>4751</v>
      </c>
      <c r="F267" t="s">
        <v>1611</v>
      </c>
      <c r="G267">
        <v>1716</v>
      </c>
      <c r="H267">
        <v>34</v>
      </c>
      <c r="I267" t="s">
        <v>4752</v>
      </c>
      <c r="J267" t="s">
        <v>4762</v>
      </c>
      <c r="K267">
        <v>-20.399999999999999</v>
      </c>
    </row>
    <row r="268" spans="1:11">
      <c r="A268" t="s">
        <v>1876</v>
      </c>
      <c r="B268" s="17">
        <v>42815</v>
      </c>
      <c r="C268">
        <v>2017</v>
      </c>
      <c r="D268" t="s">
        <v>146</v>
      </c>
      <c r="E268" t="s">
        <v>4753</v>
      </c>
      <c r="F268" t="s">
        <v>1611</v>
      </c>
      <c r="G268">
        <v>1216</v>
      </c>
      <c r="H268">
        <v>36</v>
      </c>
      <c r="I268" t="s">
        <v>4748</v>
      </c>
      <c r="J268" t="s">
        <v>4760</v>
      </c>
      <c r="K268">
        <v>4.3</v>
      </c>
    </row>
    <row r="269" spans="1:11">
      <c r="A269" t="s">
        <v>1877</v>
      </c>
      <c r="B269" s="17">
        <v>42817</v>
      </c>
      <c r="C269">
        <v>2017</v>
      </c>
      <c r="D269" t="s">
        <v>23</v>
      </c>
      <c r="E269" t="s">
        <v>4759</v>
      </c>
      <c r="F269" t="s">
        <v>1611</v>
      </c>
      <c r="G269">
        <v>2529</v>
      </c>
      <c r="H269">
        <v>36</v>
      </c>
      <c r="I269" t="s">
        <v>4752</v>
      </c>
      <c r="J269" t="s">
        <v>4762</v>
      </c>
      <c r="K269">
        <v>-10.3</v>
      </c>
    </row>
    <row r="270" spans="1:11">
      <c r="A270" t="s">
        <v>1878</v>
      </c>
      <c r="B270" s="17">
        <v>42826</v>
      </c>
      <c r="C270">
        <v>2017</v>
      </c>
      <c r="D270" t="s">
        <v>38</v>
      </c>
      <c r="E270" t="s">
        <v>4753</v>
      </c>
      <c r="F270" t="s">
        <v>1604</v>
      </c>
      <c r="G270">
        <v>100</v>
      </c>
      <c r="H270">
        <v>24</v>
      </c>
      <c r="I270" t="s">
        <v>4748</v>
      </c>
      <c r="J270" t="s">
        <v>4760</v>
      </c>
      <c r="K270">
        <v>11.3</v>
      </c>
    </row>
    <row r="271" spans="1:11">
      <c r="A271" t="s">
        <v>1879</v>
      </c>
      <c r="B271" s="17">
        <v>42826</v>
      </c>
      <c r="C271">
        <v>2017</v>
      </c>
      <c r="D271" t="s">
        <v>215</v>
      </c>
      <c r="E271" t="s">
        <v>4759</v>
      </c>
      <c r="F271" t="s">
        <v>1611</v>
      </c>
      <c r="G271">
        <v>1529</v>
      </c>
      <c r="H271">
        <v>27</v>
      </c>
      <c r="I271" t="s">
        <v>4748</v>
      </c>
      <c r="J271" t="s">
        <v>4760</v>
      </c>
      <c r="K271">
        <v>7.8</v>
      </c>
    </row>
    <row r="272" spans="1:11">
      <c r="A272" t="s">
        <v>1880</v>
      </c>
      <c r="B272" s="17">
        <v>42828</v>
      </c>
      <c r="C272">
        <v>2017</v>
      </c>
      <c r="D272" t="s">
        <v>17</v>
      </c>
      <c r="E272" t="s">
        <v>4759</v>
      </c>
      <c r="F272" t="s">
        <v>1604</v>
      </c>
      <c r="G272">
        <v>123</v>
      </c>
      <c r="H272">
        <v>23</v>
      </c>
      <c r="I272" t="s">
        <v>4748</v>
      </c>
      <c r="J272" t="s">
        <v>4760</v>
      </c>
      <c r="K272">
        <v>1.1000000000000001</v>
      </c>
    </row>
    <row r="273" spans="1:11">
      <c r="A273" t="s">
        <v>1881</v>
      </c>
      <c r="B273" s="17">
        <v>42835</v>
      </c>
      <c r="C273">
        <v>2017</v>
      </c>
      <c r="D273" t="s">
        <v>1603</v>
      </c>
      <c r="E273" t="s">
        <v>4747</v>
      </c>
      <c r="F273" t="s">
        <v>1611</v>
      </c>
      <c r="G273">
        <v>1068</v>
      </c>
      <c r="H273">
        <v>46</v>
      </c>
      <c r="I273" t="s">
        <v>4752</v>
      </c>
      <c r="J273" t="s">
        <v>4762</v>
      </c>
      <c r="K273">
        <v>-5.4</v>
      </c>
    </row>
    <row r="274" spans="1:11">
      <c r="A274" t="s">
        <v>1882</v>
      </c>
      <c r="B274" s="17">
        <v>42851</v>
      </c>
      <c r="C274">
        <v>2017</v>
      </c>
      <c r="D274" t="s">
        <v>1608</v>
      </c>
      <c r="E274" t="s">
        <v>4754</v>
      </c>
      <c r="F274" t="s">
        <v>1604</v>
      </c>
      <c r="G274">
        <v>444</v>
      </c>
      <c r="H274">
        <v>10</v>
      </c>
      <c r="I274" t="s">
        <v>4748</v>
      </c>
      <c r="J274" t="s">
        <v>4760</v>
      </c>
      <c r="K274">
        <v>10.8</v>
      </c>
    </row>
    <row r="275" spans="1:11">
      <c r="A275" t="s">
        <v>1883</v>
      </c>
      <c r="B275" s="17">
        <v>42865</v>
      </c>
      <c r="C275">
        <v>2017</v>
      </c>
      <c r="D275" t="s">
        <v>42</v>
      </c>
      <c r="E275" t="s">
        <v>4757</v>
      </c>
      <c r="F275" t="s">
        <v>1611</v>
      </c>
      <c r="G275">
        <v>2401</v>
      </c>
      <c r="H275">
        <v>42</v>
      </c>
      <c r="I275" t="s">
        <v>4752</v>
      </c>
      <c r="J275" t="s">
        <v>4762</v>
      </c>
      <c r="K275">
        <v>-26.6</v>
      </c>
    </row>
    <row r="276" spans="1:11">
      <c r="A276" t="s">
        <v>1884</v>
      </c>
      <c r="B276" s="17">
        <v>42874</v>
      </c>
      <c r="C276">
        <v>2017</v>
      </c>
      <c r="D276" t="s">
        <v>376</v>
      </c>
      <c r="E276" t="s">
        <v>4751</v>
      </c>
      <c r="F276" t="s">
        <v>1611</v>
      </c>
      <c r="G276">
        <v>1717</v>
      </c>
      <c r="H276">
        <v>34</v>
      </c>
      <c r="I276" t="s">
        <v>4752</v>
      </c>
      <c r="J276" t="s">
        <v>4762</v>
      </c>
      <c r="K276">
        <v>-1.3</v>
      </c>
    </row>
    <row r="277" spans="1:11">
      <c r="A277" t="s">
        <v>1885</v>
      </c>
      <c r="B277" s="17">
        <v>42882</v>
      </c>
      <c r="C277">
        <v>2017</v>
      </c>
      <c r="D277" t="s">
        <v>1610</v>
      </c>
      <c r="E277" t="s">
        <v>4759</v>
      </c>
      <c r="F277" t="s">
        <v>1604</v>
      </c>
      <c r="G277">
        <v>153</v>
      </c>
      <c r="H277">
        <v>12</v>
      </c>
      <c r="I277" t="s">
        <v>4748</v>
      </c>
      <c r="J277" t="s">
        <v>4760</v>
      </c>
      <c r="K277">
        <v>10.4</v>
      </c>
    </row>
    <row r="278" spans="1:11">
      <c r="A278" t="s">
        <v>1886</v>
      </c>
      <c r="B278" s="17">
        <v>42887</v>
      </c>
      <c r="C278">
        <v>2017</v>
      </c>
      <c r="D278" t="s">
        <v>31</v>
      </c>
      <c r="E278" t="s">
        <v>4754</v>
      </c>
      <c r="F278" t="s">
        <v>1611</v>
      </c>
      <c r="G278">
        <v>262</v>
      </c>
      <c r="H278">
        <v>34</v>
      </c>
      <c r="I278" t="s">
        <v>4748</v>
      </c>
      <c r="J278" t="s">
        <v>4760</v>
      </c>
      <c r="K278">
        <v>8.1</v>
      </c>
    </row>
    <row r="279" spans="1:11">
      <c r="A279" t="s">
        <v>1887</v>
      </c>
      <c r="B279" s="17">
        <v>42910</v>
      </c>
      <c r="C279">
        <v>2017</v>
      </c>
      <c r="D279" t="s">
        <v>31</v>
      </c>
      <c r="E279" t="s">
        <v>4751</v>
      </c>
      <c r="F279" t="s">
        <v>1611</v>
      </c>
      <c r="G279">
        <v>2343</v>
      </c>
      <c r="H279">
        <v>39</v>
      </c>
      <c r="I279" t="s">
        <v>4750</v>
      </c>
      <c r="J279" t="s">
        <v>4761</v>
      </c>
      <c r="K279">
        <v>-1.9</v>
      </c>
    </row>
    <row r="280" spans="1:11">
      <c r="A280" t="s">
        <v>1888</v>
      </c>
      <c r="B280" s="17">
        <v>42948</v>
      </c>
      <c r="C280">
        <v>2017</v>
      </c>
      <c r="D280" t="s">
        <v>376</v>
      </c>
      <c r="E280" t="s">
        <v>4754</v>
      </c>
      <c r="F280" t="s">
        <v>1611</v>
      </c>
      <c r="G280">
        <v>317</v>
      </c>
      <c r="H280">
        <v>34</v>
      </c>
      <c r="I280" t="s">
        <v>4748</v>
      </c>
      <c r="J280" t="s">
        <v>4760</v>
      </c>
      <c r="K280">
        <v>10.7</v>
      </c>
    </row>
    <row r="281" spans="1:11">
      <c r="A281" t="s">
        <v>1889</v>
      </c>
      <c r="B281" s="17">
        <v>42953</v>
      </c>
      <c r="C281">
        <v>2017</v>
      </c>
      <c r="D281" t="s">
        <v>42</v>
      </c>
      <c r="E281" t="s">
        <v>4749</v>
      </c>
      <c r="F281" t="s">
        <v>1604</v>
      </c>
      <c r="G281">
        <v>162</v>
      </c>
      <c r="H281">
        <v>20</v>
      </c>
      <c r="I281" t="s">
        <v>4748</v>
      </c>
      <c r="J281" t="s">
        <v>4760</v>
      </c>
      <c r="K281">
        <v>1.3</v>
      </c>
    </row>
    <row r="282" spans="1:11">
      <c r="A282" t="s">
        <v>1890</v>
      </c>
      <c r="B282" s="17">
        <v>42957</v>
      </c>
      <c r="C282">
        <v>2017</v>
      </c>
      <c r="D282" t="s">
        <v>38</v>
      </c>
      <c r="E282" t="s">
        <v>4751</v>
      </c>
      <c r="F282" t="s">
        <v>1604</v>
      </c>
      <c r="G282">
        <v>218</v>
      </c>
      <c r="H282">
        <v>6</v>
      </c>
      <c r="I282" t="s">
        <v>4752</v>
      </c>
      <c r="J282" t="s">
        <v>4762</v>
      </c>
      <c r="K282">
        <v>-20.100000000000001</v>
      </c>
    </row>
    <row r="283" spans="1:11">
      <c r="A283" t="s">
        <v>1891</v>
      </c>
      <c r="B283" s="17">
        <v>42960</v>
      </c>
      <c r="C283">
        <v>2017</v>
      </c>
      <c r="D283" t="s">
        <v>146</v>
      </c>
      <c r="E283" t="s">
        <v>4753</v>
      </c>
      <c r="F283" t="s">
        <v>1611</v>
      </c>
      <c r="G283">
        <v>2089</v>
      </c>
      <c r="H283">
        <v>35</v>
      </c>
      <c r="I283" t="s">
        <v>4752</v>
      </c>
      <c r="J283" t="s">
        <v>4762</v>
      </c>
      <c r="K283">
        <v>-20.399999999999999</v>
      </c>
    </row>
    <row r="284" spans="1:11">
      <c r="A284" t="s">
        <v>1892</v>
      </c>
      <c r="B284" s="17">
        <v>42982</v>
      </c>
      <c r="C284">
        <v>2017</v>
      </c>
      <c r="D284" t="s">
        <v>1703</v>
      </c>
      <c r="E284" t="s">
        <v>4751</v>
      </c>
      <c r="F284" t="s">
        <v>1611</v>
      </c>
      <c r="G284">
        <v>1037</v>
      </c>
      <c r="H284">
        <v>29</v>
      </c>
      <c r="I284" t="s">
        <v>4748</v>
      </c>
      <c r="J284" t="s">
        <v>4760</v>
      </c>
      <c r="K284">
        <v>13.3</v>
      </c>
    </row>
    <row r="285" spans="1:11">
      <c r="A285" t="s">
        <v>1893</v>
      </c>
      <c r="B285" s="17">
        <v>42997</v>
      </c>
      <c r="C285">
        <v>2017</v>
      </c>
      <c r="D285" t="s">
        <v>125</v>
      </c>
      <c r="E285" t="s">
        <v>4754</v>
      </c>
      <c r="F285" t="s">
        <v>1611</v>
      </c>
      <c r="G285">
        <v>781</v>
      </c>
      <c r="H285">
        <v>30</v>
      </c>
      <c r="I285" t="s">
        <v>4750</v>
      </c>
      <c r="J285" t="s">
        <v>4761</v>
      </c>
      <c r="K285">
        <v>-7.6</v>
      </c>
    </row>
    <row r="286" spans="1:11">
      <c r="A286" t="s">
        <v>1894</v>
      </c>
      <c r="B286" s="17">
        <v>43000</v>
      </c>
      <c r="C286">
        <v>2017</v>
      </c>
      <c r="D286" t="s">
        <v>215</v>
      </c>
      <c r="E286" t="s">
        <v>4751</v>
      </c>
      <c r="F286" t="s">
        <v>1611</v>
      </c>
      <c r="G286">
        <v>978</v>
      </c>
      <c r="H286">
        <v>34</v>
      </c>
      <c r="I286" t="s">
        <v>4748</v>
      </c>
      <c r="J286" t="s">
        <v>4760</v>
      </c>
      <c r="K286">
        <v>9.3000000000000007</v>
      </c>
    </row>
    <row r="287" spans="1:11">
      <c r="A287" t="s">
        <v>1895</v>
      </c>
      <c r="B287" s="17">
        <v>43003</v>
      </c>
      <c r="C287">
        <v>2017</v>
      </c>
      <c r="D287" t="s">
        <v>42</v>
      </c>
      <c r="E287" t="s">
        <v>4759</v>
      </c>
      <c r="F287" t="s">
        <v>1611</v>
      </c>
      <c r="G287">
        <v>886</v>
      </c>
      <c r="H287">
        <v>33</v>
      </c>
      <c r="I287" t="s">
        <v>4748</v>
      </c>
      <c r="J287" t="s">
        <v>4760</v>
      </c>
      <c r="K287">
        <v>6.3</v>
      </c>
    </row>
    <row r="288" spans="1:11">
      <c r="A288" t="s">
        <v>1896</v>
      </c>
      <c r="B288" s="17">
        <v>43012</v>
      </c>
      <c r="C288">
        <v>2017</v>
      </c>
      <c r="D288" t="s">
        <v>31</v>
      </c>
      <c r="E288" t="s">
        <v>4757</v>
      </c>
      <c r="F288" t="s">
        <v>1611</v>
      </c>
      <c r="G288">
        <v>978</v>
      </c>
      <c r="H288">
        <v>34</v>
      </c>
      <c r="I288" t="s">
        <v>4750</v>
      </c>
      <c r="J288" t="s">
        <v>4761</v>
      </c>
      <c r="K288">
        <v>-9.6999999999999993</v>
      </c>
    </row>
    <row r="289" spans="1:11">
      <c r="A289" t="s">
        <v>1897</v>
      </c>
      <c r="B289" s="17">
        <v>43016</v>
      </c>
      <c r="C289">
        <v>2017</v>
      </c>
      <c r="D289" t="s">
        <v>1608</v>
      </c>
      <c r="E289" t="s">
        <v>4757</v>
      </c>
      <c r="F289" t="s">
        <v>1604</v>
      </c>
      <c r="G289">
        <v>375</v>
      </c>
      <c r="H289">
        <v>21</v>
      </c>
      <c r="I289" t="s">
        <v>4748</v>
      </c>
      <c r="J289" t="s">
        <v>4760</v>
      </c>
      <c r="K289">
        <v>6.9</v>
      </c>
    </row>
    <row r="290" spans="1:11">
      <c r="A290" t="s">
        <v>1898</v>
      </c>
      <c r="B290" s="17">
        <v>43020</v>
      </c>
      <c r="C290">
        <v>2017</v>
      </c>
      <c r="D290" t="s">
        <v>1403</v>
      </c>
      <c r="E290" t="s">
        <v>4757</v>
      </c>
      <c r="F290" t="s">
        <v>1604</v>
      </c>
      <c r="G290">
        <v>54</v>
      </c>
      <c r="H290">
        <v>8</v>
      </c>
      <c r="I290" t="s">
        <v>4748</v>
      </c>
      <c r="J290" t="s">
        <v>4760</v>
      </c>
      <c r="K290">
        <v>-1.4</v>
      </c>
    </row>
    <row r="291" spans="1:11">
      <c r="A291" t="s">
        <v>1899</v>
      </c>
      <c r="B291" s="17">
        <v>43030</v>
      </c>
      <c r="C291">
        <v>2017</v>
      </c>
      <c r="D291" t="s">
        <v>1676</v>
      </c>
      <c r="E291" t="s">
        <v>4751</v>
      </c>
      <c r="F291" t="s">
        <v>1604</v>
      </c>
      <c r="G291">
        <v>180</v>
      </c>
      <c r="H291">
        <v>18</v>
      </c>
      <c r="I291" t="s">
        <v>4752</v>
      </c>
      <c r="J291" t="s">
        <v>4762</v>
      </c>
      <c r="K291">
        <v>-4.5999999999999996</v>
      </c>
    </row>
    <row r="292" spans="1:11">
      <c r="A292" t="s">
        <v>1900</v>
      </c>
      <c r="B292" s="17">
        <v>43035</v>
      </c>
      <c r="C292">
        <v>2017</v>
      </c>
      <c r="D292" t="s">
        <v>304</v>
      </c>
      <c r="E292" t="s">
        <v>4759</v>
      </c>
      <c r="F292" t="s">
        <v>1604</v>
      </c>
      <c r="G292">
        <v>229</v>
      </c>
      <c r="H292">
        <v>12</v>
      </c>
      <c r="I292" t="s">
        <v>4748</v>
      </c>
      <c r="J292" t="s">
        <v>4760</v>
      </c>
      <c r="K292">
        <v>6.5</v>
      </c>
    </row>
    <row r="293" spans="1:11">
      <c r="A293" t="s">
        <v>1901</v>
      </c>
      <c r="B293" s="17">
        <v>43040</v>
      </c>
      <c r="C293">
        <v>2017</v>
      </c>
      <c r="D293" t="s">
        <v>304</v>
      </c>
      <c r="E293" t="s">
        <v>4751</v>
      </c>
      <c r="F293" t="s">
        <v>1604</v>
      </c>
      <c r="G293">
        <v>276</v>
      </c>
      <c r="H293">
        <v>21</v>
      </c>
      <c r="I293" t="s">
        <v>4750</v>
      </c>
      <c r="J293" t="s">
        <v>4761</v>
      </c>
      <c r="K293">
        <v>-9.1</v>
      </c>
    </row>
    <row r="294" spans="1:11">
      <c r="A294" t="s">
        <v>1902</v>
      </c>
      <c r="B294" s="17">
        <v>43047</v>
      </c>
      <c r="C294">
        <v>2017</v>
      </c>
      <c r="D294" t="s">
        <v>67</v>
      </c>
      <c r="E294" t="s">
        <v>4757</v>
      </c>
      <c r="F294" t="s">
        <v>1604</v>
      </c>
      <c r="G294">
        <v>222</v>
      </c>
      <c r="H294">
        <v>17</v>
      </c>
      <c r="I294" t="s">
        <v>4752</v>
      </c>
      <c r="J294" t="s">
        <v>4762</v>
      </c>
      <c r="K294">
        <v>-15.1</v>
      </c>
    </row>
    <row r="295" spans="1:11">
      <c r="A295" t="s">
        <v>1903</v>
      </c>
      <c r="B295" s="17">
        <v>43050</v>
      </c>
      <c r="C295">
        <v>2017</v>
      </c>
      <c r="D295" t="s">
        <v>1603</v>
      </c>
      <c r="E295" t="s">
        <v>4749</v>
      </c>
      <c r="F295" t="s">
        <v>1604</v>
      </c>
      <c r="G295">
        <v>183</v>
      </c>
      <c r="H295">
        <v>12</v>
      </c>
      <c r="I295" t="s">
        <v>4750</v>
      </c>
      <c r="J295" t="s">
        <v>4761</v>
      </c>
      <c r="K295">
        <v>-7.8</v>
      </c>
    </row>
    <row r="296" spans="1:11">
      <c r="A296" t="s">
        <v>1904</v>
      </c>
      <c r="B296" s="17">
        <v>43064</v>
      </c>
      <c r="C296">
        <v>2017</v>
      </c>
      <c r="D296" t="s">
        <v>376</v>
      </c>
      <c r="E296" t="s">
        <v>4749</v>
      </c>
      <c r="F296" t="s">
        <v>1611</v>
      </c>
      <c r="G296">
        <v>861</v>
      </c>
      <c r="H296">
        <v>31</v>
      </c>
      <c r="I296" t="s">
        <v>4748</v>
      </c>
      <c r="J296" t="s">
        <v>4760</v>
      </c>
      <c r="K296">
        <v>4.9000000000000004</v>
      </c>
    </row>
    <row r="297" spans="1:11">
      <c r="A297" t="s">
        <v>1905</v>
      </c>
      <c r="B297" s="17">
        <v>43085</v>
      </c>
      <c r="C297">
        <v>2017</v>
      </c>
      <c r="D297" t="s">
        <v>38</v>
      </c>
      <c r="E297" t="s">
        <v>4749</v>
      </c>
      <c r="F297" t="s">
        <v>1611</v>
      </c>
      <c r="G297">
        <v>1642</v>
      </c>
      <c r="H297">
        <v>34</v>
      </c>
      <c r="I297" t="s">
        <v>4748</v>
      </c>
      <c r="J297" t="s">
        <v>4760</v>
      </c>
      <c r="K297">
        <v>8</v>
      </c>
    </row>
    <row r="298" spans="1:11">
      <c r="A298" t="s">
        <v>1906</v>
      </c>
      <c r="B298" s="17">
        <v>43088</v>
      </c>
      <c r="C298">
        <v>2017</v>
      </c>
      <c r="D298" t="s">
        <v>1603</v>
      </c>
      <c r="E298" t="s">
        <v>4753</v>
      </c>
      <c r="F298" t="s">
        <v>1604</v>
      </c>
      <c r="G298">
        <v>151</v>
      </c>
      <c r="H298">
        <v>24</v>
      </c>
      <c r="I298" t="s">
        <v>4748</v>
      </c>
      <c r="J298" t="s">
        <v>4760</v>
      </c>
      <c r="K298">
        <v>17.899999999999999</v>
      </c>
    </row>
    <row r="299" spans="1:11">
      <c r="A299" t="s">
        <v>1907</v>
      </c>
      <c r="B299" s="17">
        <v>43093</v>
      </c>
      <c r="C299">
        <v>2017</v>
      </c>
      <c r="D299" t="s">
        <v>53</v>
      </c>
      <c r="E299" t="s">
        <v>4751</v>
      </c>
      <c r="F299" t="s">
        <v>1604</v>
      </c>
      <c r="G299">
        <v>248</v>
      </c>
      <c r="H299">
        <v>19</v>
      </c>
      <c r="I299" t="s">
        <v>4748</v>
      </c>
      <c r="J299" t="s">
        <v>4760</v>
      </c>
      <c r="K299">
        <v>5.9</v>
      </c>
    </row>
    <row r="300" spans="1:11">
      <c r="A300" t="s">
        <v>1908</v>
      </c>
      <c r="B300" s="17">
        <v>43095</v>
      </c>
      <c r="C300">
        <v>2017</v>
      </c>
      <c r="D300" t="s">
        <v>31</v>
      </c>
      <c r="E300" t="s">
        <v>4759</v>
      </c>
      <c r="F300" t="s">
        <v>1604</v>
      </c>
      <c r="G300">
        <v>241</v>
      </c>
      <c r="H300">
        <v>21</v>
      </c>
      <c r="I300" t="s">
        <v>4748</v>
      </c>
      <c r="J300" t="s">
        <v>4760</v>
      </c>
      <c r="K300">
        <v>5.8</v>
      </c>
    </row>
    <row r="301" spans="1:11">
      <c r="A301" t="s">
        <v>1909</v>
      </c>
      <c r="B301" s="17">
        <v>43143</v>
      </c>
      <c r="C301">
        <v>2018</v>
      </c>
      <c r="D301" t="s">
        <v>1640</v>
      </c>
      <c r="E301" t="s">
        <v>4749</v>
      </c>
      <c r="F301" t="s">
        <v>1604</v>
      </c>
      <c r="G301">
        <v>272</v>
      </c>
      <c r="H301">
        <v>18</v>
      </c>
      <c r="I301" t="s">
        <v>4748</v>
      </c>
      <c r="J301" t="s">
        <v>4760</v>
      </c>
      <c r="K301">
        <v>12.6</v>
      </c>
    </row>
    <row r="302" spans="1:11">
      <c r="A302" t="s">
        <v>1910</v>
      </c>
      <c r="B302" s="17">
        <v>43146</v>
      </c>
      <c r="C302">
        <v>2018</v>
      </c>
      <c r="D302" t="s">
        <v>1608</v>
      </c>
      <c r="E302" t="s">
        <v>4751</v>
      </c>
      <c r="F302" t="s">
        <v>1611</v>
      </c>
      <c r="G302">
        <v>1519</v>
      </c>
      <c r="H302">
        <v>37</v>
      </c>
      <c r="I302" t="s">
        <v>4752</v>
      </c>
      <c r="J302" t="s">
        <v>4762</v>
      </c>
      <c r="K302">
        <v>-2.2000000000000002</v>
      </c>
    </row>
    <row r="303" spans="1:11">
      <c r="A303" t="s">
        <v>1911</v>
      </c>
      <c r="B303" s="17">
        <v>43173</v>
      </c>
      <c r="C303">
        <v>2018</v>
      </c>
      <c r="D303" t="s">
        <v>9</v>
      </c>
      <c r="E303" t="s">
        <v>4751</v>
      </c>
      <c r="F303" t="s">
        <v>1611</v>
      </c>
      <c r="G303">
        <v>732</v>
      </c>
      <c r="H303">
        <v>36</v>
      </c>
      <c r="I303" t="s">
        <v>4752</v>
      </c>
      <c r="J303" t="s">
        <v>4762</v>
      </c>
      <c r="K303">
        <v>-19.8</v>
      </c>
    </row>
    <row r="304" spans="1:11">
      <c r="A304" t="s">
        <v>1912</v>
      </c>
      <c r="B304" s="17">
        <v>43175</v>
      </c>
      <c r="C304">
        <v>2018</v>
      </c>
      <c r="D304" t="s">
        <v>1603</v>
      </c>
      <c r="E304" t="s">
        <v>4747</v>
      </c>
      <c r="F304" t="s">
        <v>1604</v>
      </c>
      <c r="G304">
        <v>292</v>
      </c>
      <c r="H304">
        <v>18</v>
      </c>
      <c r="I304" t="s">
        <v>4752</v>
      </c>
      <c r="J304" t="s">
        <v>4762</v>
      </c>
      <c r="K304">
        <v>-23.5</v>
      </c>
    </row>
    <row r="305" spans="1:11">
      <c r="A305" t="s">
        <v>1913</v>
      </c>
      <c r="B305" s="17">
        <v>43193</v>
      </c>
      <c r="C305">
        <v>2018</v>
      </c>
      <c r="D305" t="s">
        <v>1610</v>
      </c>
      <c r="E305" t="s">
        <v>4757</v>
      </c>
      <c r="F305" t="s">
        <v>1604</v>
      </c>
      <c r="G305">
        <v>558</v>
      </c>
      <c r="H305">
        <v>13</v>
      </c>
      <c r="I305" t="s">
        <v>4752</v>
      </c>
      <c r="J305" t="s">
        <v>4762</v>
      </c>
      <c r="K305">
        <v>-21</v>
      </c>
    </row>
    <row r="306" spans="1:11">
      <c r="A306" t="s">
        <v>1914</v>
      </c>
      <c r="B306" s="17">
        <v>43200</v>
      </c>
      <c r="C306">
        <v>2018</v>
      </c>
      <c r="D306" t="s">
        <v>1640</v>
      </c>
      <c r="E306" t="s">
        <v>4759</v>
      </c>
      <c r="F306" t="s">
        <v>1604</v>
      </c>
      <c r="G306">
        <v>388</v>
      </c>
      <c r="H306">
        <v>14</v>
      </c>
      <c r="I306" t="s">
        <v>4748</v>
      </c>
      <c r="J306" t="s">
        <v>4760</v>
      </c>
      <c r="K306">
        <v>9.3000000000000007</v>
      </c>
    </row>
    <row r="307" spans="1:11">
      <c r="A307" t="s">
        <v>1915</v>
      </c>
      <c r="B307" s="17">
        <v>43207</v>
      </c>
      <c r="C307">
        <v>2018</v>
      </c>
      <c r="D307" t="s">
        <v>1603</v>
      </c>
      <c r="E307" t="s">
        <v>4759</v>
      </c>
      <c r="F307" t="s">
        <v>1604</v>
      </c>
      <c r="G307">
        <v>87</v>
      </c>
      <c r="H307">
        <v>14</v>
      </c>
      <c r="I307" t="s">
        <v>4748</v>
      </c>
      <c r="J307" t="s">
        <v>4760</v>
      </c>
      <c r="K307">
        <v>11.8</v>
      </c>
    </row>
    <row r="308" spans="1:11">
      <c r="A308" t="s">
        <v>1916</v>
      </c>
      <c r="B308" s="17">
        <v>43224</v>
      </c>
      <c r="C308">
        <v>2018</v>
      </c>
      <c r="D308" t="s">
        <v>1603</v>
      </c>
      <c r="E308" t="s">
        <v>4753</v>
      </c>
      <c r="F308" t="s">
        <v>1611</v>
      </c>
      <c r="G308">
        <v>2695</v>
      </c>
      <c r="H308">
        <v>27</v>
      </c>
      <c r="I308" t="s">
        <v>4748</v>
      </c>
      <c r="J308" t="s">
        <v>4760</v>
      </c>
      <c r="K308">
        <v>4.0999999999999996</v>
      </c>
    </row>
    <row r="309" spans="1:11">
      <c r="A309" t="s">
        <v>1917</v>
      </c>
      <c r="B309" s="17">
        <v>43228</v>
      </c>
      <c r="C309">
        <v>2018</v>
      </c>
      <c r="D309" t="s">
        <v>130</v>
      </c>
      <c r="E309" t="s">
        <v>4754</v>
      </c>
      <c r="F309" t="s">
        <v>1611</v>
      </c>
      <c r="G309">
        <v>865</v>
      </c>
      <c r="H309">
        <v>25</v>
      </c>
      <c r="I309" t="s">
        <v>4748</v>
      </c>
      <c r="J309" t="s">
        <v>4760</v>
      </c>
      <c r="K309">
        <v>9.6</v>
      </c>
    </row>
    <row r="310" spans="1:11">
      <c r="A310" t="s">
        <v>1918</v>
      </c>
      <c r="B310" s="17">
        <v>43231</v>
      </c>
      <c r="C310">
        <v>2018</v>
      </c>
      <c r="D310" t="s">
        <v>1403</v>
      </c>
      <c r="E310" t="s">
        <v>4753</v>
      </c>
      <c r="F310" t="s">
        <v>1611</v>
      </c>
      <c r="G310">
        <v>3095</v>
      </c>
      <c r="H310">
        <v>32</v>
      </c>
      <c r="I310" t="s">
        <v>4748</v>
      </c>
      <c r="J310" t="s">
        <v>4760</v>
      </c>
      <c r="K310">
        <v>7.3</v>
      </c>
    </row>
    <row r="311" spans="1:11">
      <c r="A311" t="s">
        <v>1919</v>
      </c>
      <c r="B311" s="17">
        <v>43254</v>
      </c>
      <c r="C311">
        <v>2018</v>
      </c>
      <c r="D311" t="s">
        <v>376</v>
      </c>
      <c r="E311" t="s">
        <v>4751</v>
      </c>
      <c r="F311" t="s">
        <v>1604</v>
      </c>
      <c r="G311">
        <v>179</v>
      </c>
      <c r="H311">
        <v>9</v>
      </c>
      <c r="I311" t="s">
        <v>4752</v>
      </c>
      <c r="J311" t="s">
        <v>4762</v>
      </c>
      <c r="K311">
        <v>-29.8</v>
      </c>
    </row>
    <row r="312" spans="1:11">
      <c r="A312" t="s">
        <v>1920</v>
      </c>
      <c r="B312" s="17">
        <v>43262</v>
      </c>
      <c r="C312">
        <v>2018</v>
      </c>
      <c r="D312" t="s">
        <v>17</v>
      </c>
      <c r="E312" t="s">
        <v>4751</v>
      </c>
      <c r="F312" t="s">
        <v>1604</v>
      </c>
      <c r="G312">
        <v>523</v>
      </c>
      <c r="H312">
        <v>26</v>
      </c>
      <c r="I312" t="s">
        <v>4752</v>
      </c>
      <c r="J312" t="s">
        <v>4762</v>
      </c>
      <c r="K312">
        <v>-2.4</v>
      </c>
    </row>
    <row r="313" spans="1:11">
      <c r="A313" t="s">
        <v>1921</v>
      </c>
      <c r="B313" s="17">
        <v>43263</v>
      </c>
      <c r="C313">
        <v>2018</v>
      </c>
      <c r="D313" t="s">
        <v>9</v>
      </c>
      <c r="E313" t="s">
        <v>4751</v>
      </c>
      <c r="F313" t="s">
        <v>1611</v>
      </c>
      <c r="G313">
        <v>1729</v>
      </c>
      <c r="H313">
        <v>32</v>
      </c>
      <c r="I313" t="s">
        <v>4752</v>
      </c>
      <c r="J313" t="s">
        <v>4762</v>
      </c>
      <c r="K313">
        <v>-23.1</v>
      </c>
    </row>
    <row r="314" spans="1:11">
      <c r="A314" t="s">
        <v>1922</v>
      </c>
      <c r="B314" s="17">
        <v>43268</v>
      </c>
      <c r="C314">
        <v>2018</v>
      </c>
      <c r="D314" t="s">
        <v>1603</v>
      </c>
      <c r="E314" t="s">
        <v>4749</v>
      </c>
      <c r="F314" t="s">
        <v>1611</v>
      </c>
      <c r="G314">
        <v>1272</v>
      </c>
      <c r="H314">
        <v>38</v>
      </c>
      <c r="I314" t="s">
        <v>4748</v>
      </c>
      <c r="J314" t="s">
        <v>4760</v>
      </c>
      <c r="K314">
        <v>10.1</v>
      </c>
    </row>
    <row r="315" spans="1:11">
      <c r="A315" t="s">
        <v>1923</v>
      </c>
      <c r="B315" s="17">
        <v>43277</v>
      </c>
      <c r="C315">
        <v>2018</v>
      </c>
      <c r="D315" t="s">
        <v>31</v>
      </c>
      <c r="E315" t="s">
        <v>4753</v>
      </c>
      <c r="F315" t="s">
        <v>1611</v>
      </c>
      <c r="G315">
        <v>1677</v>
      </c>
      <c r="H315">
        <v>27</v>
      </c>
      <c r="I315" t="s">
        <v>4748</v>
      </c>
      <c r="J315" t="s">
        <v>4760</v>
      </c>
      <c r="K315">
        <v>16.2</v>
      </c>
    </row>
    <row r="316" spans="1:11">
      <c r="A316" t="s">
        <v>1924</v>
      </c>
      <c r="B316" s="17">
        <v>43314</v>
      </c>
      <c r="C316">
        <v>2018</v>
      </c>
      <c r="D316" t="s">
        <v>42</v>
      </c>
      <c r="E316" t="s">
        <v>4757</v>
      </c>
      <c r="F316" t="s">
        <v>1604</v>
      </c>
      <c r="G316">
        <v>330</v>
      </c>
      <c r="H316">
        <v>18</v>
      </c>
      <c r="I316" t="s">
        <v>4750</v>
      </c>
      <c r="J316" t="s">
        <v>4761</v>
      </c>
      <c r="K316">
        <v>-8.8000000000000007</v>
      </c>
    </row>
    <row r="317" spans="1:11">
      <c r="A317" t="s">
        <v>1925</v>
      </c>
      <c r="B317" s="17">
        <v>43315</v>
      </c>
      <c r="C317">
        <v>2018</v>
      </c>
      <c r="D317" t="s">
        <v>130</v>
      </c>
      <c r="E317" t="s">
        <v>4751</v>
      </c>
      <c r="F317" t="s">
        <v>1611</v>
      </c>
      <c r="G317">
        <v>975</v>
      </c>
      <c r="H317">
        <v>35</v>
      </c>
      <c r="I317" t="s">
        <v>4752</v>
      </c>
      <c r="J317" t="s">
        <v>4762</v>
      </c>
      <c r="K317">
        <v>-4.4000000000000004</v>
      </c>
    </row>
    <row r="318" spans="1:11">
      <c r="A318" t="s">
        <v>1926</v>
      </c>
      <c r="B318" s="17">
        <v>43316</v>
      </c>
      <c r="C318">
        <v>2018</v>
      </c>
      <c r="D318" t="s">
        <v>42</v>
      </c>
      <c r="E318" t="s">
        <v>4758</v>
      </c>
      <c r="F318" t="s">
        <v>1604</v>
      </c>
      <c r="G318">
        <v>343</v>
      </c>
      <c r="H318">
        <v>22</v>
      </c>
      <c r="I318" t="s">
        <v>4748</v>
      </c>
      <c r="J318" t="s">
        <v>4760</v>
      </c>
      <c r="K318">
        <v>13.2</v>
      </c>
    </row>
    <row r="319" spans="1:11">
      <c r="A319" t="s">
        <v>1927</v>
      </c>
      <c r="B319" s="17">
        <v>43318</v>
      </c>
      <c r="C319">
        <v>2018</v>
      </c>
      <c r="D319" t="s">
        <v>1403</v>
      </c>
      <c r="E319" t="s">
        <v>4751</v>
      </c>
      <c r="F319" t="s">
        <v>1604</v>
      </c>
      <c r="G319">
        <v>542</v>
      </c>
      <c r="H319">
        <v>18</v>
      </c>
      <c r="I319" t="s">
        <v>4750</v>
      </c>
      <c r="J319" t="s">
        <v>4761</v>
      </c>
      <c r="K319">
        <v>-6.3</v>
      </c>
    </row>
    <row r="320" spans="1:11">
      <c r="A320" t="s">
        <v>1928</v>
      </c>
      <c r="B320" s="17">
        <v>43323</v>
      </c>
      <c r="C320">
        <v>2018</v>
      </c>
      <c r="D320" t="s">
        <v>23</v>
      </c>
      <c r="E320" t="s">
        <v>4756</v>
      </c>
      <c r="F320" t="s">
        <v>1611</v>
      </c>
      <c r="G320">
        <v>1696</v>
      </c>
      <c r="H320">
        <v>33</v>
      </c>
      <c r="I320" t="s">
        <v>4748</v>
      </c>
      <c r="J320" t="s">
        <v>4760</v>
      </c>
      <c r="K320">
        <v>3.8</v>
      </c>
    </row>
    <row r="321" spans="1:11">
      <c r="A321" t="s">
        <v>1929</v>
      </c>
      <c r="B321" s="17">
        <v>43329</v>
      </c>
      <c r="C321">
        <v>2018</v>
      </c>
      <c r="D321" t="s">
        <v>376</v>
      </c>
      <c r="E321" t="s">
        <v>4747</v>
      </c>
      <c r="F321" t="s">
        <v>1611</v>
      </c>
      <c r="G321">
        <v>434</v>
      </c>
      <c r="H321">
        <v>48</v>
      </c>
      <c r="I321" t="s">
        <v>4752</v>
      </c>
      <c r="J321" t="s">
        <v>4762</v>
      </c>
      <c r="K321">
        <v>-36.9</v>
      </c>
    </row>
    <row r="322" spans="1:11">
      <c r="A322" t="s">
        <v>1930</v>
      </c>
      <c r="B322" s="17">
        <v>43344</v>
      </c>
      <c r="C322">
        <v>2018</v>
      </c>
      <c r="D322" t="s">
        <v>1703</v>
      </c>
      <c r="E322" t="s">
        <v>4753</v>
      </c>
      <c r="F322" t="s">
        <v>1604</v>
      </c>
      <c r="G322">
        <v>595</v>
      </c>
      <c r="H322">
        <v>25</v>
      </c>
      <c r="I322" t="s">
        <v>4748</v>
      </c>
      <c r="J322" t="s">
        <v>4760</v>
      </c>
      <c r="K322">
        <v>7.9</v>
      </c>
    </row>
    <row r="323" spans="1:11">
      <c r="A323" t="s">
        <v>1931</v>
      </c>
      <c r="B323" s="17">
        <v>43347</v>
      </c>
      <c r="C323">
        <v>2018</v>
      </c>
      <c r="D323" t="s">
        <v>42</v>
      </c>
      <c r="E323" t="s">
        <v>4751</v>
      </c>
      <c r="F323" t="s">
        <v>1611</v>
      </c>
      <c r="G323">
        <v>1681</v>
      </c>
      <c r="H323">
        <v>42</v>
      </c>
      <c r="I323" t="s">
        <v>4752</v>
      </c>
      <c r="J323" t="s">
        <v>4762</v>
      </c>
      <c r="K323">
        <v>-32.299999999999997</v>
      </c>
    </row>
    <row r="324" spans="1:11">
      <c r="A324" t="s">
        <v>1932</v>
      </c>
      <c r="B324" s="17">
        <v>43360</v>
      </c>
      <c r="C324">
        <v>2018</v>
      </c>
      <c r="D324" t="s">
        <v>1676</v>
      </c>
      <c r="E324" t="s">
        <v>4751</v>
      </c>
      <c r="F324" t="s">
        <v>1604</v>
      </c>
      <c r="G324">
        <v>132</v>
      </c>
      <c r="H324">
        <v>12</v>
      </c>
      <c r="I324" t="s">
        <v>4748</v>
      </c>
      <c r="J324" t="s">
        <v>4760</v>
      </c>
      <c r="K324">
        <v>8.6999999999999993</v>
      </c>
    </row>
    <row r="325" spans="1:11">
      <c r="A325" t="s">
        <v>1933</v>
      </c>
      <c r="B325" s="17">
        <v>43377</v>
      </c>
      <c r="C325">
        <v>2018</v>
      </c>
      <c r="D325" t="s">
        <v>67</v>
      </c>
      <c r="E325" t="s">
        <v>4751</v>
      </c>
      <c r="F325" t="s">
        <v>1604</v>
      </c>
      <c r="G325">
        <v>373</v>
      </c>
      <c r="H325">
        <v>24</v>
      </c>
      <c r="I325" t="s">
        <v>4752</v>
      </c>
      <c r="J325" t="s">
        <v>4762</v>
      </c>
      <c r="K325">
        <v>-20.3</v>
      </c>
    </row>
    <row r="326" spans="1:11">
      <c r="A326" t="s">
        <v>1934</v>
      </c>
      <c r="B326" s="17">
        <v>43392</v>
      </c>
      <c r="C326">
        <v>2018</v>
      </c>
      <c r="D326" t="s">
        <v>1640</v>
      </c>
      <c r="E326" t="s">
        <v>4757</v>
      </c>
      <c r="F326" t="s">
        <v>1604</v>
      </c>
      <c r="G326">
        <v>359</v>
      </c>
      <c r="H326">
        <v>17</v>
      </c>
      <c r="I326" t="s">
        <v>4752</v>
      </c>
      <c r="J326" t="s">
        <v>4762</v>
      </c>
      <c r="K326">
        <v>-9.1</v>
      </c>
    </row>
    <row r="327" spans="1:11">
      <c r="A327" t="s">
        <v>1935</v>
      </c>
      <c r="B327" s="17">
        <v>43395</v>
      </c>
      <c r="C327">
        <v>2018</v>
      </c>
      <c r="D327" t="s">
        <v>1403</v>
      </c>
      <c r="E327" t="s">
        <v>4751</v>
      </c>
      <c r="F327" t="s">
        <v>1611</v>
      </c>
      <c r="G327">
        <v>413</v>
      </c>
      <c r="H327">
        <v>35</v>
      </c>
      <c r="I327" t="s">
        <v>4752</v>
      </c>
      <c r="J327" t="s">
        <v>4762</v>
      </c>
      <c r="K327">
        <v>-6.6</v>
      </c>
    </row>
    <row r="328" spans="1:11">
      <c r="A328" t="s">
        <v>1936</v>
      </c>
      <c r="B328" s="17">
        <v>43398</v>
      </c>
      <c r="C328">
        <v>2018</v>
      </c>
      <c r="D328" t="s">
        <v>215</v>
      </c>
      <c r="E328" t="s">
        <v>4754</v>
      </c>
      <c r="F328" t="s">
        <v>1611</v>
      </c>
      <c r="G328">
        <v>2041</v>
      </c>
      <c r="H328">
        <v>39</v>
      </c>
      <c r="I328" t="s">
        <v>4748</v>
      </c>
      <c r="J328" t="s">
        <v>4760</v>
      </c>
      <c r="K328">
        <v>7.7</v>
      </c>
    </row>
    <row r="329" spans="1:11">
      <c r="A329" t="s">
        <v>1937</v>
      </c>
      <c r="B329" s="17">
        <v>43419</v>
      </c>
      <c r="C329">
        <v>2018</v>
      </c>
      <c r="D329" t="s">
        <v>1608</v>
      </c>
      <c r="E329" t="s">
        <v>4747</v>
      </c>
      <c r="F329" t="s">
        <v>1611</v>
      </c>
      <c r="G329">
        <v>239</v>
      </c>
      <c r="H329">
        <v>39</v>
      </c>
      <c r="I329" t="s">
        <v>4748</v>
      </c>
      <c r="J329" t="s">
        <v>4760</v>
      </c>
      <c r="K329">
        <v>2.4</v>
      </c>
    </row>
    <row r="330" spans="1:11">
      <c r="A330" t="s">
        <v>1938</v>
      </c>
      <c r="B330" s="17">
        <v>43424</v>
      </c>
      <c r="C330">
        <v>2018</v>
      </c>
      <c r="D330" t="s">
        <v>130</v>
      </c>
      <c r="E330" t="s">
        <v>4751</v>
      </c>
      <c r="F330" t="s">
        <v>1604</v>
      </c>
      <c r="G330">
        <v>96</v>
      </c>
      <c r="H330">
        <v>18</v>
      </c>
      <c r="I330" t="s">
        <v>4748</v>
      </c>
      <c r="J330" t="s">
        <v>4760</v>
      </c>
      <c r="K330">
        <v>9</v>
      </c>
    </row>
    <row r="331" spans="1:11">
      <c r="A331" t="s">
        <v>1939</v>
      </c>
      <c r="B331" s="17">
        <v>43427</v>
      </c>
      <c r="C331">
        <v>2018</v>
      </c>
      <c r="D331" t="s">
        <v>38</v>
      </c>
      <c r="E331" t="s">
        <v>4749</v>
      </c>
      <c r="F331" t="s">
        <v>1611</v>
      </c>
      <c r="G331">
        <v>745</v>
      </c>
      <c r="H331">
        <v>51</v>
      </c>
      <c r="I331" t="s">
        <v>4748</v>
      </c>
      <c r="J331" t="s">
        <v>4760</v>
      </c>
      <c r="K331">
        <v>8.6999999999999993</v>
      </c>
    </row>
    <row r="332" spans="1:11">
      <c r="A332" t="s">
        <v>1940</v>
      </c>
      <c r="B332" s="17">
        <v>43430</v>
      </c>
      <c r="C332">
        <v>2018</v>
      </c>
      <c r="D332" t="s">
        <v>1676</v>
      </c>
      <c r="E332" t="s">
        <v>4753</v>
      </c>
      <c r="F332" t="s">
        <v>1604</v>
      </c>
      <c r="G332">
        <v>205</v>
      </c>
      <c r="H332">
        <v>8</v>
      </c>
      <c r="I332" t="s">
        <v>4748</v>
      </c>
      <c r="J332" t="s">
        <v>4760</v>
      </c>
      <c r="K332">
        <v>-0.4</v>
      </c>
    </row>
    <row r="333" spans="1:11">
      <c r="A333" t="s">
        <v>1941</v>
      </c>
      <c r="B333" s="17">
        <v>43435</v>
      </c>
      <c r="C333">
        <v>2018</v>
      </c>
      <c r="D333" t="s">
        <v>1603</v>
      </c>
      <c r="E333" t="s">
        <v>4756</v>
      </c>
      <c r="F333" t="s">
        <v>1604</v>
      </c>
      <c r="G333">
        <v>295</v>
      </c>
      <c r="H333">
        <v>23</v>
      </c>
      <c r="I333" t="s">
        <v>4752</v>
      </c>
      <c r="J333" t="s">
        <v>4762</v>
      </c>
      <c r="K333">
        <v>-5</v>
      </c>
    </row>
    <row r="334" spans="1:11">
      <c r="A334" t="s">
        <v>1942</v>
      </c>
      <c r="B334" s="17">
        <v>43445</v>
      </c>
      <c r="C334">
        <v>2018</v>
      </c>
      <c r="D334" t="s">
        <v>67</v>
      </c>
      <c r="E334" t="s">
        <v>4757</v>
      </c>
      <c r="F334" t="s">
        <v>1611</v>
      </c>
      <c r="G334">
        <v>410</v>
      </c>
      <c r="H334">
        <v>41</v>
      </c>
      <c r="I334" t="s">
        <v>4748</v>
      </c>
      <c r="J334" t="s">
        <v>4760</v>
      </c>
      <c r="K334">
        <v>5.3</v>
      </c>
    </row>
    <row r="335" spans="1:11">
      <c r="A335" t="s">
        <v>1943</v>
      </c>
      <c r="B335" s="17">
        <v>43445</v>
      </c>
      <c r="C335">
        <v>2018</v>
      </c>
      <c r="D335" t="s">
        <v>125</v>
      </c>
      <c r="E335" t="s">
        <v>4756</v>
      </c>
      <c r="F335" t="s">
        <v>1611</v>
      </c>
      <c r="G335">
        <v>1588</v>
      </c>
      <c r="H335">
        <v>50</v>
      </c>
      <c r="I335" t="s">
        <v>4748</v>
      </c>
      <c r="J335" t="s">
        <v>4760</v>
      </c>
      <c r="K335">
        <v>15.1</v>
      </c>
    </row>
    <row r="336" spans="1:11">
      <c r="A336" t="s">
        <v>1944</v>
      </c>
      <c r="B336" s="17">
        <v>43459</v>
      </c>
      <c r="C336">
        <v>2018</v>
      </c>
      <c r="D336" t="s">
        <v>9</v>
      </c>
      <c r="E336" t="s">
        <v>4753</v>
      </c>
      <c r="F336" t="s">
        <v>1611</v>
      </c>
      <c r="G336">
        <v>524</v>
      </c>
      <c r="H336">
        <v>35</v>
      </c>
      <c r="I336" t="s">
        <v>4748</v>
      </c>
      <c r="J336" t="s">
        <v>4760</v>
      </c>
      <c r="K336">
        <v>6.2</v>
      </c>
    </row>
    <row r="337" spans="1:11">
      <c r="A337" t="s">
        <v>1945</v>
      </c>
      <c r="B337" s="17">
        <v>43468</v>
      </c>
      <c r="C337">
        <v>2019</v>
      </c>
      <c r="D337" t="s">
        <v>1676</v>
      </c>
      <c r="E337" t="s">
        <v>4757</v>
      </c>
      <c r="F337" t="s">
        <v>1604</v>
      </c>
      <c r="G337">
        <v>96</v>
      </c>
      <c r="H337">
        <v>22</v>
      </c>
      <c r="I337" t="s">
        <v>4748</v>
      </c>
      <c r="J337" t="s">
        <v>4760</v>
      </c>
      <c r="K337">
        <v>7.3</v>
      </c>
    </row>
    <row r="338" spans="1:11">
      <c r="A338" t="s">
        <v>1946</v>
      </c>
      <c r="B338" s="17">
        <v>43485</v>
      </c>
      <c r="C338">
        <v>2019</v>
      </c>
      <c r="D338" t="s">
        <v>38</v>
      </c>
      <c r="E338" t="s">
        <v>4751</v>
      </c>
      <c r="F338" t="s">
        <v>1604</v>
      </c>
      <c r="G338">
        <v>438</v>
      </c>
      <c r="H338">
        <v>17</v>
      </c>
      <c r="I338" t="s">
        <v>4748</v>
      </c>
      <c r="J338" t="s">
        <v>4760</v>
      </c>
      <c r="K338">
        <v>7.6</v>
      </c>
    </row>
    <row r="339" spans="1:11">
      <c r="A339" t="s">
        <v>1947</v>
      </c>
      <c r="B339" s="17">
        <v>43504</v>
      </c>
      <c r="C339">
        <v>2019</v>
      </c>
      <c r="D339" t="s">
        <v>53</v>
      </c>
      <c r="E339" t="s">
        <v>4751</v>
      </c>
      <c r="F339" t="s">
        <v>1611</v>
      </c>
      <c r="G339">
        <v>908</v>
      </c>
      <c r="H339">
        <v>40</v>
      </c>
      <c r="I339" t="s">
        <v>4748</v>
      </c>
      <c r="J339" t="s">
        <v>4760</v>
      </c>
      <c r="K339">
        <v>3</v>
      </c>
    </row>
    <row r="340" spans="1:11">
      <c r="A340" t="s">
        <v>1948</v>
      </c>
      <c r="B340" s="17">
        <v>43507</v>
      </c>
      <c r="C340">
        <v>2019</v>
      </c>
      <c r="D340" t="s">
        <v>146</v>
      </c>
      <c r="E340" t="s">
        <v>4753</v>
      </c>
      <c r="F340" t="s">
        <v>1604</v>
      </c>
      <c r="G340">
        <v>128</v>
      </c>
      <c r="H340">
        <v>17</v>
      </c>
      <c r="I340" t="s">
        <v>4748</v>
      </c>
      <c r="J340" t="s">
        <v>4760</v>
      </c>
      <c r="K340">
        <v>12.9</v>
      </c>
    </row>
    <row r="341" spans="1:11">
      <c r="A341" t="s">
        <v>1949</v>
      </c>
      <c r="B341" s="17">
        <v>43516</v>
      </c>
      <c r="C341">
        <v>2019</v>
      </c>
      <c r="D341" t="s">
        <v>1703</v>
      </c>
      <c r="E341" t="s">
        <v>4751</v>
      </c>
      <c r="F341" t="s">
        <v>1611</v>
      </c>
      <c r="G341">
        <v>853</v>
      </c>
      <c r="H341">
        <v>37</v>
      </c>
      <c r="I341" t="s">
        <v>4752</v>
      </c>
      <c r="J341" t="s">
        <v>4762</v>
      </c>
      <c r="K341">
        <v>0.7</v>
      </c>
    </row>
    <row r="342" spans="1:11">
      <c r="A342" t="s">
        <v>1950</v>
      </c>
      <c r="B342" s="17">
        <v>43530</v>
      </c>
      <c r="C342">
        <v>2019</v>
      </c>
      <c r="D342" t="s">
        <v>304</v>
      </c>
      <c r="E342" t="s">
        <v>4754</v>
      </c>
      <c r="F342" t="s">
        <v>1604</v>
      </c>
      <c r="G342">
        <v>109</v>
      </c>
      <c r="H342">
        <v>20</v>
      </c>
      <c r="I342" t="s">
        <v>4748</v>
      </c>
      <c r="J342" t="s">
        <v>4760</v>
      </c>
      <c r="K342">
        <v>9.1999999999999993</v>
      </c>
    </row>
    <row r="343" spans="1:11">
      <c r="A343" t="s">
        <v>1951</v>
      </c>
      <c r="B343" s="17">
        <v>43546</v>
      </c>
      <c r="C343">
        <v>2019</v>
      </c>
      <c r="D343" t="s">
        <v>376</v>
      </c>
      <c r="E343" t="s">
        <v>4755</v>
      </c>
      <c r="F343" t="s">
        <v>1604</v>
      </c>
      <c r="G343">
        <v>180</v>
      </c>
      <c r="H343">
        <v>20</v>
      </c>
      <c r="I343" t="s">
        <v>4748</v>
      </c>
      <c r="J343" t="s">
        <v>4760</v>
      </c>
      <c r="K343">
        <v>4</v>
      </c>
    </row>
    <row r="344" spans="1:11">
      <c r="A344" t="s">
        <v>1952</v>
      </c>
      <c r="B344" s="17">
        <v>43558</v>
      </c>
      <c r="C344">
        <v>2019</v>
      </c>
      <c r="D344" t="s">
        <v>1640</v>
      </c>
      <c r="E344" t="s">
        <v>4759</v>
      </c>
      <c r="F344" t="s">
        <v>1611</v>
      </c>
      <c r="G344">
        <v>1502</v>
      </c>
      <c r="H344">
        <v>28</v>
      </c>
      <c r="I344" t="s">
        <v>4748</v>
      </c>
      <c r="J344" t="s">
        <v>4760</v>
      </c>
      <c r="K344">
        <v>12.2</v>
      </c>
    </row>
    <row r="345" spans="1:11">
      <c r="A345" t="s">
        <v>1953</v>
      </c>
      <c r="B345" s="17">
        <v>43559</v>
      </c>
      <c r="C345">
        <v>2019</v>
      </c>
      <c r="D345" t="s">
        <v>38</v>
      </c>
      <c r="E345" t="s">
        <v>4747</v>
      </c>
      <c r="F345" t="s">
        <v>1611</v>
      </c>
      <c r="G345">
        <v>1467</v>
      </c>
      <c r="H345">
        <v>28</v>
      </c>
      <c r="I345" t="s">
        <v>4752</v>
      </c>
      <c r="J345" t="s">
        <v>4762</v>
      </c>
      <c r="K345">
        <v>-16</v>
      </c>
    </row>
    <row r="346" spans="1:11">
      <c r="A346" t="s">
        <v>1954</v>
      </c>
      <c r="B346" s="17">
        <v>43589</v>
      </c>
      <c r="C346">
        <v>2019</v>
      </c>
      <c r="D346" t="s">
        <v>1640</v>
      </c>
      <c r="E346" t="s">
        <v>4757</v>
      </c>
      <c r="F346" t="s">
        <v>1604</v>
      </c>
      <c r="G346">
        <v>196</v>
      </c>
      <c r="H346">
        <v>24</v>
      </c>
      <c r="I346" t="s">
        <v>4748</v>
      </c>
      <c r="J346" t="s">
        <v>4760</v>
      </c>
      <c r="K346">
        <v>5.4</v>
      </c>
    </row>
    <row r="347" spans="1:11">
      <c r="A347" t="s">
        <v>1955</v>
      </c>
      <c r="B347" s="17">
        <v>43604</v>
      </c>
      <c r="C347">
        <v>2019</v>
      </c>
      <c r="D347" t="s">
        <v>31</v>
      </c>
      <c r="E347" t="s">
        <v>4751</v>
      </c>
      <c r="F347" t="s">
        <v>1611</v>
      </c>
      <c r="G347">
        <v>1598</v>
      </c>
      <c r="H347">
        <v>32</v>
      </c>
      <c r="I347" t="s">
        <v>4752</v>
      </c>
      <c r="J347" t="s">
        <v>4762</v>
      </c>
      <c r="K347">
        <v>-29.1</v>
      </c>
    </row>
    <row r="348" spans="1:11">
      <c r="A348" t="s">
        <v>1956</v>
      </c>
      <c r="B348" s="17">
        <v>43632</v>
      </c>
      <c r="C348">
        <v>2019</v>
      </c>
      <c r="D348" t="s">
        <v>304</v>
      </c>
      <c r="E348" t="s">
        <v>4757</v>
      </c>
      <c r="F348" t="s">
        <v>1611</v>
      </c>
      <c r="G348">
        <v>1693</v>
      </c>
      <c r="H348">
        <v>41</v>
      </c>
      <c r="I348" t="s">
        <v>4752</v>
      </c>
      <c r="J348" t="s">
        <v>4762</v>
      </c>
      <c r="K348">
        <v>-16.8</v>
      </c>
    </row>
    <row r="349" spans="1:11">
      <c r="A349" t="s">
        <v>1957</v>
      </c>
      <c r="B349" s="17">
        <v>43655</v>
      </c>
      <c r="C349">
        <v>2019</v>
      </c>
      <c r="D349" t="s">
        <v>130</v>
      </c>
      <c r="E349" t="s">
        <v>4751</v>
      </c>
      <c r="F349" t="s">
        <v>1604</v>
      </c>
      <c r="G349">
        <v>223</v>
      </c>
      <c r="H349">
        <v>13</v>
      </c>
      <c r="I349" t="s">
        <v>4748</v>
      </c>
      <c r="J349" t="s">
        <v>4760</v>
      </c>
      <c r="K349">
        <v>10</v>
      </c>
    </row>
    <row r="350" spans="1:11">
      <c r="A350" t="s">
        <v>1958</v>
      </c>
      <c r="B350" s="17">
        <v>43656</v>
      </c>
      <c r="C350">
        <v>2019</v>
      </c>
      <c r="D350" t="s">
        <v>53</v>
      </c>
      <c r="E350" t="s">
        <v>4753</v>
      </c>
      <c r="F350" t="s">
        <v>1604</v>
      </c>
      <c r="G350">
        <v>265</v>
      </c>
      <c r="H350">
        <v>10</v>
      </c>
      <c r="I350" t="s">
        <v>4748</v>
      </c>
      <c r="J350" t="s">
        <v>4760</v>
      </c>
      <c r="K350">
        <v>4.8</v>
      </c>
    </row>
    <row r="351" spans="1:11">
      <c r="A351" t="s">
        <v>1959</v>
      </c>
      <c r="B351" s="17">
        <v>43658</v>
      </c>
      <c r="C351">
        <v>2019</v>
      </c>
      <c r="D351" t="s">
        <v>1640</v>
      </c>
      <c r="E351" t="s">
        <v>4754</v>
      </c>
      <c r="F351" t="s">
        <v>1611</v>
      </c>
      <c r="G351">
        <v>1088</v>
      </c>
      <c r="H351">
        <v>32</v>
      </c>
      <c r="I351" t="s">
        <v>4750</v>
      </c>
      <c r="J351" t="s">
        <v>4761</v>
      </c>
      <c r="K351">
        <v>-2</v>
      </c>
    </row>
    <row r="352" spans="1:11">
      <c r="A352" t="s">
        <v>1960</v>
      </c>
      <c r="B352" s="17">
        <v>43662</v>
      </c>
      <c r="C352">
        <v>2019</v>
      </c>
      <c r="D352" t="s">
        <v>53</v>
      </c>
      <c r="E352" t="s">
        <v>4751</v>
      </c>
      <c r="F352" t="s">
        <v>1604</v>
      </c>
      <c r="G352">
        <v>225</v>
      </c>
      <c r="H352">
        <v>16</v>
      </c>
      <c r="I352" t="s">
        <v>4750</v>
      </c>
      <c r="J352" t="s">
        <v>4761</v>
      </c>
      <c r="K352">
        <v>-2.7</v>
      </c>
    </row>
    <row r="353" spans="1:11">
      <c r="A353" t="s">
        <v>1961</v>
      </c>
      <c r="B353" s="17">
        <v>43679</v>
      </c>
      <c r="C353">
        <v>2019</v>
      </c>
      <c r="D353" t="s">
        <v>376</v>
      </c>
      <c r="E353" t="s">
        <v>4747</v>
      </c>
      <c r="F353" t="s">
        <v>1604</v>
      </c>
      <c r="G353">
        <v>341</v>
      </c>
      <c r="H353">
        <v>20</v>
      </c>
      <c r="I353" t="s">
        <v>4750</v>
      </c>
      <c r="J353" t="s">
        <v>4761</v>
      </c>
      <c r="K353">
        <v>-4.4000000000000004</v>
      </c>
    </row>
    <row r="354" spans="1:11">
      <c r="A354" t="s">
        <v>1962</v>
      </c>
      <c r="B354" s="17">
        <v>43682</v>
      </c>
      <c r="C354">
        <v>2019</v>
      </c>
      <c r="D354" t="s">
        <v>23</v>
      </c>
      <c r="E354" t="s">
        <v>4754</v>
      </c>
      <c r="F354" t="s">
        <v>1611</v>
      </c>
      <c r="G354">
        <v>1236</v>
      </c>
      <c r="H354">
        <v>39</v>
      </c>
      <c r="I354" t="s">
        <v>4748</v>
      </c>
      <c r="J354" t="s">
        <v>4760</v>
      </c>
      <c r="K354">
        <v>11.3</v>
      </c>
    </row>
    <row r="355" spans="1:11">
      <c r="A355" t="s">
        <v>1963</v>
      </c>
      <c r="B355" s="17">
        <v>43686</v>
      </c>
      <c r="C355">
        <v>2019</v>
      </c>
      <c r="D355" t="s">
        <v>1403</v>
      </c>
      <c r="E355" t="s">
        <v>4759</v>
      </c>
      <c r="F355" t="s">
        <v>1611</v>
      </c>
      <c r="G355">
        <v>1001</v>
      </c>
      <c r="H355">
        <v>39</v>
      </c>
      <c r="I355" t="s">
        <v>4752</v>
      </c>
      <c r="J355" t="s">
        <v>4762</v>
      </c>
      <c r="K355">
        <v>-15</v>
      </c>
    </row>
    <row r="356" spans="1:11">
      <c r="A356" t="s">
        <v>1964</v>
      </c>
      <c r="B356" s="17">
        <v>43711</v>
      </c>
      <c r="C356">
        <v>2019</v>
      </c>
      <c r="D356" t="s">
        <v>130</v>
      </c>
      <c r="E356" t="s">
        <v>4751</v>
      </c>
      <c r="F356" t="s">
        <v>1611</v>
      </c>
      <c r="G356">
        <v>584</v>
      </c>
      <c r="H356">
        <v>40</v>
      </c>
      <c r="I356" t="s">
        <v>4748</v>
      </c>
      <c r="J356" t="s">
        <v>4760</v>
      </c>
      <c r="K356">
        <v>11.2</v>
      </c>
    </row>
    <row r="357" spans="1:11">
      <c r="A357" t="s">
        <v>1965</v>
      </c>
      <c r="B357" s="17">
        <v>43714</v>
      </c>
      <c r="C357">
        <v>2019</v>
      </c>
      <c r="D357" t="s">
        <v>17</v>
      </c>
      <c r="E357" t="s">
        <v>4747</v>
      </c>
      <c r="F357" t="s">
        <v>1611</v>
      </c>
      <c r="G357">
        <v>973</v>
      </c>
      <c r="H357">
        <v>32</v>
      </c>
      <c r="I357" t="s">
        <v>4748</v>
      </c>
      <c r="J357" t="s">
        <v>4760</v>
      </c>
      <c r="K357">
        <v>8.1999999999999993</v>
      </c>
    </row>
    <row r="358" spans="1:11">
      <c r="A358" t="s">
        <v>1966</v>
      </c>
      <c r="B358" s="17">
        <v>43722</v>
      </c>
      <c r="C358">
        <v>2019</v>
      </c>
      <c r="D358" t="s">
        <v>376</v>
      </c>
      <c r="E358" t="s">
        <v>4754</v>
      </c>
      <c r="F358" t="s">
        <v>1611</v>
      </c>
      <c r="G358">
        <v>1076</v>
      </c>
      <c r="H358">
        <v>29</v>
      </c>
      <c r="I358" t="s">
        <v>4752</v>
      </c>
      <c r="J358" t="s">
        <v>4762</v>
      </c>
      <c r="K358">
        <v>-4.2</v>
      </c>
    </row>
    <row r="359" spans="1:11">
      <c r="A359" t="s">
        <v>1967</v>
      </c>
      <c r="B359" s="17">
        <v>43723</v>
      </c>
      <c r="C359">
        <v>2019</v>
      </c>
      <c r="D359" t="s">
        <v>1610</v>
      </c>
      <c r="E359" t="s">
        <v>4758</v>
      </c>
      <c r="F359" t="s">
        <v>1611</v>
      </c>
      <c r="G359">
        <v>1066</v>
      </c>
      <c r="H359">
        <v>36</v>
      </c>
      <c r="I359" t="s">
        <v>4752</v>
      </c>
      <c r="J359" t="s">
        <v>4762</v>
      </c>
      <c r="K359">
        <v>-12.5</v>
      </c>
    </row>
    <row r="360" spans="1:11">
      <c r="A360" t="s">
        <v>1968</v>
      </c>
      <c r="B360" s="17">
        <v>43726</v>
      </c>
      <c r="C360">
        <v>2019</v>
      </c>
      <c r="D360" t="s">
        <v>38</v>
      </c>
      <c r="E360" t="s">
        <v>4757</v>
      </c>
      <c r="F360" t="s">
        <v>1611</v>
      </c>
      <c r="G360">
        <v>897</v>
      </c>
      <c r="H360">
        <v>41</v>
      </c>
      <c r="I360" t="s">
        <v>4752</v>
      </c>
      <c r="J360" t="s">
        <v>4762</v>
      </c>
      <c r="K360">
        <v>-12.6</v>
      </c>
    </row>
    <row r="361" spans="1:11">
      <c r="A361" t="s">
        <v>1969</v>
      </c>
      <c r="B361" s="17">
        <v>43735</v>
      </c>
      <c r="C361">
        <v>2019</v>
      </c>
      <c r="D361" t="s">
        <v>125</v>
      </c>
      <c r="E361" t="s">
        <v>4756</v>
      </c>
      <c r="F361" t="s">
        <v>1604</v>
      </c>
      <c r="G361">
        <v>221</v>
      </c>
      <c r="H361">
        <v>18</v>
      </c>
      <c r="I361" t="s">
        <v>4748</v>
      </c>
      <c r="J361" t="s">
        <v>4760</v>
      </c>
      <c r="K361">
        <v>14.6</v>
      </c>
    </row>
    <row r="362" spans="1:11">
      <c r="A362" t="s">
        <v>1970</v>
      </c>
      <c r="B362" s="17">
        <v>43762</v>
      </c>
      <c r="C362">
        <v>2019</v>
      </c>
      <c r="D362" t="s">
        <v>1676</v>
      </c>
      <c r="E362" t="s">
        <v>4751</v>
      </c>
      <c r="F362" t="s">
        <v>1611</v>
      </c>
      <c r="G362">
        <v>3225</v>
      </c>
      <c r="H362">
        <v>48</v>
      </c>
      <c r="I362" t="s">
        <v>4750</v>
      </c>
      <c r="J362" t="s">
        <v>4761</v>
      </c>
      <c r="K362">
        <v>-11.7</v>
      </c>
    </row>
    <row r="363" spans="1:11">
      <c r="A363" t="s">
        <v>1971</v>
      </c>
      <c r="B363" s="17">
        <v>43764</v>
      </c>
      <c r="C363">
        <v>2019</v>
      </c>
      <c r="D363" t="s">
        <v>304</v>
      </c>
      <c r="E363" t="s">
        <v>4759</v>
      </c>
      <c r="F363" t="s">
        <v>1604</v>
      </c>
      <c r="G363">
        <v>173</v>
      </c>
      <c r="H363">
        <v>13</v>
      </c>
      <c r="I363" t="s">
        <v>4748</v>
      </c>
      <c r="J363" t="s">
        <v>4760</v>
      </c>
      <c r="K363">
        <v>12.3</v>
      </c>
    </row>
    <row r="364" spans="1:11">
      <c r="A364" t="s">
        <v>1972</v>
      </c>
      <c r="B364" s="17">
        <v>43780</v>
      </c>
      <c r="C364">
        <v>2019</v>
      </c>
      <c r="D364" t="s">
        <v>1608</v>
      </c>
      <c r="E364" t="s">
        <v>4758</v>
      </c>
      <c r="F364" t="s">
        <v>1604</v>
      </c>
      <c r="G364">
        <v>148</v>
      </c>
      <c r="H364">
        <v>20</v>
      </c>
      <c r="I364" t="s">
        <v>4752</v>
      </c>
      <c r="J364" t="s">
        <v>4762</v>
      </c>
      <c r="K364">
        <v>-26.8</v>
      </c>
    </row>
    <row r="365" spans="1:11">
      <c r="A365" t="s">
        <v>1973</v>
      </c>
      <c r="B365" s="17">
        <v>43784</v>
      </c>
      <c r="C365">
        <v>2019</v>
      </c>
      <c r="D365" t="s">
        <v>130</v>
      </c>
      <c r="E365" t="s">
        <v>4755</v>
      </c>
      <c r="F365" t="s">
        <v>1604</v>
      </c>
      <c r="G365">
        <v>326</v>
      </c>
      <c r="H365">
        <v>9</v>
      </c>
      <c r="I365" t="s">
        <v>4748</v>
      </c>
      <c r="J365" t="s">
        <v>4760</v>
      </c>
      <c r="K365">
        <v>5.9</v>
      </c>
    </row>
    <row r="366" spans="1:11">
      <c r="A366" t="s">
        <v>1974</v>
      </c>
      <c r="B366" s="17">
        <v>43791</v>
      </c>
      <c r="C366">
        <v>2019</v>
      </c>
      <c r="D366" t="s">
        <v>1403</v>
      </c>
      <c r="E366" t="s">
        <v>4747</v>
      </c>
      <c r="F366" t="s">
        <v>1604</v>
      </c>
      <c r="G366">
        <v>463</v>
      </c>
      <c r="H366">
        <v>15</v>
      </c>
      <c r="I366" t="s">
        <v>4752</v>
      </c>
      <c r="J366" t="s">
        <v>4762</v>
      </c>
      <c r="K366">
        <v>-23.2</v>
      </c>
    </row>
    <row r="367" spans="1:11">
      <c r="A367" t="s">
        <v>1975</v>
      </c>
      <c r="B367" s="17">
        <v>43806</v>
      </c>
      <c r="C367">
        <v>2019</v>
      </c>
      <c r="D367" t="s">
        <v>1403</v>
      </c>
      <c r="E367" t="s">
        <v>4749</v>
      </c>
      <c r="F367" t="s">
        <v>1604</v>
      </c>
      <c r="G367">
        <v>166</v>
      </c>
      <c r="H367">
        <v>23</v>
      </c>
      <c r="I367" t="s">
        <v>4748</v>
      </c>
      <c r="J367" t="s">
        <v>4760</v>
      </c>
      <c r="K367">
        <v>9.1999999999999993</v>
      </c>
    </row>
    <row r="368" spans="1:11">
      <c r="A368" t="s">
        <v>1976</v>
      </c>
      <c r="B368" s="17">
        <v>43807</v>
      </c>
      <c r="C368">
        <v>2019</v>
      </c>
      <c r="D368" t="s">
        <v>23</v>
      </c>
      <c r="E368" t="s">
        <v>4756</v>
      </c>
      <c r="F368" t="s">
        <v>1604</v>
      </c>
      <c r="G368">
        <v>182</v>
      </c>
      <c r="H368">
        <v>7</v>
      </c>
      <c r="I368" t="s">
        <v>4748</v>
      </c>
      <c r="J368" t="s">
        <v>4760</v>
      </c>
      <c r="K368">
        <v>1.9</v>
      </c>
    </row>
    <row r="369" spans="1:11">
      <c r="A369" t="s">
        <v>1977</v>
      </c>
      <c r="B369" s="17">
        <v>43823</v>
      </c>
      <c r="C369">
        <v>2019</v>
      </c>
      <c r="D369" t="s">
        <v>130</v>
      </c>
      <c r="E369" t="s">
        <v>4751</v>
      </c>
      <c r="F369" t="s">
        <v>1604</v>
      </c>
      <c r="G369">
        <v>138</v>
      </c>
      <c r="H369">
        <v>25</v>
      </c>
      <c r="I369" t="s">
        <v>4748</v>
      </c>
      <c r="J369" t="s">
        <v>4760</v>
      </c>
      <c r="K369">
        <v>3.3</v>
      </c>
    </row>
    <row r="370" spans="1:11">
      <c r="A370" t="s">
        <v>1978</v>
      </c>
      <c r="B370" s="17">
        <v>43835</v>
      </c>
      <c r="C370">
        <v>2020</v>
      </c>
      <c r="D370" t="s">
        <v>23</v>
      </c>
      <c r="E370" t="s">
        <v>4757</v>
      </c>
      <c r="F370" t="s">
        <v>1604</v>
      </c>
      <c r="G370">
        <v>91</v>
      </c>
      <c r="H370">
        <v>17</v>
      </c>
      <c r="I370" t="s">
        <v>4748</v>
      </c>
      <c r="J370" t="s">
        <v>4760</v>
      </c>
      <c r="K370">
        <v>17.600000000000001</v>
      </c>
    </row>
    <row r="371" spans="1:11">
      <c r="A371" t="s">
        <v>1979</v>
      </c>
      <c r="B371" s="17">
        <v>43849</v>
      </c>
      <c r="C371">
        <v>2020</v>
      </c>
      <c r="D371" t="s">
        <v>9</v>
      </c>
      <c r="E371" t="s">
        <v>4749</v>
      </c>
      <c r="F371" t="s">
        <v>1611</v>
      </c>
      <c r="G371">
        <v>1443</v>
      </c>
      <c r="H371">
        <v>40</v>
      </c>
      <c r="I371" t="s">
        <v>4748</v>
      </c>
      <c r="J371" t="s">
        <v>4760</v>
      </c>
      <c r="K371">
        <v>18.3</v>
      </c>
    </row>
    <row r="372" spans="1:11">
      <c r="A372" t="s">
        <v>1980</v>
      </c>
      <c r="B372" s="17">
        <v>43853</v>
      </c>
      <c r="C372">
        <v>2020</v>
      </c>
      <c r="D372" t="s">
        <v>125</v>
      </c>
      <c r="E372" t="s">
        <v>4753</v>
      </c>
      <c r="F372" t="s">
        <v>1611</v>
      </c>
      <c r="G372">
        <v>985</v>
      </c>
      <c r="H372">
        <v>42</v>
      </c>
      <c r="I372" t="s">
        <v>4748</v>
      </c>
      <c r="J372" t="s">
        <v>4760</v>
      </c>
      <c r="K372">
        <v>12.7</v>
      </c>
    </row>
    <row r="373" spans="1:11">
      <c r="A373" t="s">
        <v>1981</v>
      </c>
      <c r="B373" s="17">
        <v>43863</v>
      </c>
      <c r="C373">
        <v>2020</v>
      </c>
      <c r="D373" t="s">
        <v>53</v>
      </c>
      <c r="E373" t="s">
        <v>4754</v>
      </c>
      <c r="F373" t="s">
        <v>1611</v>
      </c>
      <c r="G373">
        <v>1398</v>
      </c>
      <c r="H373">
        <v>32</v>
      </c>
      <c r="I373" t="s">
        <v>4748</v>
      </c>
      <c r="J373" t="s">
        <v>4760</v>
      </c>
      <c r="K373">
        <v>10.8</v>
      </c>
    </row>
    <row r="374" spans="1:11">
      <c r="A374" t="s">
        <v>1982</v>
      </c>
      <c r="B374" s="17">
        <v>43868</v>
      </c>
      <c r="C374">
        <v>2020</v>
      </c>
      <c r="D374" t="s">
        <v>1676</v>
      </c>
      <c r="E374" t="s">
        <v>4747</v>
      </c>
      <c r="F374" t="s">
        <v>1604</v>
      </c>
      <c r="G374">
        <v>338</v>
      </c>
      <c r="H374">
        <v>22</v>
      </c>
      <c r="I374" t="s">
        <v>4752</v>
      </c>
      <c r="J374" t="s">
        <v>4762</v>
      </c>
      <c r="K374">
        <v>-9.4</v>
      </c>
    </row>
    <row r="375" spans="1:11">
      <c r="A375" t="s">
        <v>1983</v>
      </c>
      <c r="B375" s="17">
        <v>43869</v>
      </c>
      <c r="C375">
        <v>2020</v>
      </c>
      <c r="D375" t="s">
        <v>146</v>
      </c>
      <c r="E375" t="s">
        <v>4756</v>
      </c>
      <c r="F375" t="s">
        <v>1604</v>
      </c>
      <c r="G375">
        <v>149</v>
      </c>
      <c r="H375">
        <v>26</v>
      </c>
      <c r="I375" t="s">
        <v>4748</v>
      </c>
      <c r="J375" t="s">
        <v>4760</v>
      </c>
      <c r="K375">
        <v>7.6</v>
      </c>
    </row>
    <row r="376" spans="1:11">
      <c r="A376" t="s">
        <v>1984</v>
      </c>
      <c r="B376" s="17">
        <v>43893</v>
      </c>
      <c r="C376">
        <v>2020</v>
      </c>
      <c r="D376" t="s">
        <v>304</v>
      </c>
      <c r="E376" t="s">
        <v>4749</v>
      </c>
      <c r="F376" t="s">
        <v>1611</v>
      </c>
      <c r="G376">
        <v>869</v>
      </c>
      <c r="H376">
        <v>31</v>
      </c>
      <c r="I376" t="s">
        <v>4748</v>
      </c>
      <c r="J376" t="s">
        <v>4760</v>
      </c>
      <c r="K376">
        <v>10.4</v>
      </c>
    </row>
    <row r="377" spans="1:11">
      <c r="A377" t="s">
        <v>1985</v>
      </c>
      <c r="B377" s="17">
        <v>43913</v>
      </c>
      <c r="C377">
        <v>2020</v>
      </c>
      <c r="D377" t="s">
        <v>1608</v>
      </c>
      <c r="E377" t="s">
        <v>4753</v>
      </c>
      <c r="F377" t="s">
        <v>1604</v>
      </c>
      <c r="G377">
        <v>679</v>
      </c>
      <c r="H377">
        <v>10</v>
      </c>
      <c r="I377" t="s">
        <v>4748</v>
      </c>
      <c r="J377" t="s">
        <v>4760</v>
      </c>
      <c r="K377">
        <v>9</v>
      </c>
    </row>
    <row r="378" spans="1:11">
      <c r="A378" t="s">
        <v>1986</v>
      </c>
      <c r="B378" s="17">
        <v>43926</v>
      </c>
      <c r="C378">
        <v>2020</v>
      </c>
      <c r="D378" t="s">
        <v>1703</v>
      </c>
      <c r="E378" t="s">
        <v>4753</v>
      </c>
      <c r="F378" t="s">
        <v>1611</v>
      </c>
      <c r="G378">
        <v>1761</v>
      </c>
      <c r="H378">
        <v>40</v>
      </c>
      <c r="I378" t="s">
        <v>4748</v>
      </c>
      <c r="J378" t="s">
        <v>4760</v>
      </c>
      <c r="K378">
        <v>7.6</v>
      </c>
    </row>
    <row r="379" spans="1:11">
      <c r="A379" t="s">
        <v>1987</v>
      </c>
      <c r="B379" s="17">
        <v>43927</v>
      </c>
      <c r="C379">
        <v>2020</v>
      </c>
      <c r="D379" t="s">
        <v>9</v>
      </c>
      <c r="E379" t="s">
        <v>4751</v>
      </c>
      <c r="F379" t="s">
        <v>1611</v>
      </c>
      <c r="G379">
        <v>1336</v>
      </c>
      <c r="H379">
        <v>40</v>
      </c>
      <c r="I379" t="s">
        <v>4750</v>
      </c>
      <c r="J379" t="s">
        <v>4761</v>
      </c>
      <c r="K379">
        <v>-4.0999999999999996</v>
      </c>
    </row>
    <row r="380" spans="1:11">
      <c r="A380" t="s">
        <v>1988</v>
      </c>
      <c r="B380" s="17">
        <v>43933</v>
      </c>
      <c r="C380">
        <v>2020</v>
      </c>
      <c r="D380" t="s">
        <v>53</v>
      </c>
      <c r="E380" t="s">
        <v>4757</v>
      </c>
      <c r="F380" t="s">
        <v>1604</v>
      </c>
      <c r="G380">
        <v>352</v>
      </c>
      <c r="H380">
        <v>10</v>
      </c>
      <c r="I380" t="s">
        <v>4752</v>
      </c>
      <c r="J380" t="s">
        <v>4762</v>
      </c>
      <c r="K380">
        <v>-1</v>
      </c>
    </row>
    <row r="381" spans="1:11">
      <c r="A381" t="s">
        <v>1989</v>
      </c>
      <c r="B381" s="17">
        <v>43968</v>
      </c>
      <c r="C381">
        <v>2020</v>
      </c>
      <c r="D381" t="s">
        <v>9</v>
      </c>
      <c r="E381" t="s">
        <v>4754</v>
      </c>
      <c r="F381" t="s">
        <v>1611</v>
      </c>
      <c r="G381">
        <v>454</v>
      </c>
      <c r="H381">
        <v>35</v>
      </c>
      <c r="I381" t="s">
        <v>4748</v>
      </c>
      <c r="J381" t="s">
        <v>4760</v>
      </c>
      <c r="K381">
        <v>6.5</v>
      </c>
    </row>
    <row r="382" spans="1:11">
      <c r="A382" t="s">
        <v>1990</v>
      </c>
      <c r="B382" s="17">
        <v>43976</v>
      </c>
      <c r="C382">
        <v>2020</v>
      </c>
      <c r="D382" t="s">
        <v>130</v>
      </c>
      <c r="E382" t="s">
        <v>4751</v>
      </c>
      <c r="F382" t="s">
        <v>1611</v>
      </c>
      <c r="G382">
        <v>719</v>
      </c>
      <c r="H382">
        <v>34</v>
      </c>
      <c r="I382" t="s">
        <v>4748</v>
      </c>
      <c r="J382" t="s">
        <v>4760</v>
      </c>
      <c r="K382">
        <v>9.1</v>
      </c>
    </row>
    <row r="383" spans="1:11">
      <c r="A383" t="s">
        <v>1991</v>
      </c>
      <c r="B383" s="17">
        <v>43984</v>
      </c>
      <c r="C383">
        <v>2020</v>
      </c>
      <c r="D383" t="s">
        <v>1608</v>
      </c>
      <c r="E383" t="s">
        <v>4757</v>
      </c>
      <c r="F383" t="s">
        <v>1604</v>
      </c>
      <c r="G383">
        <v>674</v>
      </c>
      <c r="H383">
        <v>25</v>
      </c>
      <c r="I383" t="s">
        <v>4748</v>
      </c>
      <c r="J383" t="s">
        <v>4760</v>
      </c>
      <c r="K383">
        <v>9.6</v>
      </c>
    </row>
    <row r="384" spans="1:11">
      <c r="A384" t="s">
        <v>1992</v>
      </c>
      <c r="B384" s="17">
        <v>43990</v>
      </c>
      <c r="C384">
        <v>2020</v>
      </c>
      <c r="D384" t="s">
        <v>1403</v>
      </c>
      <c r="E384" t="s">
        <v>4757</v>
      </c>
      <c r="F384" t="s">
        <v>1604</v>
      </c>
      <c r="G384">
        <v>249</v>
      </c>
      <c r="H384">
        <v>19</v>
      </c>
      <c r="I384" t="s">
        <v>4748</v>
      </c>
      <c r="J384" t="s">
        <v>4760</v>
      </c>
      <c r="K384">
        <v>12</v>
      </c>
    </row>
    <row r="385" spans="1:11">
      <c r="A385" t="s">
        <v>1993</v>
      </c>
      <c r="B385" s="17">
        <v>44008</v>
      </c>
      <c r="C385">
        <v>2020</v>
      </c>
      <c r="D385" t="s">
        <v>1608</v>
      </c>
      <c r="E385" t="s">
        <v>4754</v>
      </c>
      <c r="F385" t="s">
        <v>1611</v>
      </c>
      <c r="G385">
        <v>1183</v>
      </c>
      <c r="H385">
        <v>44</v>
      </c>
      <c r="I385" t="s">
        <v>4748</v>
      </c>
      <c r="J385" t="s">
        <v>4760</v>
      </c>
      <c r="K385">
        <v>5.6</v>
      </c>
    </row>
    <row r="386" spans="1:11">
      <c r="A386" t="s">
        <v>1994</v>
      </c>
      <c r="B386" s="17">
        <v>44019</v>
      </c>
      <c r="C386">
        <v>2020</v>
      </c>
      <c r="D386" t="s">
        <v>53</v>
      </c>
      <c r="E386" t="s">
        <v>4747</v>
      </c>
      <c r="F386" t="s">
        <v>1611</v>
      </c>
      <c r="G386">
        <v>2805</v>
      </c>
      <c r="H386">
        <v>38</v>
      </c>
      <c r="I386" t="s">
        <v>4752</v>
      </c>
      <c r="J386" t="s">
        <v>4762</v>
      </c>
      <c r="K386">
        <v>-13.2</v>
      </c>
    </row>
    <row r="387" spans="1:11">
      <c r="A387" t="s">
        <v>1995</v>
      </c>
      <c r="B387" s="17">
        <v>44020</v>
      </c>
      <c r="C387">
        <v>2020</v>
      </c>
      <c r="D387" t="s">
        <v>1676</v>
      </c>
      <c r="E387" t="s">
        <v>4747</v>
      </c>
      <c r="F387" t="s">
        <v>1611</v>
      </c>
      <c r="G387">
        <v>1091</v>
      </c>
      <c r="H387">
        <v>33</v>
      </c>
      <c r="I387" t="s">
        <v>4752</v>
      </c>
      <c r="J387" t="s">
        <v>4762</v>
      </c>
      <c r="K387">
        <v>-24.2</v>
      </c>
    </row>
    <row r="388" spans="1:11">
      <c r="A388" t="s">
        <v>1996</v>
      </c>
      <c r="B388" s="17">
        <v>44022</v>
      </c>
      <c r="C388">
        <v>2020</v>
      </c>
      <c r="D388" t="s">
        <v>1640</v>
      </c>
      <c r="E388" t="s">
        <v>4751</v>
      </c>
      <c r="F388" t="s">
        <v>1611</v>
      </c>
      <c r="G388">
        <v>489</v>
      </c>
      <c r="H388">
        <v>34</v>
      </c>
      <c r="I388" t="s">
        <v>4752</v>
      </c>
      <c r="J388" t="s">
        <v>4762</v>
      </c>
      <c r="K388">
        <v>-13.5</v>
      </c>
    </row>
    <row r="389" spans="1:11">
      <c r="A389" t="s">
        <v>1997</v>
      </c>
      <c r="B389" s="17">
        <v>44049</v>
      </c>
      <c r="C389">
        <v>2020</v>
      </c>
      <c r="D389" t="s">
        <v>23</v>
      </c>
      <c r="E389" t="s">
        <v>4756</v>
      </c>
      <c r="F389" t="s">
        <v>1611</v>
      </c>
      <c r="G389">
        <v>866</v>
      </c>
      <c r="H389">
        <v>39</v>
      </c>
      <c r="I389" t="s">
        <v>4748</v>
      </c>
      <c r="J389" t="s">
        <v>4760</v>
      </c>
      <c r="K389">
        <v>13.8</v>
      </c>
    </row>
    <row r="390" spans="1:11">
      <c r="A390" t="s">
        <v>1998</v>
      </c>
      <c r="B390" s="17">
        <v>44075</v>
      </c>
      <c r="C390">
        <v>2020</v>
      </c>
      <c r="D390" t="s">
        <v>215</v>
      </c>
      <c r="E390" t="s">
        <v>4751</v>
      </c>
      <c r="F390" t="s">
        <v>1604</v>
      </c>
      <c r="G390">
        <v>94</v>
      </c>
      <c r="H390">
        <v>6</v>
      </c>
      <c r="I390" t="s">
        <v>4748</v>
      </c>
      <c r="J390" t="s">
        <v>4760</v>
      </c>
      <c r="K390">
        <v>12.6</v>
      </c>
    </row>
    <row r="391" spans="1:11">
      <c r="A391" t="s">
        <v>1999</v>
      </c>
      <c r="B391" s="17">
        <v>44078</v>
      </c>
      <c r="C391">
        <v>2020</v>
      </c>
      <c r="D391" t="s">
        <v>125</v>
      </c>
      <c r="E391" t="s">
        <v>4749</v>
      </c>
      <c r="F391" t="s">
        <v>1604</v>
      </c>
      <c r="G391">
        <v>463</v>
      </c>
      <c r="H391">
        <v>17</v>
      </c>
      <c r="I391" t="s">
        <v>4750</v>
      </c>
      <c r="J391" t="s">
        <v>4761</v>
      </c>
      <c r="K391">
        <v>-2.7</v>
      </c>
    </row>
    <row r="392" spans="1:11">
      <c r="A392" t="s">
        <v>2000</v>
      </c>
      <c r="B392" s="17">
        <v>44085</v>
      </c>
      <c r="C392">
        <v>2020</v>
      </c>
      <c r="D392" t="s">
        <v>9</v>
      </c>
      <c r="E392" t="s">
        <v>4753</v>
      </c>
      <c r="F392" t="s">
        <v>1611</v>
      </c>
      <c r="G392">
        <v>690</v>
      </c>
      <c r="H392">
        <v>33</v>
      </c>
      <c r="I392" t="s">
        <v>4748</v>
      </c>
      <c r="J392" t="s">
        <v>4760</v>
      </c>
      <c r="K392">
        <v>15.4</v>
      </c>
    </row>
    <row r="393" spans="1:11">
      <c r="A393" t="s">
        <v>2001</v>
      </c>
      <c r="B393" s="17">
        <v>44106</v>
      </c>
      <c r="C393">
        <v>2020</v>
      </c>
      <c r="D393" t="s">
        <v>38</v>
      </c>
      <c r="E393" t="s">
        <v>4751</v>
      </c>
      <c r="F393" t="s">
        <v>1611</v>
      </c>
      <c r="G393">
        <v>1508</v>
      </c>
      <c r="H393">
        <v>36</v>
      </c>
      <c r="I393" t="s">
        <v>4752</v>
      </c>
      <c r="J393" t="s">
        <v>4762</v>
      </c>
      <c r="K393">
        <v>-15.5</v>
      </c>
    </row>
    <row r="394" spans="1:11">
      <c r="A394" t="s">
        <v>2002</v>
      </c>
      <c r="B394" s="17">
        <v>44110</v>
      </c>
      <c r="C394">
        <v>2020</v>
      </c>
      <c r="D394" t="s">
        <v>304</v>
      </c>
      <c r="E394" t="s">
        <v>4751</v>
      </c>
      <c r="F394" t="s">
        <v>1604</v>
      </c>
      <c r="G394">
        <v>210</v>
      </c>
      <c r="H394">
        <v>23</v>
      </c>
      <c r="I394" t="s">
        <v>4748</v>
      </c>
      <c r="J394" t="s">
        <v>4760</v>
      </c>
      <c r="K394">
        <v>9.1999999999999993</v>
      </c>
    </row>
    <row r="395" spans="1:11">
      <c r="A395" t="s">
        <v>2003</v>
      </c>
      <c r="B395" s="17">
        <v>44197</v>
      </c>
      <c r="C395">
        <v>2021</v>
      </c>
      <c r="D395" t="s">
        <v>1640</v>
      </c>
      <c r="E395" t="s">
        <v>4754</v>
      </c>
      <c r="F395" t="s">
        <v>1611</v>
      </c>
      <c r="G395">
        <v>903</v>
      </c>
      <c r="H395">
        <v>38</v>
      </c>
      <c r="I395" t="s">
        <v>4748</v>
      </c>
      <c r="J395" t="s">
        <v>4760</v>
      </c>
      <c r="K395">
        <v>-5.5</v>
      </c>
    </row>
    <row r="396" spans="1:11">
      <c r="A396" t="s">
        <v>2004</v>
      </c>
      <c r="B396" s="17">
        <v>44197</v>
      </c>
      <c r="C396">
        <v>2021</v>
      </c>
      <c r="D396" t="s">
        <v>376</v>
      </c>
      <c r="E396" t="s">
        <v>4754</v>
      </c>
      <c r="F396" t="s">
        <v>1611</v>
      </c>
      <c r="G396">
        <v>2552</v>
      </c>
      <c r="H396">
        <v>38</v>
      </c>
      <c r="I396" t="s">
        <v>4748</v>
      </c>
      <c r="J396" t="s">
        <v>4760</v>
      </c>
      <c r="K396">
        <v>-2.7</v>
      </c>
    </row>
    <row r="397" spans="1:11">
      <c r="A397" t="s">
        <v>2005</v>
      </c>
      <c r="B397" s="17">
        <v>44201</v>
      </c>
      <c r="C397">
        <v>2021</v>
      </c>
      <c r="D397" t="s">
        <v>23</v>
      </c>
      <c r="E397" t="s">
        <v>4747</v>
      </c>
      <c r="F397" t="s">
        <v>1611</v>
      </c>
      <c r="G397">
        <v>1410</v>
      </c>
      <c r="H397">
        <v>25</v>
      </c>
      <c r="I397" t="s">
        <v>4750</v>
      </c>
      <c r="J397" t="s">
        <v>4761</v>
      </c>
      <c r="K397">
        <v>-10.5</v>
      </c>
    </row>
    <row r="398" spans="1:11">
      <c r="A398" t="s">
        <v>2006</v>
      </c>
      <c r="B398" s="17">
        <v>44207</v>
      </c>
      <c r="C398">
        <v>2021</v>
      </c>
      <c r="D398" t="s">
        <v>1676</v>
      </c>
      <c r="E398" t="s">
        <v>4754</v>
      </c>
      <c r="F398" t="s">
        <v>1611</v>
      </c>
      <c r="G398">
        <v>2044</v>
      </c>
      <c r="H398">
        <v>43</v>
      </c>
      <c r="I398" t="s">
        <v>4752</v>
      </c>
      <c r="J398" t="s">
        <v>4762</v>
      </c>
      <c r="K398">
        <v>-14.8</v>
      </c>
    </row>
    <row r="399" spans="1:11">
      <c r="A399" t="s">
        <v>2007</v>
      </c>
      <c r="B399" s="17">
        <v>44220</v>
      </c>
      <c r="C399">
        <v>2021</v>
      </c>
      <c r="D399" t="s">
        <v>1610</v>
      </c>
      <c r="E399" t="s">
        <v>4757</v>
      </c>
      <c r="F399" t="s">
        <v>1611</v>
      </c>
      <c r="G399">
        <v>1588</v>
      </c>
      <c r="H399">
        <v>29</v>
      </c>
      <c r="I399" t="s">
        <v>4750</v>
      </c>
      <c r="J399" t="s">
        <v>4761</v>
      </c>
      <c r="K399">
        <v>-9.9</v>
      </c>
    </row>
    <row r="400" spans="1:11">
      <c r="A400" t="s">
        <v>2008</v>
      </c>
      <c r="B400" s="17">
        <v>44235</v>
      </c>
      <c r="C400">
        <v>2021</v>
      </c>
      <c r="D400" t="s">
        <v>1608</v>
      </c>
      <c r="E400" t="s">
        <v>4753</v>
      </c>
      <c r="F400" t="s">
        <v>1611</v>
      </c>
      <c r="G400">
        <v>499</v>
      </c>
      <c r="H400">
        <v>32</v>
      </c>
      <c r="I400" t="s">
        <v>4748</v>
      </c>
      <c r="J400" t="s">
        <v>4760</v>
      </c>
      <c r="K400">
        <v>9.1999999999999993</v>
      </c>
    </row>
    <row r="401" spans="1:11">
      <c r="A401" t="s">
        <v>2009</v>
      </c>
      <c r="B401" s="17">
        <v>44250</v>
      </c>
      <c r="C401">
        <v>2021</v>
      </c>
      <c r="D401" t="s">
        <v>1403</v>
      </c>
      <c r="E401" t="s">
        <v>4759</v>
      </c>
      <c r="F401" t="s">
        <v>1604</v>
      </c>
      <c r="G401">
        <v>168</v>
      </c>
      <c r="H401">
        <v>16</v>
      </c>
      <c r="I401" t="s">
        <v>4752</v>
      </c>
      <c r="J401" t="s">
        <v>4762</v>
      </c>
      <c r="K401">
        <v>1.6</v>
      </c>
    </row>
    <row r="402" spans="1:11">
      <c r="A402" t="s">
        <v>2010</v>
      </c>
      <c r="B402" s="17">
        <v>44251</v>
      </c>
      <c r="C402">
        <v>2021</v>
      </c>
      <c r="D402" t="s">
        <v>1610</v>
      </c>
      <c r="E402" t="s">
        <v>4747</v>
      </c>
      <c r="F402" t="s">
        <v>1604</v>
      </c>
      <c r="G402">
        <v>344</v>
      </c>
      <c r="H402">
        <v>7</v>
      </c>
      <c r="I402" t="s">
        <v>4752</v>
      </c>
      <c r="J402" t="s">
        <v>4762</v>
      </c>
      <c r="K402">
        <v>-32.799999999999997</v>
      </c>
    </row>
    <row r="403" spans="1:11">
      <c r="A403" t="s">
        <v>2011</v>
      </c>
      <c r="B403" s="17">
        <v>44259</v>
      </c>
      <c r="C403">
        <v>2021</v>
      </c>
      <c r="D403" t="s">
        <v>304</v>
      </c>
      <c r="E403" t="s">
        <v>4747</v>
      </c>
      <c r="F403" t="s">
        <v>1611</v>
      </c>
      <c r="G403">
        <v>2729</v>
      </c>
      <c r="H403">
        <v>42</v>
      </c>
      <c r="I403" t="s">
        <v>4752</v>
      </c>
      <c r="J403" t="s">
        <v>4762</v>
      </c>
      <c r="K403">
        <v>-30.7</v>
      </c>
    </row>
    <row r="404" spans="1:11">
      <c r="A404" t="s">
        <v>2012</v>
      </c>
      <c r="B404" s="17">
        <v>44270</v>
      </c>
      <c r="C404">
        <v>2021</v>
      </c>
      <c r="D404" t="s">
        <v>38</v>
      </c>
      <c r="E404" t="s">
        <v>4751</v>
      </c>
      <c r="F404" t="s">
        <v>1611</v>
      </c>
      <c r="G404">
        <v>565</v>
      </c>
      <c r="H404">
        <v>46</v>
      </c>
      <c r="I404" t="s">
        <v>4752</v>
      </c>
      <c r="J404" t="s">
        <v>4762</v>
      </c>
      <c r="K404">
        <v>-3.4</v>
      </c>
    </row>
    <row r="405" spans="1:11">
      <c r="A405" t="s">
        <v>2013</v>
      </c>
      <c r="B405" s="17">
        <v>44275</v>
      </c>
      <c r="C405">
        <v>2021</v>
      </c>
      <c r="D405" t="s">
        <v>38</v>
      </c>
      <c r="E405" t="s">
        <v>4754</v>
      </c>
      <c r="F405" t="s">
        <v>1611</v>
      </c>
      <c r="G405">
        <v>529</v>
      </c>
      <c r="H405">
        <v>36</v>
      </c>
      <c r="I405" t="s">
        <v>4748</v>
      </c>
      <c r="J405" t="s">
        <v>4760</v>
      </c>
      <c r="K405">
        <v>1.1000000000000001</v>
      </c>
    </row>
    <row r="406" spans="1:11">
      <c r="A406" t="s">
        <v>2014</v>
      </c>
      <c r="B406" s="17">
        <v>44280</v>
      </c>
      <c r="C406">
        <v>2021</v>
      </c>
      <c r="D406" t="s">
        <v>31</v>
      </c>
      <c r="E406" t="s">
        <v>4749</v>
      </c>
      <c r="F406" t="s">
        <v>1611</v>
      </c>
      <c r="G406">
        <v>772</v>
      </c>
      <c r="H406">
        <v>24</v>
      </c>
      <c r="I406" t="s">
        <v>4752</v>
      </c>
      <c r="J406" t="s">
        <v>4762</v>
      </c>
      <c r="K406">
        <v>2.2999999999999998</v>
      </c>
    </row>
    <row r="407" spans="1:11">
      <c r="A407" t="s">
        <v>2015</v>
      </c>
      <c r="B407" s="17">
        <v>44297</v>
      </c>
      <c r="C407">
        <v>2021</v>
      </c>
      <c r="D407" t="s">
        <v>1676</v>
      </c>
      <c r="E407" t="s">
        <v>4751</v>
      </c>
      <c r="F407" t="s">
        <v>1604</v>
      </c>
      <c r="G407">
        <v>232</v>
      </c>
      <c r="H407">
        <v>26</v>
      </c>
      <c r="I407" t="s">
        <v>4750</v>
      </c>
      <c r="J407" t="s">
        <v>4761</v>
      </c>
      <c r="K407">
        <v>-4.0999999999999996</v>
      </c>
    </row>
    <row r="408" spans="1:11">
      <c r="A408" t="s">
        <v>2016</v>
      </c>
      <c r="B408" s="17">
        <v>44299</v>
      </c>
      <c r="C408">
        <v>2021</v>
      </c>
      <c r="D408" t="s">
        <v>42</v>
      </c>
      <c r="E408" t="s">
        <v>4749</v>
      </c>
      <c r="F408" t="s">
        <v>1604</v>
      </c>
      <c r="G408">
        <v>182</v>
      </c>
      <c r="H408">
        <v>26</v>
      </c>
      <c r="I408" t="s">
        <v>4748</v>
      </c>
      <c r="J408" t="s">
        <v>4760</v>
      </c>
      <c r="K408">
        <v>14.2</v>
      </c>
    </row>
    <row r="409" spans="1:11">
      <c r="A409" t="s">
        <v>2017</v>
      </c>
      <c r="B409" s="17">
        <v>44303</v>
      </c>
      <c r="C409">
        <v>2021</v>
      </c>
      <c r="D409" t="s">
        <v>1603</v>
      </c>
      <c r="E409" t="s">
        <v>4754</v>
      </c>
      <c r="F409" t="s">
        <v>1604</v>
      </c>
      <c r="G409">
        <v>187</v>
      </c>
      <c r="H409">
        <v>9</v>
      </c>
      <c r="I409" t="s">
        <v>4748</v>
      </c>
      <c r="J409" t="s">
        <v>4760</v>
      </c>
      <c r="K409">
        <v>5.6</v>
      </c>
    </row>
    <row r="410" spans="1:11">
      <c r="A410" t="s">
        <v>2018</v>
      </c>
      <c r="B410" s="17">
        <v>44307</v>
      </c>
      <c r="C410">
        <v>2021</v>
      </c>
      <c r="D410" t="s">
        <v>1640</v>
      </c>
      <c r="E410" t="s">
        <v>4749</v>
      </c>
      <c r="F410" t="s">
        <v>1611</v>
      </c>
      <c r="G410">
        <v>1528</v>
      </c>
      <c r="H410">
        <v>38</v>
      </c>
      <c r="I410" t="s">
        <v>4750</v>
      </c>
      <c r="J410" t="s">
        <v>4761</v>
      </c>
      <c r="K410">
        <v>-5.2</v>
      </c>
    </row>
    <row r="411" spans="1:11">
      <c r="A411" t="s">
        <v>2019</v>
      </c>
      <c r="B411" s="17">
        <v>44319</v>
      </c>
      <c r="C411">
        <v>2021</v>
      </c>
      <c r="D411" t="s">
        <v>1640</v>
      </c>
      <c r="E411" t="s">
        <v>4757</v>
      </c>
      <c r="F411" t="s">
        <v>1611</v>
      </c>
      <c r="G411">
        <v>1255</v>
      </c>
      <c r="H411">
        <v>37</v>
      </c>
      <c r="I411" t="s">
        <v>4752</v>
      </c>
      <c r="J411" t="s">
        <v>4762</v>
      </c>
      <c r="K411">
        <v>-21.5</v>
      </c>
    </row>
    <row r="412" spans="1:11">
      <c r="A412" t="s">
        <v>2020</v>
      </c>
      <c r="B412" s="17">
        <v>44327</v>
      </c>
      <c r="C412">
        <v>2021</v>
      </c>
      <c r="D412" t="s">
        <v>9</v>
      </c>
      <c r="E412" t="s">
        <v>4751</v>
      </c>
      <c r="F412" t="s">
        <v>1611</v>
      </c>
      <c r="G412">
        <v>2710</v>
      </c>
      <c r="H412">
        <v>42</v>
      </c>
      <c r="I412" t="s">
        <v>4752</v>
      </c>
      <c r="J412" t="s">
        <v>4762</v>
      </c>
      <c r="K412">
        <v>-14.2</v>
      </c>
    </row>
    <row r="413" spans="1:11">
      <c r="A413" t="s">
        <v>2021</v>
      </c>
      <c r="B413" s="17">
        <v>44342</v>
      </c>
      <c r="C413">
        <v>2021</v>
      </c>
      <c r="D413" t="s">
        <v>376</v>
      </c>
      <c r="E413" t="s">
        <v>4751</v>
      </c>
      <c r="F413" t="s">
        <v>1611</v>
      </c>
      <c r="G413">
        <v>1127</v>
      </c>
      <c r="H413">
        <v>42</v>
      </c>
      <c r="I413" t="s">
        <v>4752</v>
      </c>
      <c r="J413" t="s">
        <v>4762</v>
      </c>
      <c r="K413">
        <v>-0.8</v>
      </c>
    </row>
    <row r="414" spans="1:11">
      <c r="A414" t="s">
        <v>2022</v>
      </c>
      <c r="B414" s="17">
        <v>44348</v>
      </c>
      <c r="C414">
        <v>2021</v>
      </c>
      <c r="D414" t="s">
        <v>304</v>
      </c>
      <c r="E414" t="s">
        <v>4751</v>
      </c>
      <c r="F414" t="s">
        <v>1611</v>
      </c>
      <c r="G414">
        <v>889</v>
      </c>
      <c r="H414">
        <v>40</v>
      </c>
      <c r="I414" t="s">
        <v>4752</v>
      </c>
      <c r="J414" t="s">
        <v>4762</v>
      </c>
      <c r="K414">
        <v>-10.4</v>
      </c>
    </row>
    <row r="415" spans="1:11">
      <c r="A415" t="s">
        <v>2023</v>
      </c>
      <c r="B415" s="17">
        <v>44374</v>
      </c>
      <c r="C415">
        <v>2021</v>
      </c>
      <c r="D415" t="s">
        <v>42</v>
      </c>
      <c r="E415" t="s">
        <v>4754</v>
      </c>
      <c r="F415" t="s">
        <v>1604</v>
      </c>
      <c r="G415">
        <v>467</v>
      </c>
      <c r="H415">
        <v>24</v>
      </c>
      <c r="I415" t="s">
        <v>4752</v>
      </c>
      <c r="J415" t="s">
        <v>4762</v>
      </c>
      <c r="K415">
        <v>-7</v>
      </c>
    </row>
    <row r="416" spans="1:11">
      <c r="A416" t="s">
        <v>2024</v>
      </c>
      <c r="B416" s="17">
        <v>44378</v>
      </c>
      <c r="C416">
        <v>2021</v>
      </c>
      <c r="D416" t="s">
        <v>1603</v>
      </c>
      <c r="E416" t="s">
        <v>4757</v>
      </c>
      <c r="F416" t="s">
        <v>1604</v>
      </c>
      <c r="G416">
        <v>376</v>
      </c>
      <c r="H416">
        <v>15</v>
      </c>
      <c r="I416" t="s">
        <v>4750</v>
      </c>
      <c r="J416" t="s">
        <v>4761</v>
      </c>
      <c r="K416">
        <v>-5.8</v>
      </c>
    </row>
    <row r="417" spans="1:11">
      <c r="A417" t="s">
        <v>2025</v>
      </c>
      <c r="B417" s="17">
        <v>44386</v>
      </c>
      <c r="C417">
        <v>2021</v>
      </c>
      <c r="D417" t="s">
        <v>215</v>
      </c>
      <c r="E417" t="s">
        <v>4751</v>
      </c>
      <c r="F417" t="s">
        <v>1604</v>
      </c>
      <c r="G417">
        <v>367</v>
      </c>
      <c r="H417">
        <v>21</v>
      </c>
      <c r="I417" t="s">
        <v>4752</v>
      </c>
      <c r="J417" t="s">
        <v>4762</v>
      </c>
      <c r="K417">
        <v>-19.5</v>
      </c>
    </row>
    <row r="418" spans="1:11">
      <c r="A418" t="s">
        <v>2026</v>
      </c>
      <c r="B418" s="17">
        <v>44390</v>
      </c>
      <c r="C418">
        <v>2021</v>
      </c>
      <c r="D418" t="s">
        <v>53</v>
      </c>
      <c r="E418" t="s">
        <v>4751</v>
      </c>
      <c r="F418" t="s">
        <v>1604</v>
      </c>
      <c r="G418">
        <v>66</v>
      </c>
      <c r="H418">
        <v>16</v>
      </c>
      <c r="I418" t="s">
        <v>4750</v>
      </c>
      <c r="J418" t="s">
        <v>4761</v>
      </c>
      <c r="K418">
        <v>-0.6</v>
      </c>
    </row>
    <row r="419" spans="1:11">
      <c r="A419" t="s">
        <v>2027</v>
      </c>
      <c r="B419" s="17">
        <v>44411</v>
      </c>
      <c r="C419">
        <v>2021</v>
      </c>
      <c r="D419" t="s">
        <v>1610</v>
      </c>
      <c r="E419" t="s">
        <v>4751</v>
      </c>
      <c r="F419" t="s">
        <v>1604</v>
      </c>
      <c r="G419">
        <v>248</v>
      </c>
      <c r="H419">
        <v>12</v>
      </c>
      <c r="I419" t="s">
        <v>4752</v>
      </c>
      <c r="J419" t="s">
        <v>4762</v>
      </c>
      <c r="K419">
        <v>-13.8</v>
      </c>
    </row>
    <row r="420" spans="1:11">
      <c r="A420" t="s">
        <v>2028</v>
      </c>
      <c r="B420" s="17">
        <v>44421</v>
      </c>
      <c r="C420">
        <v>2021</v>
      </c>
      <c r="D420" t="s">
        <v>1603</v>
      </c>
      <c r="E420" t="s">
        <v>4751</v>
      </c>
      <c r="F420" t="s">
        <v>1604</v>
      </c>
      <c r="G420">
        <v>241</v>
      </c>
      <c r="H420">
        <v>19</v>
      </c>
      <c r="I420" t="s">
        <v>4748</v>
      </c>
      <c r="J420" t="s">
        <v>4760</v>
      </c>
      <c r="K420">
        <v>11.3</v>
      </c>
    </row>
    <row r="421" spans="1:11">
      <c r="A421" t="s">
        <v>2029</v>
      </c>
      <c r="B421" s="17">
        <v>44428</v>
      </c>
      <c r="C421">
        <v>2021</v>
      </c>
      <c r="D421" t="s">
        <v>38</v>
      </c>
      <c r="E421" t="s">
        <v>4749</v>
      </c>
      <c r="F421" t="s">
        <v>1604</v>
      </c>
      <c r="G421">
        <v>589</v>
      </c>
      <c r="H421">
        <v>15</v>
      </c>
      <c r="I421" t="s">
        <v>4750</v>
      </c>
      <c r="J421" t="s">
        <v>4761</v>
      </c>
      <c r="K421">
        <v>-0.9</v>
      </c>
    </row>
    <row r="422" spans="1:11">
      <c r="A422" t="s">
        <v>2030</v>
      </c>
      <c r="B422" s="17">
        <v>44435</v>
      </c>
      <c r="C422">
        <v>2021</v>
      </c>
      <c r="D422" t="s">
        <v>38</v>
      </c>
      <c r="E422" t="s">
        <v>4751</v>
      </c>
      <c r="F422" t="s">
        <v>1604</v>
      </c>
      <c r="G422">
        <v>112</v>
      </c>
      <c r="H422">
        <v>21</v>
      </c>
      <c r="I422" t="s">
        <v>4748</v>
      </c>
      <c r="J422" t="s">
        <v>4760</v>
      </c>
      <c r="K422">
        <v>2.4</v>
      </c>
    </row>
    <row r="423" spans="1:11">
      <c r="A423" t="s">
        <v>2031</v>
      </c>
      <c r="B423" s="17">
        <v>44448</v>
      </c>
      <c r="C423">
        <v>2021</v>
      </c>
      <c r="D423" t="s">
        <v>17</v>
      </c>
      <c r="E423" t="s">
        <v>4754</v>
      </c>
      <c r="F423" t="s">
        <v>1604</v>
      </c>
      <c r="G423">
        <v>320</v>
      </c>
      <c r="H423">
        <v>18</v>
      </c>
      <c r="I423" t="s">
        <v>4748</v>
      </c>
      <c r="J423" t="s">
        <v>4760</v>
      </c>
      <c r="K423">
        <v>8.1</v>
      </c>
    </row>
    <row r="424" spans="1:11">
      <c r="A424" t="s">
        <v>2032</v>
      </c>
      <c r="B424" s="17">
        <v>44453</v>
      </c>
      <c r="C424">
        <v>2021</v>
      </c>
      <c r="D424" t="s">
        <v>125</v>
      </c>
      <c r="E424" t="s">
        <v>4755</v>
      </c>
      <c r="F424" t="s">
        <v>1604</v>
      </c>
      <c r="G424">
        <v>135</v>
      </c>
      <c r="H424">
        <v>16</v>
      </c>
      <c r="I424" t="s">
        <v>4748</v>
      </c>
      <c r="J424" t="s">
        <v>4760</v>
      </c>
      <c r="K424">
        <v>5.0999999999999996</v>
      </c>
    </row>
    <row r="425" spans="1:11">
      <c r="A425" t="s">
        <v>2033</v>
      </c>
      <c r="B425" s="17">
        <v>44465</v>
      </c>
      <c r="C425">
        <v>2021</v>
      </c>
      <c r="D425" t="s">
        <v>1703</v>
      </c>
      <c r="E425" t="s">
        <v>4754</v>
      </c>
      <c r="F425" t="s">
        <v>1604</v>
      </c>
      <c r="G425">
        <v>394</v>
      </c>
      <c r="H425">
        <v>22</v>
      </c>
      <c r="I425" t="s">
        <v>4748</v>
      </c>
      <c r="J425" t="s">
        <v>4760</v>
      </c>
      <c r="K425">
        <v>6.4</v>
      </c>
    </row>
    <row r="426" spans="1:11">
      <c r="A426" t="s">
        <v>2034</v>
      </c>
      <c r="B426" s="17">
        <v>44487</v>
      </c>
      <c r="C426">
        <v>2021</v>
      </c>
      <c r="D426" t="s">
        <v>1608</v>
      </c>
      <c r="E426" t="s">
        <v>4751</v>
      </c>
      <c r="F426" t="s">
        <v>1611</v>
      </c>
      <c r="G426">
        <v>1252</v>
      </c>
      <c r="H426">
        <v>36</v>
      </c>
      <c r="I426" t="s">
        <v>4748</v>
      </c>
      <c r="J426" t="s">
        <v>4760</v>
      </c>
      <c r="K426">
        <v>1.2</v>
      </c>
    </row>
    <row r="427" spans="1:11">
      <c r="A427" t="s">
        <v>2035</v>
      </c>
      <c r="B427" s="17">
        <v>44493</v>
      </c>
      <c r="C427">
        <v>2021</v>
      </c>
      <c r="D427" t="s">
        <v>1610</v>
      </c>
      <c r="E427" t="s">
        <v>4759</v>
      </c>
      <c r="F427" t="s">
        <v>1604</v>
      </c>
      <c r="G427">
        <v>167</v>
      </c>
      <c r="H427">
        <v>13</v>
      </c>
      <c r="I427" t="s">
        <v>4748</v>
      </c>
      <c r="J427" t="s">
        <v>4760</v>
      </c>
      <c r="K427">
        <v>-3.2</v>
      </c>
    </row>
    <row r="428" spans="1:11">
      <c r="A428" t="s">
        <v>2036</v>
      </c>
      <c r="B428" s="17">
        <v>44501</v>
      </c>
      <c r="C428">
        <v>2021</v>
      </c>
      <c r="D428" t="s">
        <v>1603</v>
      </c>
      <c r="E428" t="s">
        <v>4755</v>
      </c>
      <c r="F428" t="s">
        <v>1604</v>
      </c>
      <c r="G428">
        <v>190</v>
      </c>
      <c r="H428">
        <v>15</v>
      </c>
      <c r="I428" t="s">
        <v>4752</v>
      </c>
      <c r="J428" t="s">
        <v>4762</v>
      </c>
      <c r="K428">
        <v>-20</v>
      </c>
    </row>
    <row r="429" spans="1:11">
      <c r="A429" t="s">
        <v>2037</v>
      </c>
      <c r="B429" s="17">
        <v>44502</v>
      </c>
      <c r="C429">
        <v>2021</v>
      </c>
      <c r="D429" t="s">
        <v>215</v>
      </c>
      <c r="E429" t="s">
        <v>4751</v>
      </c>
      <c r="F429" t="s">
        <v>1604</v>
      </c>
      <c r="G429">
        <v>244</v>
      </c>
      <c r="H429">
        <v>15</v>
      </c>
      <c r="I429" t="s">
        <v>4752</v>
      </c>
      <c r="J429" t="s">
        <v>4762</v>
      </c>
      <c r="K429">
        <v>-20.100000000000001</v>
      </c>
    </row>
    <row r="430" spans="1:11">
      <c r="A430" t="s">
        <v>2038</v>
      </c>
      <c r="B430" s="17">
        <v>44504</v>
      </c>
      <c r="C430">
        <v>2021</v>
      </c>
      <c r="D430" t="s">
        <v>38</v>
      </c>
      <c r="E430" t="s">
        <v>4753</v>
      </c>
      <c r="F430" t="s">
        <v>1604</v>
      </c>
      <c r="G430">
        <v>149</v>
      </c>
      <c r="H430">
        <v>10</v>
      </c>
      <c r="I430" t="s">
        <v>4748</v>
      </c>
      <c r="J430" t="s">
        <v>4760</v>
      </c>
      <c r="K430">
        <v>9.5</v>
      </c>
    </row>
    <row r="431" spans="1:11">
      <c r="A431" t="s">
        <v>2039</v>
      </c>
      <c r="B431" s="17">
        <v>44506</v>
      </c>
      <c r="C431">
        <v>2021</v>
      </c>
      <c r="D431" t="s">
        <v>17</v>
      </c>
      <c r="E431" t="s">
        <v>4754</v>
      </c>
      <c r="F431" t="s">
        <v>1611</v>
      </c>
      <c r="G431">
        <v>1187</v>
      </c>
      <c r="H431">
        <v>33</v>
      </c>
      <c r="I431" t="s">
        <v>4748</v>
      </c>
      <c r="J431" t="s">
        <v>4760</v>
      </c>
      <c r="K431">
        <v>-0.3</v>
      </c>
    </row>
    <row r="432" spans="1:11">
      <c r="A432" t="s">
        <v>2040</v>
      </c>
      <c r="B432" s="17">
        <v>44517</v>
      </c>
      <c r="C432">
        <v>2021</v>
      </c>
      <c r="D432" t="s">
        <v>125</v>
      </c>
      <c r="E432" t="s">
        <v>4751</v>
      </c>
      <c r="F432" t="s">
        <v>1604</v>
      </c>
      <c r="G432">
        <v>405</v>
      </c>
      <c r="H432">
        <v>24</v>
      </c>
      <c r="I432" t="s">
        <v>4748</v>
      </c>
      <c r="J432" t="s">
        <v>4760</v>
      </c>
      <c r="K432">
        <v>5.5</v>
      </c>
    </row>
    <row r="433" spans="1:11">
      <c r="A433" t="s">
        <v>2041</v>
      </c>
      <c r="B433" s="17">
        <v>44536</v>
      </c>
      <c r="C433">
        <v>2021</v>
      </c>
      <c r="D433" t="s">
        <v>1676</v>
      </c>
      <c r="E433" t="s">
        <v>4759</v>
      </c>
      <c r="F433" t="s">
        <v>1604</v>
      </c>
      <c r="G433">
        <v>301</v>
      </c>
      <c r="H433">
        <v>16</v>
      </c>
      <c r="I433" t="s">
        <v>4748</v>
      </c>
      <c r="J433" t="s">
        <v>4760</v>
      </c>
      <c r="K433">
        <v>11.7</v>
      </c>
    </row>
    <row r="434" spans="1:11">
      <c r="A434" t="s">
        <v>2042</v>
      </c>
      <c r="B434" s="17">
        <v>44593</v>
      </c>
      <c r="C434">
        <v>2022</v>
      </c>
      <c r="D434" t="s">
        <v>1403</v>
      </c>
      <c r="E434" t="s">
        <v>4757</v>
      </c>
      <c r="F434" t="s">
        <v>1611</v>
      </c>
      <c r="G434">
        <v>317</v>
      </c>
      <c r="H434">
        <v>42</v>
      </c>
      <c r="I434" t="s">
        <v>4748</v>
      </c>
      <c r="J434" t="s">
        <v>4760</v>
      </c>
      <c r="K434">
        <v>-0.4</v>
      </c>
    </row>
    <row r="435" spans="1:11">
      <c r="A435" t="s">
        <v>2043</v>
      </c>
      <c r="B435" s="17">
        <v>44599</v>
      </c>
      <c r="C435">
        <v>2022</v>
      </c>
      <c r="D435" t="s">
        <v>17</v>
      </c>
      <c r="E435" t="s">
        <v>4757</v>
      </c>
      <c r="F435" t="s">
        <v>1611</v>
      </c>
      <c r="G435">
        <v>775</v>
      </c>
      <c r="H435">
        <v>34</v>
      </c>
      <c r="I435" t="s">
        <v>4750</v>
      </c>
      <c r="J435" t="s">
        <v>4761</v>
      </c>
      <c r="K435">
        <v>4</v>
      </c>
    </row>
    <row r="436" spans="1:11">
      <c r="A436" t="s">
        <v>2044</v>
      </c>
      <c r="B436" s="17">
        <v>44600</v>
      </c>
      <c r="C436">
        <v>2022</v>
      </c>
      <c r="D436" t="s">
        <v>1603</v>
      </c>
      <c r="E436" t="s">
        <v>4751</v>
      </c>
      <c r="F436" t="s">
        <v>1611</v>
      </c>
      <c r="G436">
        <v>1919</v>
      </c>
      <c r="H436">
        <v>30</v>
      </c>
      <c r="I436" t="s">
        <v>4752</v>
      </c>
      <c r="J436" t="s">
        <v>4762</v>
      </c>
      <c r="K436">
        <v>-18</v>
      </c>
    </row>
    <row r="437" spans="1:11">
      <c r="A437" t="s">
        <v>2045</v>
      </c>
      <c r="B437" s="17">
        <v>44601</v>
      </c>
      <c r="C437">
        <v>2022</v>
      </c>
      <c r="D437" t="s">
        <v>1703</v>
      </c>
      <c r="E437" t="s">
        <v>4751</v>
      </c>
      <c r="F437" t="s">
        <v>1611</v>
      </c>
      <c r="G437">
        <v>2360</v>
      </c>
      <c r="H437">
        <v>38</v>
      </c>
      <c r="I437" t="s">
        <v>4752</v>
      </c>
      <c r="J437" t="s">
        <v>4762</v>
      </c>
      <c r="K437">
        <v>-6.1</v>
      </c>
    </row>
    <row r="438" spans="1:11">
      <c r="A438" t="s">
        <v>2046</v>
      </c>
      <c r="B438" s="17">
        <v>44606</v>
      </c>
      <c r="C438">
        <v>2022</v>
      </c>
      <c r="D438" t="s">
        <v>215</v>
      </c>
      <c r="E438" t="s">
        <v>4749</v>
      </c>
      <c r="F438" t="s">
        <v>1604</v>
      </c>
      <c r="G438">
        <v>268</v>
      </c>
      <c r="H438">
        <v>24</v>
      </c>
      <c r="I438" t="s">
        <v>4748</v>
      </c>
      <c r="J438" t="s">
        <v>4760</v>
      </c>
      <c r="K438">
        <v>2</v>
      </c>
    </row>
    <row r="439" spans="1:11">
      <c r="A439" t="s">
        <v>2047</v>
      </c>
      <c r="B439" s="17">
        <v>44608</v>
      </c>
      <c r="C439">
        <v>2022</v>
      </c>
      <c r="D439" t="s">
        <v>1608</v>
      </c>
      <c r="E439" t="s">
        <v>4751</v>
      </c>
      <c r="F439" t="s">
        <v>1604</v>
      </c>
      <c r="G439">
        <v>125</v>
      </c>
      <c r="H439">
        <v>17</v>
      </c>
      <c r="I439" t="s">
        <v>4748</v>
      </c>
      <c r="J439" t="s">
        <v>4760</v>
      </c>
      <c r="K439">
        <v>9.6</v>
      </c>
    </row>
    <row r="440" spans="1:11">
      <c r="A440" t="s">
        <v>2048</v>
      </c>
      <c r="B440" s="17">
        <v>44616</v>
      </c>
      <c r="C440">
        <v>2022</v>
      </c>
      <c r="D440" t="s">
        <v>146</v>
      </c>
      <c r="E440" t="s">
        <v>4753</v>
      </c>
      <c r="F440" t="s">
        <v>1604</v>
      </c>
      <c r="G440">
        <v>200</v>
      </c>
      <c r="H440">
        <v>20</v>
      </c>
      <c r="I440" t="s">
        <v>4748</v>
      </c>
      <c r="J440" t="s">
        <v>4760</v>
      </c>
      <c r="K440">
        <v>17.399999999999999</v>
      </c>
    </row>
    <row r="441" spans="1:11">
      <c r="A441" t="s">
        <v>2049</v>
      </c>
      <c r="B441" s="17">
        <v>44616</v>
      </c>
      <c r="C441">
        <v>2022</v>
      </c>
      <c r="D441" t="s">
        <v>67</v>
      </c>
      <c r="E441" t="s">
        <v>4755</v>
      </c>
      <c r="F441" t="s">
        <v>1604</v>
      </c>
      <c r="G441">
        <v>141</v>
      </c>
      <c r="H441">
        <v>21</v>
      </c>
      <c r="I441" t="s">
        <v>4748</v>
      </c>
      <c r="J441" t="s">
        <v>4760</v>
      </c>
      <c r="K441">
        <v>6.9</v>
      </c>
    </row>
    <row r="442" spans="1:11">
      <c r="A442" t="s">
        <v>2050</v>
      </c>
      <c r="B442" s="17">
        <v>44619</v>
      </c>
      <c r="C442">
        <v>2022</v>
      </c>
      <c r="D442" t="s">
        <v>42</v>
      </c>
      <c r="E442" t="s">
        <v>4749</v>
      </c>
      <c r="F442" t="s">
        <v>1611</v>
      </c>
      <c r="G442">
        <v>766</v>
      </c>
      <c r="H442">
        <v>38</v>
      </c>
      <c r="I442" t="s">
        <v>4750</v>
      </c>
      <c r="J442" t="s">
        <v>4761</v>
      </c>
      <c r="K442">
        <v>-11</v>
      </c>
    </row>
    <row r="443" spans="1:11">
      <c r="A443" t="s">
        <v>2051</v>
      </c>
      <c r="B443" s="17">
        <v>44628</v>
      </c>
      <c r="C443">
        <v>2022</v>
      </c>
      <c r="D443" t="s">
        <v>53</v>
      </c>
      <c r="E443" t="s">
        <v>4754</v>
      </c>
      <c r="F443" t="s">
        <v>1604</v>
      </c>
      <c r="G443">
        <v>236</v>
      </c>
      <c r="H443">
        <v>24</v>
      </c>
      <c r="I443" t="s">
        <v>4748</v>
      </c>
      <c r="J443" t="s">
        <v>4760</v>
      </c>
      <c r="K443">
        <v>-4.5999999999999996</v>
      </c>
    </row>
    <row r="444" spans="1:11">
      <c r="A444" t="s">
        <v>2052</v>
      </c>
      <c r="B444" s="17">
        <v>44642</v>
      </c>
      <c r="C444">
        <v>2022</v>
      </c>
      <c r="D444" t="s">
        <v>38</v>
      </c>
      <c r="E444" t="s">
        <v>4751</v>
      </c>
      <c r="F444" t="s">
        <v>1611</v>
      </c>
      <c r="G444">
        <v>539</v>
      </c>
      <c r="H444">
        <v>45</v>
      </c>
      <c r="I444" t="s">
        <v>4752</v>
      </c>
      <c r="J444" t="s">
        <v>4762</v>
      </c>
      <c r="K444">
        <v>-19.3</v>
      </c>
    </row>
    <row r="445" spans="1:11">
      <c r="A445" t="s">
        <v>2053</v>
      </c>
      <c r="B445" s="17">
        <v>44656</v>
      </c>
      <c r="C445">
        <v>2022</v>
      </c>
      <c r="D445" t="s">
        <v>38</v>
      </c>
      <c r="E445" t="s">
        <v>4753</v>
      </c>
      <c r="F445" t="s">
        <v>1604</v>
      </c>
      <c r="G445">
        <v>628</v>
      </c>
      <c r="H445">
        <v>24</v>
      </c>
      <c r="I445" t="s">
        <v>4750</v>
      </c>
      <c r="J445" t="s">
        <v>4761</v>
      </c>
      <c r="K445">
        <v>-9.1999999999999993</v>
      </c>
    </row>
    <row r="446" spans="1:11">
      <c r="A446" t="s">
        <v>2054</v>
      </c>
      <c r="B446" s="17">
        <v>44671</v>
      </c>
      <c r="C446">
        <v>2022</v>
      </c>
      <c r="D446" t="s">
        <v>130</v>
      </c>
      <c r="E446" t="s">
        <v>4757</v>
      </c>
      <c r="F446" t="s">
        <v>1604</v>
      </c>
      <c r="G446">
        <v>223</v>
      </c>
      <c r="H446">
        <v>15</v>
      </c>
      <c r="I446" t="s">
        <v>4750</v>
      </c>
      <c r="J446" t="s">
        <v>4761</v>
      </c>
      <c r="K446">
        <v>-7.1</v>
      </c>
    </row>
    <row r="447" spans="1:11">
      <c r="A447" t="s">
        <v>2055</v>
      </c>
      <c r="B447" s="17">
        <v>44683</v>
      </c>
      <c r="C447">
        <v>2022</v>
      </c>
      <c r="D447" t="s">
        <v>23</v>
      </c>
      <c r="E447" t="s">
        <v>4753</v>
      </c>
      <c r="F447" t="s">
        <v>1611</v>
      </c>
      <c r="G447">
        <v>2536</v>
      </c>
      <c r="H447">
        <v>41</v>
      </c>
      <c r="I447" t="s">
        <v>4750</v>
      </c>
      <c r="J447" t="s">
        <v>4761</v>
      </c>
      <c r="K447">
        <v>-3.1</v>
      </c>
    </row>
    <row r="448" spans="1:11">
      <c r="A448" t="s">
        <v>2056</v>
      </c>
      <c r="B448" s="17">
        <v>44686</v>
      </c>
      <c r="C448">
        <v>2022</v>
      </c>
      <c r="D448" t="s">
        <v>376</v>
      </c>
      <c r="E448" t="s">
        <v>4753</v>
      </c>
      <c r="F448" t="s">
        <v>1611</v>
      </c>
      <c r="G448">
        <v>1870</v>
      </c>
      <c r="H448">
        <v>43</v>
      </c>
      <c r="I448" t="s">
        <v>4750</v>
      </c>
      <c r="J448" t="s">
        <v>4761</v>
      </c>
      <c r="K448">
        <v>2.1</v>
      </c>
    </row>
    <row r="449" spans="1:11">
      <c r="A449" t="s">
        <v>2057</v>
      </c>
      <c r="B449" s="17">
        <v>44688</v>
      </c>
      <c r="C449">
        <v>2022</v>
      </c>
      <c r="D449" t="s">
        <v>38</v>
      </c>
      <c r="E449" t="s">
        <v>4749</v>
      </c>
      <c r="F449" t="s">
        <v>1611</v>
      </c>
      <c r="G449">
        <v>560</v>
      </c>
      <c r="H449">
        <v>36</v>
      </c>
      <c r="I449" t="s">
        <v>4748</v>
      </c>
      <c r="J449" t="s">
        <v>4760</v>
      </c>
      <c r="K449">
        <v>8.5</v>
      </c>
    </row>
    <row r="450" spans="1:11">
      <c r="A450" t="s">
        <v>2058</v>
      </c>
      <c r="B450" s="17">
        <v>44696</v>
      </c>
      <c r="C450">
        <v>2022</v>
      </c>
      <c r="D450" t="s">
        <v>38</v>
      </c>
      <c r="E450" t="s">
        <v>4749</v>
      </c>
      <c r="F450" t="s">
        <v>1611</v>
      </c>
      <c r="G450">
        <v>1050</v>
      </c>
      <c r="H450">
        <v>29</v>
      </c>
      <c r="I450" t="s">
        <v>4748</v>
      </c>
      <c r="J450" t="s">
        <v>4760</v>
      </c>
      <c r="K450">
        <v>5.5</v>
      </c>
    </row>
    <row r="451" spans="1:11">
      <c r="A451" t="s">
        <v>2059</v>
      </c>
      <c r="B451" s="17">
        <v>44716</v>
      </c>
      <c r="C451">
        <v>2022</v>
      </c>
      <c r="D451" t="s">
        <v>42</v>
      </c>
      <c r="E451" t="s">
        <v>4753</v>
      </c>
      <c r="F451" t="s">
        <v>1611</v>
      </c>
      <c r="G451">
        <v>1438</v>
      </c>
      <c r="H451">
        <v>33</v>
      </c>
      <c r="I451" t="s">
        <v>4750</v>
      </c>
      <c r="J451" t="s">
        <v>4761</v>
      </c>
      <c r="K451">
        <v>-1.1000000000000001</v>
      </c>
    </row>
    <row r="452" spans="1:11">
      <c r="A452" t="s">
        <v>2060</v>
      </c>
      <c r="B452" s="17">
        <v>44716</v>
      </c>
      <c r="C452">
        <v>2022</v>
      </c>
      <c r="D452" t="s">
        <v>1610</v>
      </c>
      <c r="E452" t="s">
        <v>4757</v>
      </c>
      <c r="F452" t="s">
        <v>1611</v>
      </c>
      <c r="G452">
        <v>433</v>
      </c>
      <c r="H452">
        <v>28</v>
      </c>
      <c r="I452" t="s">
        <v>4750</v>
      </c>
      <c r="J452" t="s">
        <v>4761</v>
      </c>
      <c r="K452">
        <v>0.1</v>
      </c>
    </row>
    <row r="453" spans="1:11">
      <c r="A453" t="s">
        <v>2061</v>
      </c>
      <c r="B453" s="17">
        <v>44717</v>
      </c>
      <c r="C453">
        <v>2022</v>
      </c>
      <c r="D453" t="s">
        <v>23</v>
      </c>
      <c r="E453" t="s">
        <v>4755</v>
      </c>
      <c r="F453" t="s">
        <v>1604</v>
      </c>
      <c r="G453">
        <v>245</v>
      </c>
      <c r="H453">
        <v>23</v>
      </c>
      <c r="I453" t="s">
        <v>4748</v>
      </c>
      <c r="J453" t="s">
        <v>4760</v>
      </c>
      <c r="K453">
        <v>15.1</v>
      </c>
    </row>
    <row r="454" spans="1:11">
      <c r="A454" t="s">
        <v>2062</v>
      </c>
      <c r="B454" s="17">
        <v>44724</v>
      </c>
      <c r="C454">
        <v>2022</v>
      </c>
      <c r="D454" t="s">
        <v>130</v>
      </c>
      <c r="E454" t="s">
        <v>4757</v>
      </c>
      <c r="F454" t="s">
        <v>1611</v>
      </c>
      <c r="G454">
        <v>1567</v>
      </c>
      <c r="H454">
        <v>41</v>
      </c>
      <c r="I454" t="s">
        <v>4748</v>
      </c>
      <c r="J454" t="s">
        <v>4760</v>
      </c>
      <c r="K454">
        <v>7.8</v>
      </c>
    </row>
    <row r="455" spans="1:11">
      <c r="A455" t="s">
        <v>2063</v>
      </c>
      <c r="B455" s="17">
        <v>44725</v>
      </c>
      <c r="C455">
        <v>2022</v>
      </c>
      <c r="D455" t="s">
        <v>125</v>
      </c>
      <c r="E455" t="s">
        <v>4754</v>
      </c>
      <c r="F455" t="s">
        <v>1611</v>
      </c>
      <c r="G455">
        <v>781</v>
      </c>
      <c r="H455">
        <v>39</v>
      </c>
      <c r="I455" t="s">
        <v>4748</v>
      </c>
      <c r="J455" t="s">
        <v>4760</v>
      </c>
      <c r="K455">
        <v>3</v>
      </c>
    </row>
    <row r="456" spans="1:11">
      <c r="A456" t="s">
        <v>2064</v>
      </c>
      <c r="B456" s="17">
        <v>44726</v>
      </c>
      <c r="C456">
        <v>2022</v>
      </c>
      <c r="D456" t="s">
        <v>38</v>
      </c>
      <c r="E456" t="s">
        <v>4754</v>
      </c>
      <c r="F456" t="s">
        <v>1611</v>
      </c>
      <c r="G456">
        <v>1368</v>
      </c>
      <c r="H456">
        <v>42</v>
      </c>
      <c r="I456" t="s">
        <v>4748</v>
      </c>
      <c r="J456" t="s">
        <v>4760</v>
      </c>
      <c r="K456">
        <v>-1</v>
      </c>
    </row>
    <row r="457" spans="1:11">
      <c r="A457" t="s">
        <v>2065</v>
      </c>
      <c r="B457" s="17">
        <v>44736</v>
      </c>
      <c r="C457">
        <v>2022</v>
      </c>
      <c r="D457" t="s">
        <v>31</v>
      </c>
      <c r="E457" t="s">
        <v>4757</v>
      </c>
      <c r="F457" t="s">
        <v>1604</v>
      </c>
      <c r="G457">
        <v>298</v>
      </c>
      <c r="H457">
        <v>6</v>
      </c>
      <c r="I457" t="s">
        <v>4748</v>
      </c>
      <c r="J457" t="s">
        <v>4760</v>
      </c>
      <c r="K457">
        <v>3.9</v>
      </c>
    </row>
    <row r="458" spans="1:11">
      <c r="A458" t="s">
        <v>2066</v>
      </c>
      <c r="B458" s="17">
        <v>44757</v>
      </c>
      <c r="C458">
        <v>2022</v>
      </c>
      <c r="D458" t="s">
        <v>130</v>
      </c>
      <c r="E458" t="s">
        <v>4756</v>
      </c>
      <c r="F458" t="s">
        <v>1604</v>
      </c>
      <c r="G458">
        <v>308</v>
      </c>
      <c r="H458">
        <v>10</v>
      </c>
      <c r="I458" t="s">
        <v>4750</v>
      </c>
      <c r="J458" t="s">
        <v>4761</v>
      </c>
      <c r="K458">
        <v>1.9</v>
      </c>
    </row>
    <row r="459" spans="1:11">
      <c r="A459" t="s">
        <v>2067</v>
      </c>
      <c r="B459" s="17">
        <v>44765</v>
      </c>
      <c r="C459">
        <v>2022</v>
      </c>
      <c r="D459" t="s">
        <v>1640</v>
      </c>
      <c r="E459" t="s">
        <v>4758</v>
      </c>
      <c r="F459" t="s">
        <v>1604</v>
      </c>
      <c r="G459">
        <v>238</v>
      </c>
      <c r="H459">
        <v>26</v>
      </c>
      <c r="I459" t="s">
        <v>4748</v>
      </c>
      <c r="J459" t="s">
        <v>4760</v>
      </c>
      <c r="K459">
        <v>5.8</v>
      </c>
    </row>
    <row r="460" spans="1:11">
      <c r="A460" t="s">
        <v>2068</v>
      </c>
      <c r="B460" s="17">
        <v>44774</v>
      </c>
      <c r="C460">
        <v>2022</v>
      </c>
      <c r="D460" t="s">
        <v>42</v>
      </c>
      <c r="E460" t="s">
        <v>4757</v>
      </c>
      <c r="F460" t="s">
        <v>1604</v>
      </c>
      <c r="G460">
        <v>244</v>
      </c>
      <c r="H460">
        <v>15</v>
      </c>
      <c r="I460" t="s">
        <v>4748</v>
      </c>
      <c r="J460" t="s">
        <v>4760</v>
      </c>
      <c r="K460">
        <v>11.5</v>
      </c>
    </row>
    <row r="461" spans="1:11">
      <c r="A461" t="s">
        <v>2069</v>
      </c>
      <c r="B461" s="17">
        <v>44794</v>
      </c>
      <c r="C461">
        <v>2022</v>
      </c>
      <c r="D461" t="s">
        <v>125</v>
      </c>
      <c r="E461" t="s">
        <v>4755</v>
      </c>
      <c r="F461" t="s">
        <v>1611</v>
      </c>
      <c r="G461">
        <v>1493</v>
      </c>
      <c r="H461">
        <v>27</v>
      </c>
      <c r="I461" t="s">
        <v>4748</v>
      </c>
      <c r="J461" t="s">
        <v>4760</v>
      </c>
      <c r="K461">
        <v>10.1</v>
      </c>
    </row>
    <row r="462" spans="1:11">
      <c r="A462" t="s">
        <v>2070</v>
      </c>
      <c r="B462" s="17">
        <v>44805</v>
      </c>
      <c r="C462">
        <v>2022</v>
      </c>
      <c r="D462" t="s">
        <v>31</v>
      </c>
      <c r="E462" t="s">
        <v>4754</v>
      </c>
      <c r="F462" t="s">
        <v>1611</v>
      </c>
      <c r="G462">
        <v>1019</v>
      </c>
      <c r="H462">
        <v>29</v>
      </c>
      <c r="I462" t="s">
        <v>4748</v>
      </c>
      <c r="J462" t="s">
        <v>4760</v>
      </c>
      <c r="K462">
        <v>10.7</v>
      </c>
    </row>
    <row r="463" spans="1:11">
      <c r="A463" t="s">
        <v>2071</v>
      </c>
      <c r="B463" s="17">
        <v>44817</v>
      </c>
      <c r="C463">
        <v>2022</v>
      </c>
      <c r="D463" t="s">
        <v>125</v>
      </c>
      <c r="E463" t="s">
        <v>4758</v>
      </c>
      <c r="F463" t="s">
        <v>1611</v>
      </c>
      <c r="G463">
        <v>2189</v>
      </c>
      <c r="H463">
        <v>43</v>
      </c>
      <c r="I463" t="s">
        <v>4748</v>
      </c>
      <c r="J463" t="s">
        <v>4760</v>
      </c>
      <c r="K463">
        <v>5.9</v>
      </c>
    </row>
    <row r="464" spans="1:11">
      <c r="A464" t="s">
        <v>2072</v>
      </c>
      <c r="B464" s="17">
        <v>44828</v>
      </c>
      <c r="C464">
        <v>2022</v>
      </c>
      <c r="D464" t="s">
        <v>1603</v>
      </c>
      <c r="E464" t="s">
        <v>4751</v>
      </c>
      <c r="F464" t="s">
        <v>1604</v>
      </c>
      <c r="G464">
        <v>155</v>
      </c>
      <c r="H464">
        <v>22</v>
      </c>
      <c r="I464" t="s">
        <v>4752</v>
      </c>
      <c r="J464" t="s">
        <v>4762</v>
      </c>
      <c r="K464">
        <v>-31.7</v>
      </c>
    </row>
    <row r="465" spans="1:11">
      <c r="A465" t="s">
        <v>2073</v>
      </c>
      <c r="B465" s="17">
        <v>44835</v>
      </c>
      <c r="C465">
        <v>2022</v>
      </c>
      <c r="D465" t="s">
        <v>1403</v>
      </c>
      <c r="E465" t="s">
        <v>4751</v>
      </c>
      <c r="F465" t="s">
        <v>1611</v>
      </c>
      <c r="G465">
        <v>860</v>
      </c>
      <c r="H465">
        <v>36</v>
      </c>
      <c r="I465" t="s">
        <v>4752</v>
      </c>
      <c r="J465" t="s">
        <v>4762</v>
      </c>
      <c r="K465">
        <v>-17</v>
      </c>
    </row>
    <row r="466" spans="1:11">
      <c r="A466" t="s">
        <v>2074</v>
      </c>
      <c r="B466" s="17">
        <v>44843</v>
      </c>
      <c r="C466">
        <v>2022</v>
      </c>
      <c r="D466" t="s">
        <v>304</v>
      </c>
      <c r="E466" t="s">
        <v>4751</v>
      </c>
      <c r="F466" t="s">
        <v>1611</v>
      </c>
      <c r="G466">
        <v>1830</v>
      </c>
      <c r="H466">
        <v>56</v>
      </c>
      <c r="I466" t="s">
        <v>4752</v>
      </c>
      <c r="J466" t="s">
        <v>4762</v>
      </c>
      <c r="K466">
        <v>-16.899999999999999</v>
      </c>
    </row>
    <row r="467" spans="1:11">
      <c r="A467" t="s">
        <v>2075</v>
      </c>
      <c r="B467" s="17">
        <v>44852</v>
      </c>
      <c r="C467">
        <v>2022</v>
      </c>
      <c r="D467" t="s">
        <v>38</v>
      </c>
      <c r="E467" t="s">
        <v>4747</v>
      </c>
      <c r="F467" t="s">
        <v>1604</v>
      </c>
      <c r="G467">
        <v>176</v>
      </c>
      <c r="H467">
        <v>6</v>
      </c>
      <c r="I467" t="s">
        <v>4752</v>
      </c>
      <c r="J467" t="s">
        <v>4762</v>
      </c>
      <c r="K467">
        <v>-2.2000000000000002</v>
      </c>
    </row>
    <row r="468" spans="1:11">
      <c r="A468" t="s">
        <v>2076</v>
      </c>
      <c r="B468" s="17">
        <v>44855</v>
      </c>
      <c r="C468">
        <v>2022</v>
      </c>
      <c r="D468" t="s">
        <v>9</v>
      </c>
      <c r="E468" t="s">
        <v>4756</v>
      </c>
      <c r="F468" t="s">
        <v>1611</v>
      </c>
      <c r="G468">
        <v>399</v>
      </c>
      <c r="H468">
        <v>45</v>
      </c>
      <c r="I468" t="s">
        <v>4748</v>
      </c>
      <c r="J468" t="s">
        <v>4760</v>
      </c>
      <c r="K468">
        <v>-4.7</v>
      </c>
    </row>
    <row r="469" spans="1:11">
      <c r="A469" t="s">
        <v>2077</v>
      </c>
      <c r="B469" s="17">
        <v>44868</v>
      </c>
      <c r="C469">
        <v>2022</v>
      </c>
      <c r="D469" t="s">
        <v>1608</v>
      </c>
      <c r="E469" t="s">
        <v>4755</v>
      </c>
      <c r="F469" t="s">
        <v>1604</v>
      </c>
      <c r="G469">
        <v>815</v>
      </c>
      <c r="H469">
        <v>26</v>
      </c>
      <c r="I469" t="s">
        <v>4748</v>
      </c>
      <c r="J469" t="s">
        <v>4760</v>
      </c>
      <c r="K469">
        <v>8.1999999999999993</v>
      </c>
    </row>
    <row r="470" spans="1:11">
      <c r="A470" t="s">
        <v>2078</v>
      </c>
      <c r="B470" s="17">
        <v>44876</v>
      </c>
      <c r="C470">
        <v>2022</v>
      </c>
      <c r="D470" t="s">
        <v>1676</v>
      </c>
      <c r="E470" t="s">
        <v>4756</v>
      </c>
      <c r="F470" t="s">
        <v>1604</v>
      </c>
      <c r="G470">
        <v>551</v>
      </c>
      <c r="H470">
        <v>19</v>
      </c>
      <c r="I470" t="s">
        <v>4748</v>
      </c>
      <c r="J470" t="s">
        <v>4760</v>
      </c>
      <c r="K470">
        <v>10.8</v>
      </c>
    </row>
    <row r="471" spans="1:11">
      <c r="A471" t="s">
        <v>2079</v>
      </c>
      <c r="B471" s="17">
        <v>44897</v>
      </c>
      <c r="C471">
        <v>2022</v>
      </c>
      <c r="D471" t="s">
        <v>1608</v>
      </c>
      <c r="E471" t="s">
        <v>4749</v>
      </c>
      <c r="F471" t="s">
        <v>1611</v>
      </c>
      <c r="G471">
        <v>2187</v>
      </c>
      <c r="H471">
        <v>29</v>
      </c>
      <c r="I471" t="s">
        <v>4748</v>
      </c>
      <c r="J471" t="s">
        <v>4760</v>
      </c>
      <c r="K471">
        <v>10.199999999999999</v>
      </c>
    </row>
    <row r="472" spans="1:11">
      <c r="A472" t="s">
        <v>2080</v>
      </c>
      <c r="B472" s="17">
        <v>44899</v>
      </c>
      <c r="C472">
        <v>2022</v>
      </c>
      <c r="D472" t="s">
        <v>1403</v>
      </c>
      <c r="E472" t="s">
        <v>4747</v>
      </c>
      <c r="F472" t="s">
        <v>1611</v>
      </c>
      <c r="G472">
        <v>2887</v>
      </c>
      <c r="H472">
        <v>42</v>
      </c>
      <c r="I472" t="s">
        <v>4752</v>
      </c>
      <c r="J472" t="s">
        <v>4762</v>
      </c>
      <c r="K472">
        <v>-18.3</v>
      </c>
    </row>
    <row r="473" spans="1:11">
      <c r="A473" t="s">
        <v>2081</v>
      </c>
      <c r="B473" s="17">
        <v>44901</v>
      </c>
      <c r="C473">
        <v>2022</v>
      </c>
      <c r="D473" t="s">
        <v>376</v>
      </c>
      <c r="E473" t="s">
        <v>4751</v>
      </c>
      <c r="F473" t="s">
        <v>1611</v>
      </c>
      <c r="G473">
        <v>575</v>
      </c>
      <c r="H473">
        <v>32</v>
      </c>
      <c r="I473" t="s">
        <v>4752</v>
      </c>
      <c r="J473" t="s">
        <v>4762</v>
      </c>
      <c r="K473">
        <v>-19.3</v>
      </c>
    </row>
    <row r="474" spans="1:11">
      <c r="A474" t="s">
        <v>2082</v>
      </c>
      <c r="B474" s="17">
        <v>44944</v>
      </c>
      <c r="C474">
        <v>2023</v>
      </c>
      <c r="D474" t="s">
        <v>215</v>
      </c>
      <c r="E474" t="s">
        <v>4755</v>
      </c>
      <c r="F474" t="s">
        <v>1611</v>
      </c>
      <c r="G474">
        <v>356</v>
      </c>
      <c r="H474">
        <v>27</v>
      </c>
      <c r="I474" t="s">
        <v>4748</v>
      </c>
      <c r="J474" t="s">
        <v>4760</v>
      </c>
      <c r="K474">
        <v>12</v>
      </c>
    </row>
    <row r="475" spans="1:11">
      <c r="A475" t="s">
        <v>2083</v>
      </c>
      <c r="B475" s="17">
        <v>44953</v>
      </c>
      <c r="C475">
        <v>2023</v>
      </c>
      <c r="D475" t="s">
        <v>304</v>
      </c>
      <c r="E475" t="s">
        <v>4759</v>
      </c>
      <c r="F475" t="s">
        <v>1604</v>
      </c>
      <c r="G475">
        <v>267</v>
      </c>
      <c r="H475">
        <v>23</v>
      </c>
      <c r="I475" t="s">
        <v>4748</v>
      </c>
      <c r="J475" t="s">
        <v>4760</v>
      </c>
      <c r="K475">
        <v>6.7</v>
      </c>
    </row>
    <row r="476" spans="1:11">
      <c r="A476" t="s">
        <v>2084</v>
      </c>
      <c r="B476" s="17">
        <v>44975</v>
      </c>
      <c r="C476">
        <v>2023</v>
      </c>
      <c r="D476" t="s">
        <v>125</v>
      </c>
      <c r="E476" t="s">
        <v>4751</v>
      </c>
      <c r="F476" t="s">
        <v>1604</v>
      </c>
      <c r="G476">
        <v>175</v>
      </c>
      <c r="H476">
        <v>15</v>
      </c>
      <c r="I476" t="s">
        <v>4750</v>
      </c>
      <c r="J476" t="s">
        <v>4761</v>
      </c>
      <c r="K476">
        <v>-3.8</v>
      </c>
    </row>
    <row r="477" spans="1:11">
      <c r="A477" t="s">
        <v>2085</v>
      </c>
      <c r="B477" s="17">
        <v>44983</v>
      </c>
      <c r="C477">
        <v>2023</v>
      </c>
      <c r="D477" t="s">
        <v>215</v>
      </c>
      <c r="E477" t="s">
        <v>4757</v>
      </c>
      <c r="F477" t="s">
        <v>1611</v>
      </c>
      <c r="G477">
        <v>949</v>
      </c>
      <c r="H477">
        <v>40</v>
      </c>
      <c r="I477" t="s">
        <v>4748</v>
      </c>
      <c r="J477" t="s">
        <v>4760</v>
      </c>
      <c r="K477">
        <v>2.9</v>
      </c>
    </row>
    <row r="478" spans="1:11">
      <c r="A478" t="s">
        <v>2086</v>
      </c>
      <c r="B478" s="17">
        <v>44989</v>
      </c>
      <c r="C478">
        <v>2023</v>
      </c>
      <c r="D478" t="s">
        <v>304</v>
      </c>
      <c r="E478" t="s">
        <v>4751</v>
      </c>
      <c r="F478" t="s">
        <v>1611</v>
      </c>
      <c r="G478">
        <v>1406</v>
      </c>
      <c r="H478">
        <v>33</v>
      </c>
      <c r="I478" t="s">
        <v>4752</v>
      </c>
      <c r="J478" t="s">
        <v>4762</v>
      </c>
      <c r="K478">
        <v>0.9</v>
      </c>
    </row>
    <row r="479" spans="1:11">
      <c r="A479" t="s">
        <v>2087</v>
      </c>
      <c r="B479" s="17">
        <v>45011</v>
      </c>
      <c r="C479">
        <v>2023</v>
      </c>
      <c r="D479" t="s">
        <v>376</v>
      </c>
      <c r="E479" t="s">
        <v>4753</v>
      </c>
      <c r="F479" t="s">
        <v>1604</v>
      </c>
      <c r="G479">
        <v>259</v>
      </c>
      <c r="H479">
        <v>29</v>
      </c>
      <c r="I479" t="s">
        <v>4748</v>
      </c>
      <c r="J479" t="s">
        <v>4760</v>
      </c>
      <c r="K479">
        <v>10.199999999999999</v>
      </c>
    </row>
    <row r="480" spans="1:11">
      <c r="A480" t="s">
        <v>2088</v>
      </c>
      <c r="B480" s="17">
        <v>45035</v>
      </c>
      <c r="C480">
        <v>2023</v>
      </c>
      <c r="D480" t="s">
        <v>376</v>
      </c>
      <c r="E480" t="s">
        <v>4753</v>
      </c>
      <c r="F480" t="s">
        <v>1611</v>
      </c>
      <c r="G480">
        <v>1147</v>
      </c>
      <c r="H480">
        <v>30</v>
      </c>
      <c r="I480" t="s">
        <v>4752</v>
      </c>
      <c r="J480" t="s">
        <v>4762</v>
      </c>
      <c r="K480">
        <v>-34.4</v>
      </c>
    </row>
    <row r="481" spans="1:11">
      <c r="A481" t="s">
        <v>2089</v>
      </c>
      <c r="B481" s="17">
        <v>45041</v>
      </c>
      <c r="C481">
        <v>2023</v>
      </c>
      <c r="D481" t="s">
        <v>1703</v>
      </c>
      <c r="E481" t="s">
        <v>4747</v>
      </c>
      <c r="F481" t="s">
        <v>1604</v>
      </c>
      <c r="G481">
        <v>127</v>
      </c>
      <c r="H481">
        <v>12</v>
      </c>
      <c r="I481" t="s">
        <v>4750</v>
      </c>
      <c r="J481" t="s">
        <v>4761</v>
      </c>
      <c r="K481">
        <v>-7.6</v>
      </c>
    </row>
    <row r="482" spans="1:11">
      <c r="A482" t="s">
        <v>2090</v>
      </c>
      <c r="B482" s="17">
        <v>45054</v>
      </c>
      <c r="C482">
        <v>2023</v>
      </c>
      <c r="D482" t="s">
        <v>215</v>
      </c>
      <c r="E482" t="s">
        <v>4747</v>
      </c>
      <c r="F482" t="s">
        <v>1604</v>
      </c>
      <c r="G482">
        <v>380</v>
      </c>
      <c r="H482">
        <v>14</v>
      </c>
      <c r="I482" t="s">
        <v>4748</v>
      </c>
      <c r="J482" t="s">
        <v>4760</v>
      </c>
      <c r="K482">
        <v>3.8</v>
      </c>
    </row>
    <row r="483" spans="1:11">
      <c r="A483" t="s">
        <v>2091</v>
      </c>
      <c r="B483" s="17">
        <v>45058</v>
      </c>
      <c r="C483">
        <v>2023</v>
      </c>
      <c r="D483" t="s">
        <v>9</v>
      </c>
      <c r="E483" t="s">
        <v>4747</v>
      </c>
      <c r="F483" t="s">
        <v>1611</v>
      </c>
      <c r="G483">
        <v>808</v>
      </c>
      <c r="H483">
        <v>50</v>
      </c>
      <c r="I483" t="s">
        <v>4752</v>
      </c>
      <c r="J483" t="s">
        <v>4762</v>
      </c>
      <c r="K483">
        <v>-13</v>
      </c>
    </row>
    <row r="484" spans="1:11">
      <c r="A484" t="s">
        <v>2092</v>
      </c>
      <c r="B484" s="17">
        <v>45062</v>
      </c>
      <c r="C484">
        <v>2023</v>
      </c>
      <c r="D484" t="s">
        <v>1603</v>
      </c>
      <c r="E484" t="s">
        <v>4759</v>
      </c>
      <c r="F484" t="s">
        <v>1611</v>
      </c>
      <c r="G484">
        <v>933</v>
      </c>
      <c r="H484">
        <v>41</v>
      </c>
      <c r="I484" t="s">
        <v>4752</v>
      </c>
      <c r="J484" t="s">
        <v>4762</v>
      </c>
      <c r="K484">
        <v>-21.2</v>
      </c>
    </row>
    <row r="485" spans="1:11">
      <c r="A485" t="s">
        <v>2093</v>
      </c>
      <c r="B485" s="17">
        <v>45065</v>
      </c>
      <c r="C485">
        <v>2023</v>
      </c>
      <c r="D485" t="s">
        <v>9</v>
      </c>
      <c r="E485" t="s">
        <v>4749</v>
      </c>
      <c r="F485" t="s">
        <v>1611</v>
      </c>
      <c r="G485">
        <v>753</v>
      </c>
      <c r="H485">
        <v>43</v>
      </c>
      <c r="I485" t="s">
        <v>4752</v>
      </c>
      <c r="J485" t="s">
        <v>4762</v>
      </c>
      <c r="K485">
        <v>1.8</v>
      </c>
    </row>
    <row r="486" spans="1:11">
      <c r="A486" t="s">
        <v>2094</v>
      </c>
      <c r="B486" s="17">
        <v>45073</v>
      </c>
      <c r="C486">
        <v>2023</v>
      </c>
      <c r="D486" t="s">
        <v>1676</v>
      </c>
      <c r="E486" t="s">
        <v>4755</v>
      </c>
      <c r="F486" t="s">
        <v>1604</v>
      </c>
      <c r="G486">
        <v>138</v>
      </c>
      <c r="H486">
        <v>17</v>
      </c>
      <c r="I486" t="s">
        <v>4752</v>
      </c>
      <c r="J486" t="s">
        <v>4762</v>
      </c>
      <c r="K486">
        <v>-15.6</v>
      </c>
    </row>
    <row r="487" spans="1:11">
      <c r="A487" t="s">
        <v>2095</v>
      </c>
      <c r="B487" s="17">
        <v>45080</v>
      </c>
      <c r="C487">
        <v>2023</v>
      </c>
      <c r="D487" t="s">
        <v>1640</v>
      </c>
      <c r="E487" t="s">
        <v>4758</v>
      </c>
      <c r="F487" t="s">
        <v>1611</v>
      </c>
      <c r="G487">
        <v>1847</v>
      </c>
      <c r="H487">
        <v>39</v>
      </c>
      <c r="I487" t="s">
        <v>4752</v>
      </c>
      <c r="J487" t="s">
        <v>4762</v>
      </c>
      <c r="K487">
        <v>-27</v>
      </c>
    </row>
    <row r="488" spans="1:11">
      <c r="A488" t="s">
        <v>2096</v>
      </c>
      <c r="B488" s="17">
        <v>45091</v>
      </c>
      <c r="C488">
        <v>2023</v>
      </c>
      <c r="D488" t="s">
        <v>146</v>
      </c>
      <c r="E488" t="s">
        <v>4747</v>
      </c>
      <c r="F488" t="s">
        <v>1611</v>
      </c>
      <c r="G488">
        <v>1186</v>
      </c>
      <c r="H488">
        <v>51</v>
      </c>
      <c r="I488" t="s">
        <v>4752</v>
      </c>
      <c r="J488" t="s">
        <v>4762</v>
      </c>
      <c r="K488">
        <v>-23.6</v>
      </c>
    </row>
    <row r="489" spans="1:11">
      <c r="A489" t="s">
        <v>2097</v>
      </c>
      <c r="B489" s="17">
        <v>45092</v>
      </c>
      <c r="C489">
        <v>2023</v>
      </c>
      <c r="D489" t="s">
        <v>1610</v>
      </c>
      <c r="E489" t="s">
        <v>4747</v>
      </c>
      <c r="F489" t="s">
        <v>1604</v>
      </c>
      <c r="G489">
        <v>172</v>
      </c>
      <c r="H489">
        <v>20</v>
      </c>
      <c r="I489" t="s">
        <v>4752</v>
      </c>
      <c r="J489" t="s">
        <v>4762</v>
      </c>
      <c r="K489">
        <v>-12.4</v>
      </c>
    </row>
    <row r="490" spans="1:11">
      <c r="A490" t="s">
        <v>2098</v>
      </c>
      <c r="B490" s="17">
        <v>45104</v>
      </c>
      <c r="C490">
        <v>2023</v>
      </c>
      <c r="D490" t="s">
        <v>9</v>
      </c>
      <c r="E490" t="s">
        <v>4757</v>
      </c>
      <c r="F490" t="s">
        <v>1611</v>
      </c>
      <c r="G490">
        <v>403</v>
      </c>
      <c r="H490">
        <v>33</v>
      </c>
      <c r="I490" t="s">
        <v>4750</v>
      </c>
      <c r="J490" t="s">
        <v>4761</v>
      </c>
      <c r="K490">
        <v>1</v>
      </c>
    </row>
    <row r="491" spans="1:11">
      <c r="A491" t="s">
        <v>2099</v>
      </c>
      <c r="B491" s="17">
        <v>45110</v>
      </c>
      <c r="C491">
        <v>2023</v>
      </c>
      <c r="D491" t="s">
        <v>215</v>
      </c>
      <c r="E491" t="s">
        <v>4757</v>
      </c>
      <c r="F491" t="s">
        <v>1604</v>
      </c>
      <c r="G491">
        <v>154</v>
      </c>
      <c r="H491">
        <v>21</v>
      </c>
      <c r="I491" t="s">
        <v>4748</v>
      </c>
      <c r="J491" t="s">
        <v>4760</v>
      </c>
      <c r="K491">
        <v>13.2</v>
      </c>
    </row>
    <row r="492" spans="1:11">
      <c r="A492" t="s">
        <v>2100</v>
      </c>
      <c r="B492" s="17">
        <v>45111</v>
      </c>
      <c r="C492">
        <v>2023</v>
      </c>
      <c r="D492" t="s">
        <v>67</v>
      </c>
      <c r="E492" t="s">
        <v>4747</v>
      </c>
      <c r="F492" t="s">
        <v>1611</v>
      </c>
      <c r="G492">
        <v>466</v>
      </c>
      <c r="H492">
        <v>43</v>
      </c>
      <c r="I492" t="s">
        <v>4752</v>
      </c>
      <c r="J492" t="s">
        <v>4762</v>
      </c>
      <c r="K492">
        <v>5.9</v>
      </c>
    </row>
    <row r="493" spans="1:11">
      <c r="A493" t="s">
        <v>2101</v>
      </c>
      <c r="B493" s="17">
        <v>45139</v>
      </c>
      <c r="C493">
        <v>2023</v>
      </c>
      <c r="D493" t="s">
        <v>130</v>
      </c>
      <c r="E493" t="s">
        <v>4751</v>
      </c>
      <c r="F493" t="s">
        <v>1611</v>
      </c>
      <c r="G493">
        <v>1383</v>
      </c>
      <c r="H493">
        <v>32</v>
      </c>
      <c r="I493" t="s">
        <v>4750</v>
      </c>
      <c r="J493" t="s">
        <v>4761</v>
      </c>
      <c r="K493">
        <v>-8</v>
      </c>
    </row>
    <row r="494" spans="1:11">
      <c r="A494" t="s">
        <v>2102</v>
      </c>
      <c r="B494" s="17">
        <v>45142</v>
      </c>
      <c r="C494">
        <v>2023</v>
      </c>
      <c r="D494" t="s">
        <v>31</v>
      </c>
      <c r="E494" t="s">
        <v>4753</v>
      </c>
      <c r="F494" t="s">
        <v>1604</v>
      </c>
      <c r="G494">
        <v>357</v>
      </c>
      <c r="H494">
        <v>26</v>
      </c>
      <c r="I494" t="s">
        <v>4748</v>
      </c>
      <c r="J494" t="s">
        <v>4760</v>
      </c>
      <c r="K494">
        <v>0</v>
      </c>
    </row>
    <row r="495" spans="1:11">
      <c r="A495" t="s">
        <v>2103</v>
      </c>
      <c r="B495" s="17">
        <v>45144</v>
      </c>
      <c r="C495">
        <v>2023</v>
      </c>
      <c r="D495" t="s">
        <v>42</v>
      </c>
      <c r="E495" t="s">
        <v>4751</v>
      </c>
      <c r="F495" t="s">
        <v>1611</v>
      </c>
      <c r="G495">
        <v>953</v>
      </c>
      <c r="H495">
        <v>35</v>
      </c>
      <c r="I495" t="s">
        <v>4752</v>
      </c>
      <c r="J495" t="s">
        <v>4762</v>
      </c>
      <c r="K495">
        <v>-19.899999999999999</v>
      </c>
    </row>
    <row r="496" spans="1:11">
      <c r="A496" t="s">
        <v>2104</v>
      </c>
      <c r="B496" s="17">
        <v>45179</v>
      </c>
      <c r="C496">
        <v>2023</v>
      </c>
      <c r="D496" t="s">
        <v>376</v>
      </c>
      <c r="E496" t="s">
        <v>4751</v>
      </c>
      <c r="F496" t="s">
        <v>1611</v>
      </c>
      <c r="G496">
        <v>616</v>
      </c>
      <c r="H496">
        <v>34</v>
      </c>
      <c r="I496" t="s">
        <v>4752</v>
      </c>
      <c r="J496" t="s">
        <v>4762</v>
      </c>
      <c r="K496">
        <v>-12.4</v>
      </c>
    </row>
    <row r="497" spans="1:11">
      <c r="A497" t="s">
        <v>2105</v>
      </c>
      <c r="B497" s="17">
        <v>45180</v>
      </c>
      <c r="C497">
        <v>2023</v>
      </c>
      <c r="D497" t="s">
        <v>67</v>
      </c>
      <c r="E497" t="s">
        <v>4755</v>
      </c>
      <c r="F497" t="s">
        <v>1604</v>
      </c>
      <c r="G497">
        <v>225</v>
      </c>
      <c r="H497">
        <v>19</v>
      </c>
      <c r="I497" t="s">
        <v>4750</v>
      </c>
      <c r="J497" t="s">
        <v>4761</v>
      </c>
      <c r="K497">
        <v>-0.1</v>
      </c>
    </row>
    <row r="498" spans="1:11">
      <c r="A498" t="s">
        <v>2106</v>
      </c>
      <c r="B498" s="17">
        <v>45187</v>
      </c>
      <c r="C498">
        <v>2023</v>
      </c>
      <c r="D498" t="s">
        <v>1640</v>
      </c>
      <c r="E498" t="s">
        <v>4757</v>
      </c>
      <c r="F498" t="s">
        <v>1604</v>
      </c>
      <c r="G498">
        <v>270</v>
      </c>
      <c r="H498">
        <v>7</v>
      </c>
      <c r="I498" t="s">
        <v>4748</v>
      </c>
      <c r="J498" t="s">
        <v>4760</v>
      </c>
      <c r="K498">
        <v>4.5999999999999996</v>
      </c>
    </row>
    <row r="499" spans="1:11">
      <c r="A499" t="s">
        <v>2107</v>
      </c>
      <c r="B499" s="17">
        <v>45189</v>
      </c>
      <c r="C499">
        <v>2023</v>
      </c>
      <c r="D499" t="s">
        <v>1676</v>
      </c>
      <c r="E499" t="s">
        <v>4755</v>
      </c>
      <c r="F499" t="s">
        <v>1611</v>
      </c>
      <c r="G499">
        <v>437</v>
      </c>
      <c r="H499">
        <v>29</v>
      </c>
      <c r="I499" t="s">
        <v>4752</v>
      </c>
      <c r="J499" t="s">
        <v>4762</v>
      </c>
      <c r="K499">
        <v>0.2</v>
      </c>
    </row>
    <row r="500" spans="1:11">
      <c r="A500" t="s">
        <v>2108</v>
      </c>
      <c r="B500" s="17">
        <v>45190</v>
      </c>
      <c r="C500">
        <v>2023</v>
      </c>
      <c r="D500" t="s">
        <v>1403</v>
      </c>
      <c r="E500" t="s">
        <v>4757</v>
      </c>
      <c r="F500" t="s">
        <v>1611</v>
      </c>
      <c r="G500">
        <v>917</v>
      </c>
      <c r="H500">
        <v>27</v>
      </c>
      <c r="I500" t="s">
        <v>4748</v>
      </c>
      <c r="J500" t="s">
        <v>4760</v>
      </c>
      <c r="K500">
        <v>-1.3</v>
      </c>
    </row>
    <row r="501" spans="1:11">
      <c r="A501" t="s">
        <v>2109</v>
      </c>
      <c r="B501" s="17">
        <v>45191</v>
      </c>
      <c r="C501">
        <v>2023</v>
      </c>
      <c r="D501" t="s">
        <v>215</v>
      </c>
      <c r="E501" t="s">
        <v>4751</v>
      </c>
      <c r="F501" t="s">
        <v>1604</v>
      </c>
      <c r="G501">
        <v>256</v>
      </c>
      <c r="H501">
        <v>16</v>
      </c>
      <c r="I501" t="s">
        <v>4750</v>
      </c>
      <c r="J501" t="s">
        <v>4761</v>
      </c>
      <c r="K501">
        <v>-2</v>
      </c>
    </row>
    <row r="502" spans="1:11">
      <c r="A502" t="s">
        <v>2110</v>
      </c>
      <c r="B502" s="17">
        <v>45212</v>
      </c>
      <c r="C502">
        <v>2023</v>
      </c>
      <c r="D502" t="s">
        <v>130</v>
      </c>
      <c r="E502" t="s">
        <v>4749</v>
      </c>
      <c r="F502" t="s">
        <v>1611</v>
      </c>
      <c r="G502">
        <v>974</v>
      </c>
      <c r="H502">
        <v>34</v>
      </c>
      <c r="I502" t="s">
        <v>4748</v>
      </c>
      <c r="J502" t="s">
        <v>4760</v>
      </c>
      <c r="K502">
        <v>3</v>
      </c>
    </row>
    <row r="503" spans="1:11">
      <c r="A503" t="s">
        <v>2111</v>
      </c>
      <c r="B503" s="17">
        <v>45214</v>
      </c>
      <c r="C503">
        <v>2023</v>
      </c>
      <c r="D503" t="s">
        <v>31</v>
      </c>
      <c r="E503" t="s">
        <v>4751</v>
      </c>
      <c r="F503" t="s">
        <v>1611</v>
      </c>
      <c r="G503">
        <v>1453</v>
      </c>
      <c r="H503">
        <v>30</v>
      </c>
      <c r="I503" t="s">
        <v>4748</v>
      </c>
      <c r="J503" t="s">
        <v>4760</v>
      </c>
      <c r="K503">
        <v>16.3</v>
      </c>
    </row>
    <row r="504" spans="1:11">
      <c r="A504" t="s">
        <v>2112</v>
      </c>
      <c r="B504" s="17">
        <v>45223</v>
      </c>
      <c r="C504">
        <v>2023</v>
      </c>
      <c r="D504" t="s">
        <v>1640</v>
      </c>
      <c r="E504" t="s">
        <v>4754</v>
      </c>
      <c r="F504" t="s">
        <v>1604</v>
      </c>
      <c r="G504">
        <v>229</v>
      </c>
      <c r="H504">
        <v>17</v>
      </c>
      <c r="I504" t="s">
        <v>4752</v>
      </c>
      <c r="J504" t="s">
        <v>4762</v>
      </c>
      <c r="K504">
        <v>-14.6</v>
      </c>
    </row>
    <row r="505" spans="1:11">
      <c r="A505" t="s">
        <v>2113</v>
      </c>
      <c r="B505" s="17">
        <v>45242</v>
      </c>
      <c r="C505">
        <v>2023</v>
      </c>
      <c r="D505" t="s">
        <v>1603</v>
      </c>
      <c r="E505" t="s">
        <v>4751</v>
      </c>
      <c r="F505" t="s">
        <v>1604</v>
      </c>
      <c r="G505">
        <v>47</v>
      </c>
      <c r="H505">
        <v>15</v>
      </c>
      <c r="I505" t="s">
        <v>4750</v>
      </c>
      <c r="J505" t="s">
        <v>4761</v>
      </c>
      <c r="K505">
        <v>1.6</v>
      </c>
    </row>
    <row r="506" spans="1:11">
      <c r="A506" t="s">
        <v>2114</v>
      </c>
      <c r="B506" s="17">
        <v>45245</v>
      </c>
      <c r="C506">
        <v>2023</v>
      </c>
      <c r="D506" t="s">
        <v>42</v>
      </c>
      <c r="E506" t="s">
        <v>4754</v>
      </c>
      <c r="F506" t="s">
        <v>1611</v>
      </c>
      <c r="G506">
        <v>552</v>
      </c>
      <c r="H506">
        <v>28</v>
      </c>
      <c r="I506" t="s">
        <v>4748</v>
      </c>
      <c r="J506" t="s">
        <v>4760</v>
      </c>
      <c r="K506">
        <v>0.8</v>
      </c>
    </row>
    <row r="507" spans="1:11">
      <c r="A507" t="s">
        <v>2115</v>
      </c>
      <c r="B507" s="17">
        <v>45249</v>
      </c>
      <c r="C507">
        <v>2023</v>
      </c>
      <c r="D507" t="s">
        <v>215</v>
      </c>
      <c r="E507" t="s">
        <v>4751</v>
      </c>
      <c r="F507" t="s">
        <v>1604</v>
      </c>
      <c r="G507">
        <v>100</v>
      </c>
      <c r="H507">
        <v>26</v>
      </c>
      <c r="I507" t="s">
        <v>4748</v>
      </c>
      <c r="J507" t="s">
        <v>4760</v>
      </c>
      <c r="K507">
        <v>10.6</v>
      </c>
    </row>
    <row r="508" spans="1:11">
      <c r="A508" t="s">
        <v>2116</v>
      </c>
      <c r="B508" s="17">
        <v>45252</v>
      </c>
      <c r="C508">
        <v>2023</v>
      </c>
      <c r="D508" t="s">
        <v>9</v>
      </c>
      <c r="E508" t="s">
        <v>4751</v>
      </c>
      <c r="F508" t="s">
        <v>1611</v>
      </c>
      <c r="G508">
        <v>685</v>
      </c>
      <c r="H508">
        <v>30</v>
      </c>
      <c r="I508" t="s">
        <v>4752</v>
      </c>
      <c r="J508" t="s">
        <v>4762</v>
      </c>
      <c r="K508">
        <v>-8</v>
      </c>
    </row>
    <row r="509" spans="1:11">
      <c r="A509" t="s">
        <v>2117</v>
      </c>
      <c r="B509" s="17">
        <v>45256</v>
      </c>
      <c r="C509">
        <v>2023</v>
      </c>
      <c r="D509" t="s">
        <v>1608</v>
      </c>
      <c r="E509" t="s">
        <v>4757</v>
      </c>
      <c r="F509" t="s">
        <v>1604</v>
      </c>
      <c r="G509">
        <v>154</v>
      </c>
      <c r="H509">
        <v>16</v>
      </c>
      <c r="I509" t="s">
        <v>4750</v>
      </c>
      <c r="J509" t="s">
        <v>4761</v>
      </c>
      <c r="K509">
        <v>-2.2000000000000002</v>
      </c>
    </row>
    <row r="510" spans="1:11">
      <c r="A510" t="s">
        <v>2118</v>
      </c>
      <c r="B510" s="17">
        <v>45263</v>
      </c>
      <c r="C510">
        <v>2023</v>
      </c>
      <c r="D510" t="s">
        <v>1640</v>
      </c>
      <c r="E510" t="s">
        <v>4751</v>
      </c>
      <c r="F510" t="s">
        <v>1604</v>
      </c>
      <c r="G510">
        <v>249</v>
      </c>
      <c r="H510">
        <v>26</v>
      </c>
      <c r="I510" t="s">
        <v>4752</v>
      </c>
      <c r="J510" t="s">
        <v>4762</v>
      </c>
      <c r="K510">
        <v>-9.3000000000000007</v>
      </c>
    </row>
    <row r="511" spans="1:11">
      <c r="A511" t="s">
        <v>2119</v>
      </c>
      <c r="B511" s="17">
        <v>45266</v>
      </c>
      <c r="C511">
        <v>2023</v>
      </c>
      <c r="D511" t="s">
        <v>215</v>
      </c>
      <c r="E511" t="s">
        <v>4756</v>
      </c>
      <c r="F511" t="s">
        <v>1611</v>
      </c>
      <c r="G511">
        <v>358</v>
      </c>
      <c r="H511">
        <v>36</v>
      </c>
      <c r="I511" t="s">
        <v>4748</v>
      </c>
      <c r="J511" t="s">
        <v>4760</v>
      </c>
      <c r="K511">
        <v>9.8000000000000007</v>
      </c>
    </row>
    <row r="512" spans="1:11">
      <c r="A512" t="s">
        <v>2120</v>
      </c>
      <c r="B512" s="17">
        <v>45271</v>
      </c>
      <c r="C512">
        <v>2023</v>
      </c>
      <c r="D512" t="s">
        <v>1603</v>
      </c>
      <c r="E512" t="s">
        <v>4751</v>
      </c>
      <c r="F512" t="s">
        <v>1604</v>
      </c>
      <c r="G512">
        <v>342</v>
      </c>
      <c r="H512">
        <v>12</v>
      </c>
      <c r="I512" t="s">
        <v>4750</v>
      </c>
      <c r="J512" t="s">
        <v>4761</v>
      </c>
      <c r="K512">
        <v>-0.5</v>
      </c>
    </row>
    <row r="513" spans="1:11">
      <c r="A513" t="s">
        <v>2121</v>
      </c>
      <c r="B513" s="17">
        <v>45276</v>
      </c>
      <c r="C513">
        <v>2023</v>
      </c>
      <c r="D513" t="s">
        <v>1608</v>
      </c>
      <c r="E513" t="s">
        <v>4749</v>
      </c>
      <c r="F513" t="s">
        <v>1611</v>
      </c>
      <c r="G513">
        <v>957</v>
      </c>
      <c r="H513">
        <v>40</v>
      </c>
      <c r="I513" t="s">
        <v>4750</v>
      </c>
      <c r="J513" t="s">
        <v>4761</v>
      </c>
      <c r="K513">
        <v>-4.3</v>
      </c>
    </row>
    <row r="514" spans="1:11">
      <c r="A514" t="s">
        <v>2122</v>
      </c>
      <c r="B514" s="17">
        <v>45278</v>
      </c>
      <c r="C514">
        <v>2023</v>
      </c>
      <c r="D514" t="s">
        <v>1608</v>
      </c>
      <c r="E514" t="s">
        <v>4747</v>
      </c>
      <c r="F514" t="s">
        <v>1611</v>
      </c>
      <c r="G514">
        <v>984</v>
      </c>
      <c r="H514">
        <v>30</v>
      </c>
      <c r="I514" t="s">
        <v>4752</v>
      </c>
      <c r="J514" t="s">
        <v>4762</v>
      </c>
      <c r="K514">
        <v>-4</v>
      </c>
    </row>
    <row r="515" spans="1:11">
      <c r="A515" t="s">
        <v>2123</v>
      </c>
      <c r="B515" s="17">
        <v>45294</v>
      </c>
      <c r="C515">
        <v>2024</v>
      </c>
      <c r="D515" t="s">
        <v>9</v>
      </c>
      <c r="E515" t="s">
        <v>4753</v>
      </c>
      <c r="F515" t="s">
        <v>1611</v>
      </c>
      <c r="G515">
        <v>697</v>
      </c>
      <c r="H515">
        <v>28</v>
      </c>
      <c r="I515" t="s">
        <v>4748</v>
      </c>
      <c r="J515" t="s">
        <v>4760</v>
      </c>
      <c r="K515">
        <v>-2.1</v>
      </c>
    </row>
    <row r="516" spans="1:11">
      <c r="A516" t="s">
        <v>2124</v>
      </c>
      <c r="B516" s="17">
        <v>45298</v>
      </c>
      <c r="C516">
        <v>2024</v>
      </c>
      <c r="D516" t="s">
        <v>1676</v>
      </c>
      <c r="E516" t="s">
        <v>4751</v>
      </c>
      <c r="F516" t="s">
        <v>1611</v>
      </c>
      <c r="G516">
        <v>2130</v>
      </c>
      <c r="H516">
        <v>37</v>
      </c>
      <c r="I516" t="s">
        <v>4748</v>
      </c>
      <c r="J516" t="s">
        <v>4760</v>
      </c>
      <c r="K516">
        <v>7.8</v>
      </c>
    </row>
    <row r="517" spans="1:11">
      <c r="A517" t="s">
        <v>2125</v>
      </c>
      <c r="B517" s="17">
        <v>45304</v>
      </c>
      <c r="C517">
        <v>2024</v>
      </c>
      <c r="D517" t="s">
        <v>17</v>
      </c>
      <c r="E517" t="s">
        <v>4751</v>
      </c>
      <c r="F517" t="s">
        <v>1611</v>
      </c>
      <c r="G517">
        <v>1098</v>
      </c>
      <c r="H517">
        <v>39</v>
      </c>
      <c r="I517" t="s">
        <v>4752</v>
      </c>
      <c r="J517" t="s">
        <v>4762</v>
      </c>
      <c r="K517">
        <v>-13.3</v>
      </c>
    </row>
    <row r="518" spans="1:11">
      <c r="A518" t="s">
        <v>2126</v>
      </c>
      <c r="B518" s="17">
        <v>45316</v>
      </c>
      <c r="C518">
        <v>2024</v>
      </c>
      <c r="D518" t="s">
        <v>304</v>
      </c>
      <c r="E518" t="s">
        <v>4757</v>
      </c>
      <c r="F518" t="s">
        <v>1604</v>
      </c>
      <c r="G518">
        <v>394</v>
      </c>
      <c r="H518">
        <v>9</v>
      </c>
      <c r="I518" t="s">
        <v>4748</v>
      </c>
      <c r="J518" t="s">
        <v>4760</v>
      </c>
      <c r="K518">
        <v>1.6</v>
      </c>
    </row>
    <row r="519" spans="1:11">
      <c r="A519" t="s">
        <v>2127</v>
      </c>
      <c r="B519" s="17">
        <v>45323</v>
      </c>
      <c r="C519">
        <v>2024</v>
      </c>
      <c r="D519" t="s">
        <v>125</v>
      </c>
      <c r="E519" t="s">
        <v>4747</v>
      </c>
      <c r="F519" t="s">
        <v>1604</v>
      </c>
      <c r="G519">
        <v>145</v>
      </c>
      <c r="H519">
        <v>19</v>
      </c>
      <c r="I519" t="s">
        <v>4752</v>
      </c>
      <c r="J519" t="s">
        <v>4762</v>
      </c>
      <c r="K519">
        <v>-8.5</v>
      </c>
    </row>
    <row r="520" spans="1:11">
      <c r="A520" t="s">
        <v>2128</v>
      </c>
      <c r="B520" s="17">
        <v>45329</v>
      </c>
      <c r="C520">
        <v>2024</v>
      </c>
      <c r="D520" t="s">
        <v>1676</v>
      </c>
      <c r="E520" t="s">
        <v>4749</v>
      </c>
      <c r="F520" t="s">
        <v>1604</v>
      </c>
      <c r="G520">
        <v>239</v>
      </c>
      <c r="H520">
        <v>18</v>
      </c>
      <c r="I520" t="s">
        <v>4750</v>
      </c>
      <c r="J520" t="s">
        <v>4761</v>
      </c>
      <c r="K520">
        <v>2</v>
      </c>
    </row>
    <row r="521" spans="1:11">
      <c r="A521" t="s">
        <v>2129</v>
      </c>
      <c r="B521" s="17">
        <v>45336</v>
      </c>
      <c r="C521">
        <v>2024</v>
      </c>
      <c r="D521" t="s">
        <v>1403</v>
      </c>
      <c r="E521" t="s">
        <v>4759</v>
      </c>
      <c r="F521" t="s">
        <v>1604</v>
      </c>
      <c r="G521">
        <v>214</v>
      </c>
      <c r="H521">
        <v>27</v>
      </c>
      <c r="I521" t="s">
        <v>4748</v>
      </c>
      <c r="J521" t="s">
        <v>4760</v>
      </c>
      <c r="K521">
        <v>10.199999999999999</v>
      </c>
    </row>
    <row r="522" spans="1:11">
      <c r="A522" t="s">
        <v>2130</v>
      </c>
      <c r="B522" s="17">
        <v>45352</v>
      </c>
      <c r="C522">
        <v>2024</v>
      </c>
      <c r="D522" t="s">
        <v>215</v>
      </c>
      <c r="E522" t="s">
        <v>4751</v>
      </c>
      <c r="F522" t="s">
        <v>1604</v>
      </c>
      <c r="G522">
        <v>193</v>
      </c>
      <c r="H522">
        <v>7</v>
      </c>
      <c r="I522" t="s">
        <v>4752</v>
      </c>
      <c r="J522" t="s">
        <v>4762</v>
      </c>
      <c r="K522">
        <v>-19.399999999999999</v>
      </c>
    </row>
    <row r="523" spans="1:11">
      <c r="A523" t="s">
        <v>2131</v>
      </c>
      <c r="B523" s="17">
        <v>45358</v>
      </c>
      <c r="C523">
        <v>2024</v>
      </c>
      <c r="D523" t="s">
        <v>9</v>
      </c>
      <c r="E523" t="s">
        <v>4753</v>
      </c>
      <c r="F523" t="s">
        <v>1611</v>
      </c>
      <c r="G523">
        <v>1633</v>
      </c>
      <c r="H523">
        <v>40</v>
      </c>
      <c r="I523" t="s">
        <v>4748</v>
      </c>
      <c r="J523" t="s">
        <v>4760</v>
      </c>
      <c r="K523">
        <v>1.4</v>
      </c>
    </row>
    <row r="524" spans="1:11">
      <c r="A524" t="s">
        <v>2132</v>
      </c>
      <c r="B524" s="17">
        <v>45360</v>
      </c>
      <c r="C524">
        <v>2024</v>
      </c>
      <c r="D524" t="s">
        <v>1608</v>
      </c>
      <c r="E524" t="s">
        <v>4751</v>
      </c>
      <c r="F524" t="s">
        <v>1604</v>
      </c>
      <c r="G524">
        <v>175</v>
      </c>
      <c r="H524">
        <v>13</v>
      </c>
      <c r="I524" t="s">
        <v>4750</v>
      </c>
      <c r="J524" t="s">
        <v>4761</v>
      </c>
      <c r="K524">
        <v>-1</v>
      </c>
    </row>
    <row r="525" spans="1:11">
      <c r="A525" t="s">
        <v>2133</v>
      </c>
      <c r="B525" s="17">
        <v>45365</v>
      </c>
      <c r="C525">
        <v>2024</v>
      </c>
      <c r="D525" t="s">
        <v>23</v>
      </c>
      <c r="E525" t="s">
        <v>4751</v>
      </c>
      <c r="F525" t="s">
        <v>1611</v>
      </c>
      <c r="G525">
        <v>618</v>
      </c>
      <c r="H525">
        <v>30</v>
      </c>
      <c r="I525" t="s">
        <v>4752</v>
      </c>
      <c r="J525" t="s">
        <v>4762</v>
      </c>
      <c r="K525">
        <v>-9.6999999999999993</v>
      </c>
    </row>
    <row r="526" spans="1:11">
      <c r="A526" t="s">
        <v>2134</v>
      </c>
      <c r="B526" s="17">
        <v>45372</v>
      </c>
      <c r="C526">
        <v>2024</v>
      </c>
      <c r="D526" t="s">
        <v>304</v>
      </c>
      <c r="E526" t="s">
        <v>4751</v>
      </c>
      <c r="F526" t="s">
        <v>1611</v>
      </c>
      <c r="G526">
        <v>2456</v>
      </c>
      <c r="H526">
        <v>31</v>
      </c>
      <c r="I526" t="s">
        <v>4752</v>
      </c>
      <c r="J526" t="s">
        <v>4762</v>
      </c>
      <c r="K526">
        <v>-14.5</v>
      </c>
    </row>
    <row r="527" spans="1:11">
      <c r="A527" t="s">
        <v>2135</v>
      </c>
      <c r="B527" s="17">
        <v>45377</v>
      </c>
      <c r="C527">
        <v>2024</v>
      </c>
      <c r="D527" t="s">
        <v>53</v>
      </c>
      <c r="E527" t="s">
        <v>4747</v>
      </c>
      <c r="F527" t="s">
        <v>1604</v>
      </c>
      <c r="G527">
        <v>400</v>
      </c>
      <c r="H527">
        <v>24</v>
      </c>
      <c r="I527" t="s">
        <v>4752</v>
      </c>
      <c r="J527" t="s">
        <v>4762</v>
      </c>
      <c r="K527">
        <v>-20.6</v>
      </c>
    </row>
    <row r="528" spans="1:11">
      <c r="A528" t="s">
        <v>2136</v>
      </c>
      <c r="B528" s="17">
        <v>45383</v>
      </c>
      <c r="C528">
        <v>2024</v>
      </c>
      <c r="D528" t="s">
        <v>31</v>
      </c>
      <c r="E528" t="s">
        <v>4755</v>
      </c>
      <c r="F528" t="s">
        <v>1604</v>
      </c>
      <c r="G528">
        <v>119</v>
      </c>
      <c r="H528">
        <v>29</v>
      </c>
      <c r="I528" t="s">
        <v>4748</v>
      </c>
      <c r="J528" t="s">
        <v>4760</v>
      </c>
      <c r="K528">
        <v>16.7</v>
      </c>
    </row>
    <row r="529" spans="1:11">
      <c r="A529" t="s">
        <v>2137</v>
      </c>
      <c r="B529" s="17">
        <v>45409</v>
      </c>
      <c r="C529">
        <v>2024</v>
      </c>
      <c r="D529" t="s">
        <v>1608</v>
      </c>
      <c r="E529" t="s">
        <v>4756</v>
      </c>
      <c r="F529" t="s">
        <v>1611</v>
      </c>
      <c r="G529">
        <v>644</v>
      </c>
      <c r="H529">
        <v>38</v>
      </c>
      <c r="I529" t="s">
        <v>4748</v>
      </c>
      <c r="J529" t="s">
        <v>4760</v>
      </c>
      <c r="K529">
        <v>3.9</v>
      </c>
    </row>
    <row r="530" spans="1:11">
      <c r="A530" t="s">
        <v>2138</v>
      </c>
      <c r="B530" s="17">
        <v>45449</v>
      </c>
      <c r="C530">
        <v>2024</v>
      </c>
      <c r="D530" t="s">
        <v>1403</v>
      </c>
      <c r="E530" t="s">
        <v>4754</v>
      </c>
      <c r="F530" t="s">
        <v>1604</v>
      </c>
      <c r="G530">
        <v>336</v>
      </c>
      <c r="H530">
        <v>16</v>
      </c>
      <c r="I530" t="s">
        <v>4748</v>
      </c>
      <c r="J530" t="s">
        <v>4760</v>
      </c>
      <c r="K530">
        <v>1.9</v>
      </c>
    </row>
    <row r="531" spans="1:11">
      <c r="A531" t="s">
        <v>2139</v>
      </c>
      <c r="B531" s="17">
        <v>45454</v>
      </c>
      <c r="C531">
        <v>2024</v>
      </c>
      <c r="D531" t="s">
        <v>1676</v>
      </c>
      <c r="E531" t="s">
        <v>4757</v>
      </c>
      <c r="F531" t="s">
        <v>1611</v>
      </c>
      <c r="G531">
        <v>954</v>
      </c>
      <c r="H531">
        <v>41</v>
      </c>
      <c r="I531" t="s">
        <v>4752</v>
      </c>
      <c r="J531" t="s">
        <v>4762</v>
      </c>
      <c r="K531">
        <v>-8.6</v>
      </c>
    </row>
    <row r="532" spans="1:11">
      <c r="A532" t="s">
        <v>2140</v>
      </c>
      <c r="B532" s="17">
        <v>45478</v>
      </c>
      <c r="C532">
        <v>2024</v>
      </c>
      <c r="D532" t="s">
        <v>1403</v>
      </c>
      <c r="E532" t="s">
        <v>4754</v>
      </c>
      <c r="F532" t="s">
        <v>1604</v>
      </c>
      <c r="G532">
        <v>348</v>
      </c>
      <c r="H532">
        <v>31</v>
      </c>
      <c r="I532" t="s">
        <v>4748</v>
      </c>
      <c r="J532" t="s">
        <v>4760</v>
      </c>
      <c r="K532">
        <v>11.7</v>
      </c>
    </row>
    <row r="533" spans="1:11">
      <c r="A533" t="s">
        <v>2141</v>
      </c>
      <c r="B533" s="17">
        <v>45482</v>
      </c>
      <c r="C533">
        <v>2024</v>
      </c>
      <c r="D533" t="s">
        <v>31</v>
      </c>
      <c r="E533" t="s">
        <v>4759</v>
      </c>
      <c r="F533" t="s">
        <v>1604</v>
      </c>
      <c r="G533">
        <v>433</v>
      </c>
      <c r="H533">
        <v>13</v>
      </c>
      <c r="I533" t="s">
        <v>4752</v>
      </c>
      <c r="J533" t="s">
        <v>4762</v>
      </c>
      <c r="K533">
        <v>-14.8</v>
      </c>
    </row>
    <row r="534" spans="1:11">
      <c r="A534" t="s">
        <v>2142</v>
      </c>
      <c r="B534" s="17">
        <v>45484</v>
      </c>
      <c r="C534">
        <v>2024</v>
      </c>
      <c r="D534" t="s">
        <v>1403</v>
      </c>
      <c r="E534" t="s">
        <v>4759</v>
      </c>
      <c r="F534" t="s">
        <v>1611</v>
      </c>
      <c r="G534">
        <v>398</v>
      </c>
      <c r="H534">
        <v>40</v>
      </c>
      <c r="I534" t="s">
        <v>4750</v>
      </c>
      <c r="J534" t="s">
        <v>4761</v>
      </c>
      <c r="K534">
        <v>-2.6</v>
      </c>
    </row>
    <row r="535" spans="1:11">
      <c r="A535" t="s">
        <v>2143</v>
      </c>
      <c r="B535" s="17">
        <v>45490</v>
      </c>
      <c r="C535">
        <v>2024</v>
      </c>
      <c r="D535" t="s">
        <v>38</v>
      </c>
      <c r="E535" t="s">
        <v>4753</v>
      </c>
      <c r="F535" t="s">
        <v>1611</v>
      </c>
      <c r="G535">
        <v>444</v>
      </c>
      <c r="H535">
        <v>39</v>
      </c>
      <c r="I535" t="s">
        <v>4752</v>
      </c>
      <c r="J535" t="s">
        <v>4762</v>
      </c>
      <c r="K535">
        <v>-7.5</v>
      </c>
    </row>
    <row r="536" spans="1:11">
      <c r="A536" t="s">
        <v>2144</v>
      </c>
      <c r="B536" s="17">
        <v>45494</v>
      </c>
      <c r="C536">
        <v>2024</v>
      </c>
      <c r="D536" t="s">
        <v>53</v>
      </c>
      <c r="E536" t="s">
        <v>4753</v>
      </c>
      <c r="F536" t="s">
        <v>1611</v>
      </c>
      <c r="G536">
        <v>829</v>
      </c>
      <c r="H536">
        <v>33</v>
      </c>
      <c r="I536" t="s">
        <v>4748</v>
      </c>
      <c r="J536" t="s">
        <v>4760</v>
      </c>
      <c r="K536">
        <v>21.5</v>
      </c>
    </row>
    <row r="537" spans="1:11">
      <c r="A537" t="s">
        <v>2145</v>
      </c>
      <c r="B537" s="17">
        <v>45514</v>
      </c>
      <c r="C537">
        <v>2024</v>
      </c>
      <c r="D537" t="s">
        <v>146</v>
      </c>
      <c r="E537" t="s">
        <v>4753</v>
      </c>
      <c r="F537" t="s">
        <v>1611</v>
      </c>
      <c r="G537">
        <v>786</v>
      </c>
      <c r="H537">
        <v>38</v>
      </c>
      <c r="I537" t="s">
        <v>4748</v>
      </c>
      <c r="J537" t="s">
        <v>4760</v>
      </c>
      <c r="K537">
        <v>14.3</v>
      </c>
    </row>
    <row r="538" spans="1:11">
      <c r="A538" t="s">
        <v>2146</v>
      </c>
      <c r="B538" s="17">
        <v>45515</v>
      </c>
      <c r="C538">
        <v>2024</v>
      </c>
      <c r="D538" t="s">
        <v>1610</v>
      </c>
      <c r="E538" t="s">
        <v>4754</v>
      </c>
      <c r="F538" t="s">
        <v>1604</v>
      </c>
      <c r="G538">
        <v>326</v>
      </c>
      <c r="H538">
        <v>24</v>
      </c>
      <c r="I538" t="s">
        <v>4750</v>
      </c>
      <c r="J538" t="s">
        <v>4761</v>
      </c>
      <c r="K538">
        <v>1.7</v>
      </c>
    </row>
    <row r="539" spans="1:11">
      <c r="A539" t="s">
        <v>2147</v>
      </c>
      <c r="B539" s="17">
        <v>45518</v>
      </c>
      <c r="C539">
        <v>2024</v>
      </c>
      <c r="D539" t="s">
        <v>1403</v>
      </c>
      <c r="E539" t="s">
        <v>4751</v>
      </c>
      <c r="F539" t="s">
        <v>1611</v>
      </c>
      <c r="G539">
        <v>883</v>
      </c>
      <c r="H539">
        <v>32</v>
      </c>
      <c r="I539" t="s">
        <v>4750</v>
      </c>
      <c r="J539" t="s">
        <v>4761</v>
      </c>
      <c r="K539">
        <v>-3</v>
      </c>
    </row>
    <row r="540" spans="1:11">
      <c r="A540" t="s">
        <v>2148</v>
      </c>
      <c r="B540" s="17">
        <v>45526</v>
      </c>
      <c r="C540">
        <v>2024</v>
      </c>
      <c r="D540" t="s">
        <v>1403</v>
      </c>
      <c r="E540" t="s">
        <v>4747</v>
      </c>
      <c r="F540" t="s">
        <v>1604</v>
      </c>
      <c r="G540">
        <v>278</v>
      </c>
      <c r="H540">
        <v>20</v>
      </c>
      <c r="I540" t="s">
        <v>4752</v>
      </c>
      <c r="J540" t="s">
        <v>4762</v>
      </c>
      <c r="K540">
        <v>-9.6</v>
      </c>
    </row>
    <row r="541" spans="1:11">
      <c r="A541" t="s">
        <v>2149</v>
      </c>
      <c r="B541" s="17">
        <v>45537</v>
      </c>
      <c r="C541">
        <v>2024</v>
      </c>
      <c r="D541" t="s">
        <v>1676</v>
      </c>
      <c r="E541" t="s">
        <v>4751</v>
      </c>
      <c r="F541" t="s">
        <v>1611</v>
      </c>
      <c r="G541">
        <v>1056</v>
      </c>
      <c r="H541">
        <v>46</v>
      </c>
      <c r="I541" t="s">
        <v>4748</v>
      </c>
      <c r="J541" t="s">
        <v>4760</v>
      </c>
      <c r="K541">
        <v>12.8</v>
      </c>
    </row>
    <row r="542" spans="1:11">
      <c r="A542" t="s">
        <v>2150</v>
      </c>
      <c r="B542" s="17">
        <v>45556</v>
      </c>
      <c r="C542">
        <v>2024</v>
      </c>
      <c r="D542" t="s">
        <v>1608</v>
      </c>
      <c r="E542" t="s">
        <v>4753</v>
      </c>
      <c r="F542" t="s">
        <v>1611</v>
      </c>
      <c r="G542">
        <v>962</v>
      </c>
      <c r="H542">
        <v>39</v>
      </c>
      <c r="I542" t="s">
        <v>4750</v>
      </c>
      <c r="J542" t="s">
        <v>4761</v>
      </c>
      <c r="K542">
        <v>-7.9</v>
      </c>
    </row>
    <row r="543" spans="1:11">
      <c r="A543" t="s">
        <v>2151</v>
      </c>
      <c r="B543" s="17">
        <v>45556</v>
      </c>
      <c r="C543">
        <v>2024</v>
      </c>
      <c r="D543" t="s">
        <v>53</v>
      </c>
      <c r="E543" t="s">
        <v>4751</v>
      </c>
      <c r="F543" t="s">
        <v>1611</v>
      </c>
      <c r="G543">
        <v>448</v>
      </c>
      <c r="H543">
        <v>52</v>
      </c>
      <c r="I543" t="s">
        <v>4748</v>
      </c>
      <c r="J543" t="s">
        <v>4760</v>
      </c>
      <c r="K543">
        <v>7.3</v>
      </c>
    </row>
    <row r="544" spans="1:11">
      <c r="A544" t="s">
        <v>2152</v>
      </c>
      <c r="B544" s="17">
        <v>45560</v>
      </c>
      <c r="C544">
        <v>2024</v>
      </c>
      <c r="D544" t="s">
        <v>1610</v>
      </c>
      <c r="E544" t="s">
        <v>4757</v>
      </c>
      <c r="F544" t="s">
        <v>1611</v>
      </c>
      <c r="G544">
        <v>1622</v>
      </c>
      <c r="H544">
        <v>42</v>
      </c>
      <c r="I544" t="s">
        <v>4752</v>
      </c>
      <c r="J544" t="s">
        <v>4762</v>
      </c>
      <c r="K544">
        <v>-5.5</v>
      </c>
    </row>
    <row r="545" spans="1:11">
      <c r="A545" t="s">
        <v>2153</v>
      </c>
      <c r="B545" s="17">
        <v>45570</v>
      </c>
      <c r="C545">
        <v>2024</v>
      </c>
      <c r="D545" t="s">
        <v>1403</v>
      </c>
      <c r="E545" t="s">
        <v>4747</v>
      </c>
      <c r="F545" t="s">
        <v>1611</v>
      </c>
      <c r="G545">
        <v>1246</v>
      </c>
      <c r="H545">
        <v>24</v>
      </c>
      <c r="I545" t="s">
        <v>4752</v>
      </c>
      <c r="J545" t="s">
        <v>4762</v>
      </c>
      <c r="K545">
        <v>-27</v>
      </c>
    </row>
    <row r="546" spans="1:11">
      <c r="A546" t="s">
        <v>2154</v>
      </c>
      <c r="B546" s="17">
        <v>45574</v>
      </c>
      <c r="C546">
        <v>2024</v>
      </c>
      <c r="D546" t="s">
        <v>304</v>
      </c>
      <c r="E546" t="s">
        <v>4751</v>
      </c>
      <c r="F546" t="s">
        <v>1611</v>
      </c>
      <c r="G546">
        <v>1180</v>
      </c>
      <c r="H546">
        <v>34</v>
      </c>
      <c r="I546" t="s">
        <v>4752</v>
      </c>
      <c r="J546" t="s">
        <v>4762</v>
      </c>
      <c r="K546">
        <v>-41.2</v>
      </c>
    </row>
    <row r="547" spans="1:11">
      <c r="A547" t="s">
        <v>2155</v>
      </c>
      <c r="B547" s="17">
        <v>45579</v>
      </c>
      <c r="C547">
        <v>2024</v>
      </c>
      <c r="D547" t="s">
        <v>146</v>
      </c>
      <c r="E547" t="s">
        <v>4753</v>
      </c>
      <c r="F547" t="s">
        <v>1611</v>
      </c>
      <c r="G547">
        <v>513</v>
      </c>
      <c r="H547">
        <v>50</v>
      </c>
      <c r="I547" t="s">
        <v>4748</v>
      </c>
      <c r="J547" t="s">
        <v>4760</v>
      </c>
      <c r="K547">
        <v>14.2</v>
      </c>
    </row>
    <row r="548" spans="1:11">
      <c r="A548" t="s">
        <v>2156</v>
      </c>
      <c r="B548" s="17">
        <v>45582</v>
      </c>
      <c r="C548">
        <v>2024</v>
      </c>
      <c r="D548" t="s">
        <v>17</v>
      </c>
      <c r="E548" t="s">
        <v>4755</v>
      </c>
      <c r="F548" t="s">
        <v>1611</v>
      </c>
      <c r="G548">
        <v>434</v>
      </c>
      <c r="H548">
        <v>29</v>
      </c>
      <c r="I548" t="s">
        <v>4748</v>
      </c>
      <c r="J548" t="s">
        <v>4760</v>
      </c>
      <c r="K548">
        <v>9.1999999999999993</v>
      </c>
    </row>
    <row r="549" spans="1:11">
      <c r="A549" t="s">
        <v>2157</v>
      </c>
      <c r="B549" s="17">
        <v>45598</v>
      </c>
      <c r="C549">
        <v>2024</v>
      </c>
      <c r="D549" t="s">
        <v>42</v>
      </c>
      <c r="E549" t="s">
        <v>4751</v>
      </c>
      <c r="F549" t="s">
        <v>1611</v>
      </c>
      <c r="G549">
        <v>850</v>
      </c>
      <c r="H549">
        <v>39</v>
      </c>
      <c r="I549" t="s">
        <v>4752</v>
      </c>
      <c r="J549" t="s">
        <v>4762</v>
      </c>
      <c r="K549">
        <v>-8.3000000000000007</v>
      </c>
    </row>
    <row r="550" spans="1:11">
      <c r="A550" t="s">
        <v>2158</v>
      </c>
      <c r="B550" s="17">
        <v>45601</v>
      </c>
      <c r="C550">
        <v>2024</v>
      </c>
      <c r="D550" t="s">
        <v>42</v>
      </c>
      <c r="E550" t="s">
        <v>4751</v>
      </c>
      <c r="F550" t="s">
        <v>1611</v>
      </c>
      <c r="G550">
        <v>1170</v>
      </c>
      <c r="H550">
        <v>41</v>
      </c>
      <c r="I550" t="s">
        <v>4752</v>
      </c>
      <c r="J550" t="s">
        <v>4762</v>
      </c>
      <c r="K550">
        <v>0.4</v>
      </c>
    </row>
    <row r="551" spans="1:11">
      <c r="A551" t="s">
        <v>2159</v>
      </c>
      <c r="B551" s="17">
        <v>45609</v>
      </c>
      <c r="C551">
        <v>2024</v>
      </c>
      <c r="D551" t="s">
        <v>23</v>
      </c>
      <c r="E551" t="s">
        <v>4747</v>
      </c>
      <c r="F551" t="s">
        <v>1604</v>
      </c>
      <c r="G551">
        <v>361</v>
      </c>
      <c r="H551">
        <v>16</v>
      </c>
      <c r="I551" t="s">
        <v>4748</v>
      </c>
      <c r="J551" t="s">
        <v>4760</v>
      </c>
      <c r="K551">
        <v>20.9</v>
      </c>
    </row>
    <row r="552" spans="1:11">
      <c r="A552" t="s">
        <v>2160</v>
      </c>
      <c r="B552" s="17">
        <v>45610</v>
      </c>
      <c r="C552">
        <v>2024</v>
      </c>
      <c r="D552" t="s">
        <v>1603</v>
      </c>
      <c r="E552" t="s">
        <v>4757</v>
      </c>
      <c r="F552" t="s">
        <v>1604</v>
      </c>
      <c r="G552">
        <v>122</v>
      </c>
      <c r="H552">
        <v>19</v>
      </c>
      <c r="I552" t="s">
        <v>4748</v>
      </c>
      <c r="J552" t="s">
        <v>4760</v>
      </c>
      <c r="K552">
        <v>9.1</v>
      </c>
    </row>
    <row r="553" spans="1:11">
      <c r="A553" t="s">
        <v>2161</v>
      </c>
      <c r="B553" s="17">
        <v>45611</v>
      </c>
      <c r="C553">
        <v>2024</v>
      </c>
      <c r="D553" t="s">
        <v>146</v>
      </c>
      <c r="E553" t="s">
        <v>4757</v>
      </c>
      <c r="F553" t="s">
        <v>1604</v>
      </c>
      <c r="G553">
        <v>342</v>
      </c>
      <c r="H553">
        <v>21</v>
      </c>
      <c r="I553" t="s">
        <v>4748</v>
      </c>
      <c r="J553" t="s">
        <v>4760</v>
      </c>
      <c r="K553">
        <v>12.8</v>
      </c>
    </row>
    <row r="554" spans="1:11">
      <c r="A554" t="s">
        <v>2162</v>
      </c>
      <c r="B554" s="17">
        <v>45627</v>
      </c>
      <c r="C554">
        <v>2024</v>
      </c>
      <c r="D554" t="s">
        <v>215</v>
      </c>
      <c r="E554" t="s">
        <v>4757</v>
      </c>
      <c r="F554" t="s">
        <v>1604</v>
      </c>
      <c r="G554">
        <v>336</v>
      </c>
      <c r="H554">
        <v>18</v>
      </c>
      <c r="I554" t="s">
        <v>4748</v>
      </c>
      <c r="J554" t="s">
        <v>4760</v>
      </c>
      <c r="K554">
        <v>-6.1</v>
      </c>
    </row>
    <row r="555" spans="1:11">
      <c r="A555" t="s">
        <v>2163</v>
      </c>
      <c r="B555" s="17">
        <v>45647</v>
      </c>
      <c r="C555">
        <v>2024</v>
      </c>
      <c r="D555" t="s">
        <v>1676</v>
      </c>
      <c r="E555" t="s">
        <v>4747</v>
      </c>
      <c r="F555" t="s">
        <v>1604</v>
      </c>
      <c r="G555">
        <v>793</v>
      </c>
      <c r="H555">
        <v>20</v>
      </c>
      <c r="I555" t="s">
        <v>4752</v>
      </c>
      <c r="J555" t="s">
        <v>4762</v>
      </c>
      <c r="K555">
        <v>-8.6</v>
      </c>
    </row>
    <row r="556" spans="1:11">
      <c r="A556" t="s">
        <v>2164</v>
      </c>
      <c r="B556" s="17">
        <v>45649</v>
      </c>
      <c r="C556">
        <v>2024</v>
      </c>
      <c r="D556" t="s">
        <v>9</v>
      </c>
      <c r="E556" t="s">
        <v>4754</v>
      </c>
      <c r="F556" t="s">
        <v>1604</v>
      </c>
      <c r="G556">
        <v>62</v>
      </c>
      <c r="H556">
        <v>19</v>
      </c>
      <c r="I556" t="s">
        <v>4748</v>
      </c>
      <c r="J556" t="s">
        <v>4760</v>
      </c>
      <c r="K556">
        <v>12.7</v>
      </c>
    </row>
    <row r="557" spans="1:11">
      <c r="A557" t="s">
        <v>2165</v>
      </c>
      <c r="B557" s="17">
        <v>45659</v>
      </c>
      <c r="C557">
        <v>2025</v>
      </c>
      <c r="D557" t="s">
        <v>215</v>
      </c>
      <c r="E557" t="s">
        <v>4751</v>
      </c>
      <c r="F557" t="s">
        <v>1604</v>
      </c>
      <c r="G557">
        <v>254</v>
      </c>
      <c r="H557">
        <v>21</v>
      </c>
      <c r="I557" t="s">
        <v>4748</v>
      </c>
      <c r="J557" t="s">
        <v>4760</v>
      </c>
      <c r="K557">
        <v>4.9000000000000004</v>
      </c>
    </row>
    <row r="558" spans="1:11">
      <c r="A558" t="s">
        <v>2166</v>
      </c>
      <c r="B558" s="17">
        <v>45662</v>
      </c>
      <c r="C558">
        <v>2025</v>
      </c>
      <c r="D558" t="s">
        <v>146</v>
      </c>
      <c r="E558" t="s">
        <v>4751</v>
      </c>
      <c r="F558" t="s">
        <v>1611</v>
      </c>
      <c r="G558">
        <v>952</v>
      </c>
      <c r="H558">
        <v>34</v>
      </c>
      <c r="I558" t="s">
        <v>4752</v>
      </c>
      <c r="J558" t="s">
        <v>4762</v>
      </c>
      <c r="K558">
        <v>-9.4</v>
      </c>
    </row>
    <row r="559" spans="1:11">
      <c r="A559" t="s">
        <v>2167</v>
      </c>
      <c r="B559" s="17">
        <v>45667</v>
      </c>
      <c r="C559">
        <v>2025</v>
      </c>
      <c r="D559" t="s">
        <v>38</v>
      </c>
      <c r="E559" t="s">
        <v>4751</v>
      </c>
      <c r="F559" t="s">
        <v>1611</v>
      </c>
      <c r="G559">
        <v>380</v>
      </c>
      <c r="H559">
        <v>36</v>
      </c>
      <c r="I559" t="s">
        <v>4748</v>
      </c>
      <c r="J559" t="s">
        <v>4760</v>
      </c>
      <c r="K559">
        <v>4.0999999999999996</v>
      </c>
    </row>
    <row r="560" spans="1:11">
      <c r="A560" t="s">
        <v>2168</v>
      </c>
      <c r="B560" s="17">
        <v>45670</v>
      </c>
      <c r="C560">
        <v>2025</v>
      </c>
      <c r="D560" t="s">
        <v>125</v>
      </c>
      <c r="E560" t="s">
        <v>4759</v>
      </c>
      <c r="F560" t="s">
        <v>1604</v>
      </c>
      <c r="G560">
        <v>152</v>
      </c>
      <c r="H560">
        <v>21</v>
      </c>
      <c r="I560" t="s">
        <v>4748</v>
      </c>
      <c r="J560" t="s">
        <v>4760</v>
      </c>
      <c r="K560">
        <v>18</v>
      </c>
    </row>
    <row r="561" spans="1:11">
      <c r="A561" t="s">
        <v>2169</v>
      </c>
      <c r="B561" s="17">
        <v>45677</v>
      </c>
      <c r="C561">
        <v>2025</v>
      </c>
      <c r="D561" t="s">
        <v>38</v>
      </c>
      <c r="E561" t="s">
        <v>4749</v>
      </c>
      <c r="F561" t="s">
        <v>1604</v>
      </c>
      <c r="G561">
        <v>117</v>
      </c>
      <c r="H561">
        <v>16</v>
      </c>
      <c r="I561" t="s">
        <v>4750</v>
      </c>
      <c r="J561" t="s">
        <v>4761</v>
      </c>
      <c r="K561">
        <v>0.6</v>
      </c>
    </row>
    <row r="562" spans="1:11">
      <c r="A562" t="s">
        <v>2170</v>
      </c>
      <c r="B562" s="17">
        <v>45693</v>
      </c>
      <c r="C562">
        <v>2025</v>
      </c>
      <c r="D562" t="s">
        <v>1603</v>
      </c>
      <c r="E562" t="s">
        <v>4758</v>
      </c>
      <c r="F562" t="s">
        <v>1604</v>
      </c>
      <c r="G562">
        <v>404</v>
      </c>
      <c r="H562">
        <v>21</v>
      </c>
      <c r="I562" t="s">
        <v>4752</v>
      </c>
      <c r="J562" t="s">
        <v>4762</v>
      </c>
      <c r="K562">
        <v>-13</v>
      </c>
    </row>
    <row r="563" spans="1:11">
      <c r="A563" t="s">
        <v>2171</v>
      </c>
      <c r="B563" s="17">
        <v>45696</v>
      </c>
      <c r="C563">
        <v>2025</v>
      </c>
      <c r="D563" t="s">
        <v>376</v>
      </c>
      <c r="E563" t="s">
        <v>4754</v>
      </c>
      <c r="F563" t="s">
        <v>1611</v>
      </c>
      <c r="G563">
        <v>640</v>
      </c>
      <c r="H563">
        <v>45</v>
      </c>
      <c r="I563" t="s">
        <v>4748</v>
      </c>
      <c r="J563" t="s">
        <v>4760</v>
      </c>
      <c r="K563">
        <v>-2.2999999999999998</v>
      </c>
    </row>
    <row r="564" spans="1:11">
      <c r="A564" t="s">
        <v>2172</v>
      </c>
      <c r="B564" s="17">
        <v>45699</v>
      </c>
      <c r="C564">
        <v>2025</v>
      </c>
      <c r="D564" t="s">
        <v>146</v>
      </c>
      <c r="E564" t="s">
        <v>4747</v>
      </c>
      <c r="F564" t="s">
        <v>1611</v>
      </c>
      <c r="G564">
        <v>1499</v>
      </c>
      <c r="H564">
        <v>34</v>
      </c>
      <c r="I564" t="s">
        <v>4750</v>
      </c>
      <c r="J564" t="s">
        <v>4761</v>
      </c>
      <c r="K564">
        <v>-4.9000000000000004</v>
      </c>
    </row>
    <row r="565" spans="1:11">
      <c r="A565" t="s">
        <v>2173</v>
      </c>
      <c r="B565" s="17">
        <v>45707</v>
      </c>
      <c r="C565">
        <v>2025</v>
      </c>
      <c r="D565" t="s">
        <v>17</v>
      </c>
      <c r="E565" t="s">
        <v>4754</v>
      </c>
      <c r="F565" t="s">
        <v>1611</v>
      </c>
      <c r="G565">
        <v>495</v>
      </c>
      <c r="H565">
        <v>37</v>
      </c>
      <c r="I565" t="s">
        <v>4748</v>
      </c>
      <c r="J565" t="s">
        <v>4760</v>
      </c>
      <c r="K565">
        <v>5.3</v>
      </c>
    </row>
    <row r="566" spans="1:11">
      <c r="A566" t="s">
        <v>2174</v>
      </c>
      <c r="B566" s="17">
        <v>45725</v>
      </c>
      <c r="C566">
        <v>2025</v>
      </c>
      <c r="D566" t="s">
        <v>53</v>
      </c>
      <c r="E566" t="s">
        <v>4759</v>
      </c>
      <c r="F566" t="s">
        <v>1604</v>
      </c>
      <c r="G566">
        <v>186</v>
      </c>
      <c r="H566">
        <v>16</v>
      </c>
      <c r="I566" t="s">
        <v>4752</v>
      </c>
      <c r="J566" t="s">
        <v>4762</v>
      </c>
      <c r="K566">
        <v>-2.5</v>
      </c>
    </row>
    <row r="567" spans="1:11">
      <c r="A567" t="s">
        <v>2175</v>
      </c>
      <c r="B567" s="17">
        <v>45753</v>
      </c>
      <c r="C567">
        <v>2025</v>
      </c>
      <c r="D567" t="s">
        <v>1403</v>
      </c>
      <c r="E567" t="s">
        <v>4753</v>
      </c>
      <c r="F567" t="s">
        <v>1611</v>
      </c>
      <c r="G567">
        <v>2298</v>
      </c>
      <c r="H567">
        <v>28</v>
      </c>
      <c r="I567" t="s">
        <v>4748</v>
      </c>
      <c r="J567" t="s">
        <v>4760</v>
      </c>
      <c r="K567">
        <v>7.7</v>
      </c>
    </row>
    <row r="568" spans="1:11">
      <c r="A568" t="s">
        <v>2176</v>
      </c>
      <c r="B568" s="17">
        <v>45778</v>
      </c>
      <c r="C568">
        <v>2025</v>
      </c>
      <c r="D568" t="s">
        <v>38</v>
      </c>
      <c r="E568" t="s">
        <v>4751</v>
      </c>
      <c r="F568" t="s">
        <v>1604</v>
      </c>
      <c r="G568">
        <v>322</v>
      </c>
      <c r="H568">
        <v>30</v>
      </c>
      <c r="I568" t="s">
        <v>4748</v>
      </c>
      <c r="J568" t="s">
        <v>4760</v>
      </c>
      <c r="K568">
        <v>11</v>
      </c>
    </row>
    <row r="569" spans="1:11">
      <c r="A569" t="s">
        <v>2177</v>
      </c>
      <c r="B569" s="17">
        <v>45789</v>
      </c>
      <c r="C569">
        <v>2025</v>
      </c>
      <c r="D569" t="s">
        <v>23</v>
      </c>
      <c r="E569" t="s">
        <v>4749</v>
      </c>
      <c r="F569" t="s">
        <v>1604</v>
      </c>
      <c r="G569">
        <v>260</v>
      </c>
      <c r="H569">
        <v>8</v>
      </c>
      <c r="I569" t="s">
        <v>4748</v>
      </c>
      <c r="J569" t="s">
        <v>4760</v>
      </c>
      <c r="K569">
        <v>8</v>
      </c>
    </row>
    <row r="570" spans="1:11">
      <c r="A570" t="s">
        <v>2178</v>
      </c>
      <c r="B570" s="17">
        <v>45789</v>
      </c>
      <c r="C570">
        <v>2025</v>
      </c>
      <c r="D570" t="s">
        <v>9</v>
      </c>
      <c r="E570" t="s">
        <v>4756</v>
      </c>
      <c r="F570" t="s">
        <v>1611</v>
      </c>
      <c r="G570">
        <v>363</v>
      </c>
      <c r="H570">
        <v>31</v>
      </c>
      <c r="I570" t="s">
        <v>4752</v>
      </c>
      <c r="J570" t="s">
        <v>4762</v>
      </c>
      <c r="K570">
        <v>-4.5</v>
      </c>
    </row>
    <row r="571" spans="1:11">
      <c r="A571" t="s">
        <v>2179</v>
      </c>
      <c r="B571" s="17">
        <v>45794</v>
      </c>
      <c r="C571">
        <v>2025</v>
      </c>
      <c r="D571" t="s">
        <v>31</v>
      </c>
      <c r="E571" t="s">
        <v>4757</v>
      </c>
      <c r="F571" t="s">
        <v>1611</v>
      </c>
      <c r="G571">
        <v>3689</v>
      </c>
      <c r="H571">
        <v>39</v>
      </c>
      <c r="I571" t="s">
        <v>4752</v>
      </c>
      <c r="J571" t="s">
        <v>4762</v>
      </c>
      <c r="K571">
        <v>2.4</v>
      </c>
    </row>
    <row r="572" spans="1:11">
      <c r="A572" t="s">
        <v>2180</v>
      </c>
      <c r="B572" s="17">
        <v>45799</v>
      </c>
      <c r="C572">
        <v>2025</v>
      </c>
      <c r="D572" t="s">
        <v>9</v>
      </c>
      <c r="E572" t="s">
        <v>4758</v>
      </c>
      <c r="F572" t="s">
        <v>1611</v>
      </c>
      <c r="G572">
        <v>1886</v>
      </c>
      <c r="H572">
        <v>29</v>
      </c>
      <c r="I572" t="s">
        <v>4752</v>
      </c>
      <c r="J572" t="s">
        <v>4762</v>
      </c>
      <c r="K572">
        <v>-13.1</v>
      </c>
    </row>
    <row r="573" spans="1:11">
      <c r="A573" t="s">
        <v>2181</v>
      </c>
      <c r="B573" s="17">
        <v>45801</v>
      </c>
      <c r="C573">
        <v>2025</v>
      </c>
      <c r="D573" t="s">
        <v>17</v>
      </c>
      <c r="E573" t="s">
        <v>4747</v>
      </c>
      <c r="F573" t="s">
        <v>1611</v>
      </c>
      <c r="G573">
        <v>1421</v>
      </c>
      <c r="H573">
        <v>30</v>
      </c>
      <c r="I573" t="s">
        <v>4748</v>
      </c>
      <c r="J573" t="s">
        <v>4760</v>
      </c>
      <c r="K573">
        <v>10.199999999999999</v>
      </c>
    </row>
    <row r="574" spans="1:11">
      <c r="A574" t="s">
        <v>2182</v>
      </c>
      <c r="B574" s="17">
        <v>45802</v>
      </c>
      <c r="C574">
        <v>2025</v>
      </c>
      <c r="D574" t="s">
        <v>1603</v>
      </c>
      <c r="E574" t="s">
        <v>4751</v>
      </c>
      <c r="F574" t="s">
        <v>1611</v>
      </c>
      <c r="G574">
        <v>940</v>
      </c>
      <c r="H574">
        <v>33</v>
      </c>
      <c r="I574" t="s">
        <v>4752</v>
      </c>
      <c r="J574" t="s">
        <v>4762</v>
      </c>
      <c r="K574">
        <v>-9.8000000000000007</v>
      </c>
    </row>
    <row r="575" spans="1:11">
      <c r="A575" t="s">
        <v>2183</v>
      </c>
      <c r="B575" s="17">
        <v>45828</v>
      </c>
      <c r="C575">
        <v>2025</v>
      </c>
      <c r="D575" t="s">
        <v>53</v>
      </c>
      <c r="E575" t="s">
        <v>4753</v>
      </c>
      <c r="F575" t="s">
        <v>1604</v>
      </c>
      <c r="G575">
        <v>255</v>
      </c>
      <c r="H575">
        <v>24</v>
      </c>
      <c r="I575" t="s">
        <v>4748</v>
      </c>
      <c r="J575" t="s">
        <v>4760</v>
      </c>
      <c r="K575">
        <v>7.7</v>
      </c>
    </row>
    <row r="576" spans="1:11">
      <c r="A576" t="s">
        <v>2184</v>
      </c>
      <c r="B576" s="17">
        <v>45846</v>
      </c>
      <c r="C576">
        <v>2025</v>
      </c>
      <c r="D576" t="s">
        <v>215</v>
      </c>
      <c r="E576" t="s">
        <v>4753</v>
      </c>
      <c r="F576" t="s">
        <v>1611</v>
      </c>
      <c r="G576">
        <v>2499</v>
      </c>
      <c r="H576">
        <v>38</v>
      </c>
      <c r="I576" t="s">
        <v>4750</v>
      </c>
      <c r="J576" t="s">
        <v>4761</v>
      </c>
      <c r="K576">
        <v>-0.1</v>
      </c>
    </row>
    <row r="577" spans="1:11">
      <c r="A577" t="s">
        <v>2185</v>
      </c>
      <c r="B577" s="17">
        <v>45883</v>
      </c>
      <c r="C577">
        <v>2025</v>
      </c>
      <c r="D577" t="s">
        <v>376</v>
      </c>
      <c r="E577" t="s">
        <v>4753</v>
      </c>
      <c r="F577" t="s">
        <v>1611</v>
      </c>
      <c r="G577">
        <v>1003</v>
      </c>
      <c r="H577">
        <v>31</v>
      </c>
      <c r="I577" t="s">
        <v>4748</v>
      </c>
      <c r="J577" t="s">
        <v>4760</v>
      </c>
      <c r="K577">
        <v>-2.7</v>
      </c>
    </row>
    <row r="578" spans="1:11">
      <c r="A578" t="s">
        <v>2186</v>
      </c>
      <c r="B578" s="17">
        <v>45888</v>
      </c>
      <c r="C578">
        <v>2025</v>
      </c>
      <c r="D578" t="s">
        <v>1610</v>
      </c>
      <c r="E578" t="s">
        <v>4751</v>
      </c>
      <c r="F578" t="s">
        <v>1604</v>
      </c>
      <c r="G578">
        <v>316</v>
      </c>
      <c r="H578">
        <v>21</v>
      </c>
      <c r="I578" t="s">
        <v>4752</v>
      </c>
      <c r="J578" t="s">
        <v>4762</v>
      </c>
      <c r="K578">
        <v>-14.2</v>
      </c>
    </row>
    <row r="579" spans="1:11">
      <c r="A579" t="s">
        <v>2187</v>
      </c>
      <c r="B579" s="17">
        <v>45893</v>
      </c>
      <c r="C579">
        <v>2025</v>
      </c>
      <c r="D579" t="s">
        <v>38</v>
      </c>
      <c r="E579" t="s">
        <v>4757</v>
      </c>
      <c r="F579" t="s">
        <v>1604</v>
      </c>
      <c r="G579">
        <v>364</v>
      </c>
      <c r="H579">
        <v>24</v>
      </c>
      <c r="I579" t="s">
        <v>4748</v>
      </c>
      <c r="J579" t="s">
        <v>4760</v>
      </c>
      <c r="K579">
        <v>13.2</v>
      </c>
    </row>
    <row r="580" spans="1:11">
      <c r="A580" t="s">
        <v>2188</v>
      </c>
      <c r="B580" s="17">
        <v>45895</v>
      </c>
      <c r="C580">
        <v>2025</v>
      </c>
      <c r="D580" t="s">
        <v>17</v>
      </c>
      <c r="E580" t="s">
        <v>4751</v>
      </c>
      <c r="F580" t="s">
        <v>1611</v>
      </c>
      <c r="G580">
        <v>683</v>
      </c>
      <c r="H580">
        <v>37</v>
      </c>
      <c r="I580" t="s">
        <v>4752</v>
      </c>
      <c r="J580" t="s">
        <v>4762</v>
      </c>
      <c r="K580">
        <v>-27</v>
      </c>
    </row>
    <row r="581" spans="1:11">
      <c r="A581" t="s">
        <v>2189</v>
      </c>
      <c r="B581" s="17">
        <v>45895</v>
      </c>
      <c r="C581">
        <v>2025</v>
      </c>
      <c r="D581" t="s">
        <v>38</v>
      </c>
      <c r="E581" t="s">
        <v>4751</v>
      </c>
      <c r="F581" t="s">
        <v>1611</v>
      </c>
      <c r="G581">
        <v>973</v>
      </c>
      <c r="H581">
        <v>39</v>
      </c>
      <c r="I581" t="s">
        <v>4748</v>
      </c>
      <c r="J581" t="s">
        <v>4760</v>
      </c>
      <c r="K581">
        <v>7.6</v>
      </c>
    </row>
    <row r="582" spans="1:11">
      <c r="A582" t="s">
        <v>2190</v>
      </c>
      <c r="B582" s="17">
        <v>45902</v>
      </c>
      <c r="C582">
        <v>2025</v>
      </c>
      <c r="D582" t="s">
        <v>1603</v>
      </c>
      <c r="E582" t="s">
        <v>4757</v>
      </c>
      <c r="F582" t="s">
        <v>1611</v>
      </c>
      <c r="G582">
        <v>890</v>
      </c>
      <c r="H582">
        <v>26</v>
      </c>
      <c r="I582" t="s">
        <v>4752</v>
      </c>
      <c r="J582" t="s">
        <v>4762</v>
      </c>
      <c r="K582">
        <v>-10</v>
      </c>
    </row>
    <row r="583" spans="1:11">
      <c r="A583" t="s">
        <v>2191</v>
      </c>
      <c r="B583" s="17">
        <v>45910</v>
      </c>
      <c r="C583">
        <v>2025</v>
      </c>
      <c r="D583" t="s">
        <v>42</v>
      </c>
      <c r="E583" t="s">
        <v>4756</v>
      </c>
      <c r="F583" t="s">
        <v>1604</v>
      </c>
      <c r="G583">
        <v>230</v>
      </c>
      <c r="H583">
        <v>16</v>
      </c>
      <c r="I583" t="s">
        <v>4748</v>
      </c>
      <c r="J583" t="s">
        <v>4760</v>
      </c>
      <c r="K583">
        <v>-1.1000000000000001</v>
      </c>
    </row>
    <row r="584" spans="1:11">
      <c r="A584" t="s">
        <v>2192</v>
      </c>
      <c r="B584" s="17">
        <v>45913</v>
      </c>
      <c r="C584">
        <v>2025</v>
      </c>
      <c r="D584" t="s">
        <v>1603</v>
      </c>
      <c r="E584" t="s">
        <v>4757</v>
      </c>
      <c r="F584" t="s">
        <v>1604</v>
      </c>
      <c r="G584">
        <v>213</v>
      </c>
      <c r="H584">
        <v>11</v>
      </c>
      <c r="I584" t="s">
        <v>4750</v>
      </c>
      <c r="J584" t="s">
        <v>4761</v>
      </c>
      <c r="K584">
        <v>-3</v>
      </c>
    </row>
    <row r="585" spans="1:11">
      <c r="A585" t="s">
        <v>2193</v>
      </c>
      <c r="B585" s="17">
        <v>45919</v>
      </c>
      <c r="C585">
        <v>2025</v>
      </c>
      <c r="D585" t="s">
        <v>23</v>
      </c>
      <c r="E585" t="s">
        <v>4759</v>
      </c>
      <c r="F585" t="s">
        <v>1611</v>
      </c>
      <c r="G585">
        <v>2325</v>
      </c>
      <c r="H585">
        <v>45</v>
      </c>
      <c r="I585" t="s">
        <v>4748</v>
      </c>
      <c r="J585" t="s">
        <v>4760</v>
      </c>
      <c r="K585">
        <v>8.5</v>
      </c>
    </row>
    <row r="586" spans="1:11">
      <c r="A586" t="s">
        <v>2194</v>
      </c>
      <c r="B586" s="17">
        <v>45921</v>
      </c>
      <c r="C586">
        <v>2025</v>
      </c>
      <c r="D586" t="s">
        <v>9</v>
      </c>
      <c r="E586" t="s">
        <v>4757</v>
      </c>
      <c r="F586" t="s">
        <v>1604</v>
      </c>
      <c r="G586">
        <v>146</v>
      </c>
      <c r="H586">
        <v>17</v>
      </c>
      <c r="I586" t="s">
        <v>4750</v>
      </c>
      <c r="J586" t="s">
        <v>4761</v>
      </c>
      <c r="K586">
        <v>-3.8</v>
      </c>
    </row>
    <row r="587" spans="1:11">
      <c r="A587" t="s">
        <v>2195</v>
      </c>
      <c r="B587" s="17">
        <v>45931</v>
      </c>
      <c r="C587">
        <v>2025</v>
      </c>
      <c r="D587" t="s">
        <v>9</v>
      </c>
      <c r="E587" t="s">
        <v>4754</v>
      </c>
      <c r="F587" t="s">
        <v>1604</v>
      </c>
      <c r="G587">
        <v>150</v>
      </c>
      <c r="H587">
        <v>18</v>
      </c>
      <c r="I587" t="s">
        <v>4748</v>
      </c>
      <c r="J587" t="s">
        <v>4760</v>
      </c>
      <c r="K587">
        <v>14.1</v>
      </c>
    </row>
    <row r="588" spans="1:11">
      <c r="A588" t="s">
        <v>2196</v>
      </c>
      <c r="B588" s="17">
        <v>45944</v>
      </c>
      <c r="C588">
        <v>2025</v>
      </c>
      <c r="D588" t="s">
        <v>67</v>
      </c>
      <c r="E588" t="s">
        <v>4754</v>
      </c>
      <c r="F588" t="s">
        <v>1604</v>
      </c>
      <c r="G588">
        <v>132</v>
      </c>
      <c r="H588">
        <v>16</v>
      </c>
      <c r="I588" t="s">
        <v>4748</v>
      </c>
      <c r="J588" t="s">
        <v>4760</v>
      </c>
      <c r="K588">
        <v>12.6</v>
      </c>
    </row>
    <row r="589" spans="1:11">
      <c r="A589" t="s">
        <v>2197</v>
      </c>
      <c r="B589" s="17">
        <v>45954</v>
      </c>
      <c r="C589">
        <v>2025</v>
      </c>
      <c r="D589" t="s">
        <v>53</v>
      </c>
      <c r="E589" t="s">
        <v>4747</v>
      </c>
      <c r="F589" t="s">
        <v>1611</v>
      </c>
      <c r="G589">
        <v>977</v>
      </c>
      <c r="H589">
        <v>33</v>
      </c>
      <c r="I589" t="s">
        <v>4752</v>
      </c>
      <c r="J589" t="s">
        <v>4762</v>
      </c>
      <c r="K589">
        <v>-19.5</v>
      </c>
    </row>
    <row r="590" spans="1:11">
      <c r="A590" t="s">
        <v>2198</v>
      </c>
      <c r="B590" s="17">
        <v>45956</v>
      </c>
      <c r="C590">
        <v>2025</v>
      </c>
      <c r="D590" t="s">
        <v>1703</v>
      </c>
      <c r="E590" t="s">
        <v>4758</v>
      </c>
      <c r="F590" t="s">
        <v>1611</v>
      </c>
      <c r="G590">
        <v>1758</v>
      </c>
      <c r="H590">
        <v>34</v>
      </c>
      <c r="I590" t="s">
        <v>4748</v>
      </c>
      <c r="J590" t="s">
        <v>4760</v>
      </c>
      <c r="K590">
        <v>7.8</v>
      </c>
    </row>
    <row r="591" spans="1:11">
      <c r="A591" t="s">
        <v>2199</v>
      </c>
      <c r="B591" s="17">
        <v>45956</v>
      </c>
      <c r="C591">
        <v>2025</v>
      </c>
      <c r="D591" t="s">
        <v>130</v>
      </c>
      <c r="E591" t="s">
        <v>4747</v>
      </c>
      <c r="F591" t="s">
        <v>1611</v>
      </c>
      <c r="G591">
        <v>732</v>
      </c>
      <c r="H591">
        <v>26</v>
      </c>
      <c r="I591" t="s">
        <v>4748</v>
      </c>
      <c r="J591" t="s">
        <v>4760</v>
      </c>
      <c r="K591">
        <v>-0.2</v>
      </c>
    </row>
    <row r="592" spans="1:11">
      <c r="A592" t="s">
        <v>2200</v>
      </c>
      <c r="B592" s="17">
        <v>45973</v>
      </c>
      <c r="C592">
        <v>2025</v>
      </c>
      <c r="D592" t="s">
        <v>1703</v>
      </c>
      <c r="E592" t="s">
        <v>4751</v>
      </c>
      <c r="F592" t="s">
        <v>1604</v>
      </c>
      <c r="G592">
        <v>112</v>
      </c>
      <c r="H592">
        <v>14</v>
      </c>
      <c r="I592" t="s">
        <v>4752</v>
      </c>
      <c r="J592" t="s">
        <v>4762</v>
      </c>
      <c r="K592">
        <v>-10.3</v>
      </c>
    </row>
    <row r="593" spans="1:11">
      <c r="A593" t="s">
        <v>2201</v>
      </c>
      <c r="B593" s="17">
        <v>45985</v>
      </c>
      <c r="C593">
        <v>2025</v>
      </c>
      <c r="D593" t="s">
        <v>23</v>
      </c>
      <c r="E593" t="s">
        <v>4757</v>
      </c>
      <c r="F593" t="s">
        <v>1611</v>
      </c>
      <c r="G593">
        <v>355</v>
      </c>
      <c r="H593">
        <v>38</v>
      </c>
      <c r="I593" t="s">
        <v>4752</v>
      </c>
      <c r="J593" t="s">
        <v>4762</v>
      </c>
      <c r="K593">
        <v>-11.1</v>
      </c>
    </row>
    <row r="594" spans="1:11">
      <c r="A594" t="s">
        <v>2202</v>
      </c>
      <c r="B594" s="17">
        <v>45988</v>
      </c>
      <c r="C594">
        <v>2025</v>
      </c>
      <c r="D594" t="s">
        <v>125</v>
      </c>
      <c r="E594" t="s">
        <v>4751</v>
      </c>
      <c r="F594" t="s">
        <v>1611</v>
      </c>
      <c r="G594">
        <v>1299</v>
      </c>
      <c r="H594">
        <v>35</v>
      </c>
      <c r="I594" t="s">
        <v>4748</v>
      </c>
      <c r="J594" t="s">
        <v>4760</v>
      </c>
      <c r="K594">
        <v>2.9</v>
      </c>
    </row>
    <row r="595" spans="1:11">
      <c r="A595" t="s">
        <v>2203</v>
      </c>
      <c r="B595" s="17">
        <v>46000</v>
      </c>
      <c r="C595">
        <v>2025</v>
      </c>
      <c r="D595" t="s">
        <v>1608</v>
      </c>
      <c r="E595" t="s">
        <v>4751</v>
      </c>
      <c r="F595" t="s">
        <v>1604</v>
      </c>
      <c r="G595">
        <v>377</v>
      </c>
      <c r="H595">
        <v>16</v>
      </c>
      <c r="I595" t="s">
        <v>4748</v>
      </c>
      <c r="J595" t="s">
        <v>4760</v>
      </c>
      <c r="K595">
        <v>11.8</v>
      </c>
    </row>
    <row r="596" spans="1:11">
      <c r="A596" t="s">
        <v>2204</v>
      </c>
      <c r="B596" s="17">
        <v>46013</v>
      </c>
      <c r="C596">
        <v>2025</v>
      </c>
      <c r="D596" t="s">
        <v>42</v>
      </c>
      <c r="E596" t="s">
        <v>4759</v>
      </c>
      <c r="F596" t="s">
        <v>1604</v>
      </c>
      <c r="G596">
        <v>1132</v>
      </c>
      <c r="H596">
        <v>9</v>
      </c>
      <c r="I596" t="s">
        <v>4748</v>
      </c>
      <c r="J596" t="s">
        <v>4760</v>
      </c>
      <c r="K596">
        <v>7.4</v>
      </c>
    </row>
    <row r="597" spans="1:11">
      <c r="A597" t="s">
        <v>2205</v>
      </c>
      <c r="B597" s="17">
        <v>46034</v>
      </c>
      <c r="C597">
        <v>2026</v>
      </c>
      <c r="D597" t="s">
        <v>130</v>
      </c>
      <c r="E597" t="s">
        <v>4753</v>
      </c>
      <c r="F597" t="s">
        <v>1604</v>
      </c>
      <c r="G597">
        <v>301</v>
      </c>
      <c r="H597">
        <v>12</v>
      </c>
      <c r="I597" t="s">
        <v>4748</v>
      </c>
      <c r="J597" t="s">
        <v>4760</v>
      </c>
      <c r="K597">
        <v>-3.1</v>
      </c>
    </row>
    <row r="598" spans="1:11">
      <c r="A598" t="s">
        <v>2206</v>
      </c>
      <c r="B598" s="17">
        <v>46060</v>
      </c>
      <c r="C598">
        <v>2026</v>
      </c>
      <c r="D598" t="s">
        <v>1403</v>
      </c>
      <c r="E598" t="s">
        <v>4759</v>
      </c>
      <c r="F598" t="s">
        <v>1604</v>
      </c>
      <c r="G598">
        <v>219</v>
      </c>
      <c r="H598">
        <v>28</v>
      </c>
      <c r="I598" t="s">
        <v>4748</v>
      </c>
      <c r="J598" t="s">
        <v>4760</v>
      </c>
      <c r="K598">
        <v>0.2</v>
      </c>
    </row>
    <row r="599" spans="1:11">
      <c r="A599" t="s">
        <v>2207</v>
      </c>
      <c r="B599" s="17">
        <v>46067</v>
      </c>
      <c r="C599">
        <v>2026</v>
      </c>
      <c r="D599" t="s">
        <v>125</v>
      </c>
      <c r="E599" t="s">
        <v>4751</v>
      </c>
      <c r="F599" t="s">
        <v>1611</v>
      </c>
      <c r="G599">
        <v>559</v>
      </c>
      <c r="H599">
        <v>20</v>
      </c>
      <c r="I599" t="s">
        <v>4748</v>
      </c>
      <c r="J599" t="s">
        <v>4760</v>
      </c>
      <c r="K599">
        <v>-0.8</v>
      </c>
    </row>
    <row r="600" spans="1:11">
      <c r="A600" t="s">
        <v>2208</v>
      </c>
      <c r="B600" s="17">
        <v>46117</v>
      </c>
      <c r="C600">
        <v>2026</v>
      </c>
      <c r="D600" t="s">
        <v>38</v>
      </c>
      <c r="E600" t="s">
        <v>4759</v>
      </c>
      <c r="F600" t="s">
        <v>1611</v>
      </c>
      <c r="G600">
        <v>1109</v>
      </c>
      <c r="H600">
        <v>31</v>
      </c>
      <c r="I600" t="s">
        <v>4748</v>
      </c>
      <c r="J600" t="s">
        <v>4760</v>
      </c>
      <c r="K600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B1A3-2B01-4506-8069-CDA903CF3077}">
  <dimension ref="A1:E3311"/>
  <sheetViews>
    <sheetView workbookViewId="0">
      <selection activeCell="I20" sqref="I20"/>
    </sheetView>
  </sheetViews>
  <sheetFormatPr defaultRowHeight="14.4"/>
  <cols>
    <col min="1" max="1" width="6.88671875" bestFit="1" customWidth="1"/>
    <col min="2" max="2" width="14.21875" bestFit="1" customWidth="1"/>
    <col min="3" max="3" width="24.21875" bestFit="1" customWidth="1"/>
    <col min="4" max="4" width="15" bestFit="1" customWidth="1"/>
    <col min="5" max="5" width="21.33203125" bestFit="1" customWidth="1"/>
  </cols>
  <sheetData>
    <row r="1" spans="1:5">
      <c r="A1" t="s">
        <v>2</v>
      </c>
      <c r="B1" t="s">
        <v>2209</v>
      </c>
      <c r="C1" t="s">
        <v>2210</v>
      </c>
      <c r="D1" t="s">
        <v>2211</v>
      </c>
      <c r="E1" t="s">
        <v>2212</v>
      </c>
    </row>
    <row r="2" spans="1:5">
      <c r="A2">
        <v>2010</v>
      </c>
      <c r="B2" t="s">
        <v>2213</v>
      </c>
      <c r="C2" t="s">
        <v>2214</v>
      </c>
      <c r="D2" s="14">
        <v>18.489999999999998</v>
      </c>
      <c r="E2" s="15">
        <v>350</v>
      </c>
    </row>
    <row r="3" spans="1:5">
      <c r="A3">
        <v>2010</v>
      </c>
      <c r="B3" t="s">
        <v>2215</v>
      </c>
      <c r="C3" t="s">
        <v>2214</v>
      </c>
      <c r="D3" s="14">
        <v>20.94</v>
      </c>
      <c r="E3" s="15">
        <v>350</v>
      </c>
    </row>
    <row r="4" spans="1:5">
      <c r="A4">
        <v>2010</v>
      </c>
      <c r="B4" t="s">
        <v>2216</v>
      </c>
      <c r="C4" t="s">
        <v>2214</v>
      </c>
      <c r="D4" s="14">
        <v>13.05</v>
      </c>
      <c r="E4" s="15">
        <v>350</v>
      </c>
    </row>
    <row r="5" spans="1:5">
      <c r="A5">
        <v>2010</v>
      </c>
      <c r="B5" t="s">
        <v>2217</v>
      </c>
      <c r="C5" t="s">
        <v>2214</v>
      </c>
      <c r="D5" s="14">
        <v>60.71</v>
      </c>
      <c r="E5" s="15">
        <v>350</v>
      </c>
    </row>
    <row r="6" spans="1:5">
      <c r="A6">
        <v>2010</v>
      </c>
      <c r="B6" t="s">
        <v>2218</v>
      </c>
      <c r="C6" t="s">
        <v>2214</v>
      </c>
      <c r="D6" s="14">
        <v>66.510000000000005</v>
      </c>
      <c r="E6" s="15">
        <v>350</v>
      </c>
    </row>
    <row r="7" spans="1:5">
      <c r="A7">
        <v>2010</v>
      </c>
      <c r="B7" t="s">
        <v>2219</v>
      </c>
      <c r="C7" t="s">
        <v>2214</v>
      </c>
      <c r="D7" s="14">
        <v>34.82</v>
      </c>
      <c r="E7" s="15">
        <v>350</v>
      </c>
    </row>
    <row r="8" spans="1:5">
      <c r="A8">
        <v>2010</v>
      </c>
      <c r="B8" t="s">
        <v>2220</v>
      </c>
      <c r="C8" t="s">
        <v>2214</v>
      </c>
      <c r="D8" s="14">
        <v>24.7</v>
      </c>
      <c r="E8" s="15">
        <v>350</v>
      </c>
    </row>
    <row r="9" spans="1:5">
      <c r="A9">
        <v>2010</v>
      </c>
      <c r="B9" t="s">
        <v>2221</v>
      </c>
      <c r="C9" t="s">
        <v>2214</v>
      </c>
      <c r="D9" s="14">
        <v>75.47</v>
      </c>
      <c r="E9" s="15">
        <v>350</v>
      </c>
    </row>
    <row r="10" spans="1:5">
      <c r="A10">
        <v>2010</v>
      </c>
      <c r="B10" t="s">
        <v>2222</v>
      </c>
      <c r="C10" t="s">
        <v>2214</v>
      </c>
      <c r="D10" s="14">
        <v>25.27</v>
      </c>
      <c r="E10" s="15">
        <v>350</v>
      </c>
    </row>
    <row r="11" spans="1:5">
      <c r="A11">
        <v>2010</v>
      </c>
      <c r="B11" t="s">
        <v>2223</v>
      </c>
      <c r="C11" t="s">
        <v>2214</v>
      </c>
      <c r="D11" s="14">
        <v>3.51</v>
      </c>
      <c r="E11" s="15">
        <v>350</v>
      </c>
    </row>
    <row r="12" spans="1:5">
      <c r="A12">
        <v>2011</v>
      </c>
      <c r="B12" t="s">
        <v>2213</v>
      </c>
      <c r="C12" t="s">
        <v>2214</v>
      </c>
      <c r="D12" s="14">
        <v>18.420000000000002</v>
      </c>
      <c r="E12" s="15">
        <v>353</v>
      </c>
    </row>
    <row r="13" spans="1:5">
      <c r="A13">
        <v>2011</v>
      </c>
      <c r="B13" t="s">
        <v>2215</v>
      </c>
      <c r="C13" t="s">
        <v>2214</v>
      </c>
      <c r="D13" s="14">
        <v>20.88</v>
      </c>
      <c r="E13" s="15">
        <v>353</v>
      </c>
    </row>
    <row r="14" spans="1:5">
      <c r="A14">
        <v>2011</v>
      </c>
      <c r="B14" t="s">
        <v>2216</v>
      </c>
      <c r="C14" t="s">
        <v>2214</v>
      </c>
      <c r="D14" s="14">
        <v>15.95</v>
      </c>
      <c r="E14" s="15">
        <v>353</v>
      </c>
    </row>
    <row r="15" spans="1:5">
      <c r="A15">
        <v>2011</v>
      </c>
      <c r="B15" t="s">
        <v>2217</v>
      </c>
      <c r="C15" t="s">
        <v>2214</v>
      </c>
      <c r="D15" s="14">
        <v>62.12</v>
      </c>
      <c r="E15" s="15">
        <v>353</v>
      </c>
    </row>
    <row r="16" spans="1:5">
      <c r="A16">
        <v>2011</v>
      </c>
      <c r="B16" t="s">
        <v>2218</v>
      </c>
      <c r="C16" t="s">
        <v>2214</v>
      </c>
      <c r="D16" s="14">
        <v>68.09</v>
      </c>
      <c r="E16" s="15">
        <v>353</v>
      </c>
    </row>
    <row r="17" spans="1:5">
      <c r="A17">
        <v>2011</v>
      </c>
      <c r="B17" t="s">
        <v>2219</v>
      </c>
      <c r="C17" t="s">
        <v>2214</v>
      </c>
      <c r="D17" s="14">
        <v>33.880000000000003</v>
      </c>
      <c r="E17" s="15">
        <v>353</v>
      </c>
    </row>
    <row r="18" spans="1:5">
      <c r="A18">
        <v>2011</v>
      </c>
      <c r="B18" t="s">
        <v>2220</v>
      </c>
      <c r="C18" t="s">
        <v>2214</v>
      </c>
      <c r="D18" s="14">
        <v>24.5</v>
      </c>
      <c r="E18" s="15">
        <v>353</v>
      </c>
    </row>
    <row r="19" spans="1:5">
      <c r="A19">
        <v>2011</v>
      </c>
      <c r="B19" t="s">
        <v>2221</v>
      </c>
      <c r="C19" t="s">
        <v>2214</v>
      </c>
      <c r="D19" s="14">
        <v>72.5</v>
      </c>
      <c r="E19" s="15">
        <v>353</v>
      </c>
    </row>
    <row r="20" spans="1:5">
      <c r="A20">
        <v>2011</v>
      </c>
      <c r="B20" t="s">
        <v>2222</v>
      </c>
      <c r="C20" t="s">
        <v>2214</v>
      </c>
      <c r="D20" s="14">
        <v>25</v>
      </c>
      <c r="E20" s="15">
        <v>353</v>
      </c>
    </row>
    <row r="21" spans="1:5">
      <c r="A21">
        <v>2011</v>
      </c>
      <c r="B21" t="s">
        <v>2223</v>
      </c>
      <c r="C21" t="s">
        <v>2214</v>
      </c>
      <c r="D21" s="14">
        <v>3.27</v>
      </c>
      <c r="E21" s="15">
        <v>353</v>
      </c>
    </row>
    <row r="22" spans="1:5">
      <c r="A22">
        <v>2012</v>
      </c>
      <c r="B22" t="s">
        <v>2213</v>
      </c>
      <c r="C22" t="s">
        <v>2214</v>
      </c>
      <c r="D22" s="14">
        <v>17.920000000000002</v>
      </c>
      <c r="E22" s="15">
        <v>356</v>
      </c>
    </row>
    <row r="23" spans="1:5">
      <c r="A23">
        <v>2012</v>
      </c>
      <c r="B23" t="s">
        <v>2215</v>
      </c>
      <c r="C23" t="s">
        <v>2214</v>
      </c>
      <c r="D23" s="14">
        <v>20.239999999999998</v>
      </c>
      <c r="E23" s="15">
        <v>356</v>
      </c>
    </row>
    <row r="24" spans="1:5">
      <c r="A24">
        <v>2012</v>
      </c>
      <c r="B24" t="s">
        <v>2216</v>
      </c>
      <c r="C24" t="s">
        <v>2214</v>
      </c>
      <c r="D24" s="14">
        <v>14.02</v>
      </c>
      <c r="E24" s="15">
        <v>356</v>
      </c>
    </row>
    <row r="25" spans="1:5">
      <c r="A25">
        <v>2012</v>
      </c>
      <c r="B25" t="s">
        <v>2217</v>
      </c>
      <c r="C25" t="s">
        <v>2214</v>
      </c>
      <c r="D25" s="14">
        <v>65.650000000000006</v>
      </c>
      <c r="E25" s="15">
        <v>356</v>
      </c>
    </row>
    <row r="26" spans="1:5">
      <c r="A26">
        <v>2012</v>
      </c>
      <c r="B26" t="s">
        <v>2218</v>
      </c>
      <c r="C26" t="s">
        <v>2214</v>
      </c>
      <c r="D26" s="14">
        <v>78.069999999999993</v>
      </c>
      <c r="E26" s="15">
        <v>356</v>
      </c>
    </row>
    <row r="27" spans="1:5">
      <c r="A27">
        <v>2012</v>
      </c>
      <c r="B27" t="s">
        <v>2219</v>
      </c>
      <c r="C27" t="s">
        <v>2214</v>
      </c>
      <c r="D27" s="14">
        <v>34.1</v>
      </c>
      <c r="E27" s="15">
        <v>356</v>
      </c>
    </row>
    <row r="28" spans="1:5">
      <c r="A28">
        <v>2012</v>
      </c>
      <c r="B28" t="s">
        <v>2220</v>
      </c>
      <c r="C28" t="s">
        <v>2214</v>
      </c>
      <c r="D28" s="14">
        <v>24.77</v>
      </c>
      <c r="E28" s="15">
        <v>356</v>
      </c>
    </row>
    <row r="29" spans="1:5">
      <c r="A29">
        <v>2012</v>
      </c>
      <c r="B29" t="s">
        <v>2221</v>
      </c>
      <c r="C29" t="s">
        <v>2214</v>
      </c>
      <c r="D29" s="14">
        <v>76.09</v>
      </c>
      <c r="E29" s="15">
        <v>356</v>
      </c>
    </row>
    <row r="30" spans="1:5">
      <c r="A30">
        <v>2012</v>
      </c>
      <c r="B30" t="s">
        <v>2222</v>
      </c>
      <c r="C30" t="s">
        <v>2214</v>
      </c>
      <c r="D30" s="14">
        <v>24.07</v>
      </c>
      <c r="E30" s="15">
        <v>356</v>
      </c>
    </row>
    <row r="31" spans="1:5">
      <c r="A31">
        <v>2012</v>
      </c>
      <c r="B31" t="s">
        <v>2223</v>
      </c>
      <c r="C31" t="s">
        <v>2214</v>
      </c>
      <c r="D31" s="14">
        <v>3.46</v>
      </c>
      <c r="E31" s="15">
        <v>356</v>
      </c>
    </row>
    <row r="32" spans="1:5">
      <c r="A32">
        <v>2013</v>
      </c>
      <c r="B32" t="s">
        <v>2213</v>
      </c>
      <c r="C32" t="s">
        <v>2214</v>
      </c>
      <c r="D32" s="14">
        <v>18.55</v>
      </c>
      <c r="E32" s="15">
        <v>359</v>
      </c>
    </row>
    <row r="33" spans="1:5">
      <c r="A33">
        <v>2013</v>
      </c>
      <c r="B33" t="s">
        <v>2215</v>
      </c>
      <c r="C33" t="s">
        <v>2214</v>
      </c>
      <c r="D33" s="14">
        <v>21.12</v>
      </c>
      <c r="E33" s="15">
        <v>359</v>
      </c>
    </row>
    <row r="34" spans="1:5">
      <c r="A34">
        <v>2013</v>
      </c>
      <c r="B34" t="s">
        <v>2216</v>
      </c>
      <c r="C34" t="s">
        <v>2214</v>
      </c>
      <c r="D34" s="14">
        <v>15.71</v>
      </c>
      <c r="E34" s="15">
        <v>359</v>
      </c>
    </row>
    <row r="35" spans="1:5">
      <c r="A35">
        <v>2013</v>
      </c>
      <c r="B35" t="s">
        <v>2217</v>
      </c>
      <c r="C35" t="s">
        <v>2214</v>
      </c>
      <c r="D35" s="14">
        <v>65.7</v>
      </c>
      <c r="E35" s="15">
        <v>359</v>
      </c>
    </row>
    <row r="36" spans="1:5">
      <c r="A36">
        <v>2013</v>
      </c>
      <c r="B36" t="s">
        <v>2218</v>
      </c>
      <c r="C36" t="s">
        <v>2214</v>
      </c>
      <c r="D36" s="14">
        <v>68.959999999999994</v>
      </c>
      <c r="E36" s="15">
        <v>359</v>
      </c>
    </row>
    <row r="37" spans="1:5">
      <c r="A37">
        <v>2013</v>
      </c>
      <c r="B37" t="s">
        <v>2219</v>
      </c>
      <c r="C37" t="s">
        <v>2214</v>
      </c>
      <c r="D37" s="14">
        <v>35.380000000000003</v>
      </c>
      <c r="E37" s="15">
        <v>359</v>
      </c>
    </row>
    <row r="38" spans="1:5">
      <c r="A38">
        <v>2013</v>
      </c>
      <c r="B38" t="s">
        <v>2220</v>
      </c>
      <c r="C38" t="s">
        <v>2214</v>
      </c>
      <c r="D38" s="14">
        <v>24.34</v>
      </c>
      <c r="E38" s="15">
        <v>359</v>
      </c>
    </row>
    <row r="39" spans="1:5">
      <c r="A39">
        <v>2013</v>
      </c>
      <c r="B39" t="s">
        <v>2221</v>
      </c>
      <c r="C39" t="s">
        <v>2214</v>
      </c>
      <c r="D39" s="14">
        <v>81.55</v>
      </c>
      <c r="E39" s="15">
        <v>359</v>
      </c>
    </row>
    <row r="40" spans="1:5">
      <c r="A40">
        <v>2013</v>
      </c>
      <c r="B40" t="s">
        <v>2222</v>
      </c>
      <c r="C40" t="s">
        <v>2214</v>
      </c>
      <c r="D40" s="14">
        <v>23.54</v>
      </c>
      <c r="E40" s="15">
        <v>359</v>
      </c>
    </row>
    <row r="41" spans="1:5">
      <c r="A41">
        <v>2013</v>
      </c>
      <c r="B41" t="s">
        <v>2223</v>
      </c>
      <c r="C41" t="s">
        <v>2214</v>
      </c>
      <c r="D41" s="14">
        <v>3.4</v>
      </c>
      <c r="E41" s="15">
        <v>359</v>
      </c>
    </row>
    <row r="42" spans="1:5">
      <c r="A42">
        <v>2014</v>
      </c>
      <c r="B42" t="s">
        <v>2213</v>
      </c>
      <c r="C42" t="s">
        <v>2214</v>
      </c>
      <c r="D42" s="14">
        <v>17.68</v>
      </c>
      <c r="E42" s="15">
        <v>362</v>
      </c>
    </row>
    <row r="43" spans="1:5">
      <c r="A43">
        <v>2014</v>
      </c>
      <c r="B43" t="s">
        <v>2215</v>
      </c>
      <c r="C43" t="s">
        <v>2214</v>
      </c>
      <c r="D43" s="14">
        <v>22.32</v>
      </c>
      <c r="E43" s="15">
        <v>362</v>
      </c>
    </row>
    <row r="44" spans="1:5">
      <c r="A44">
        <v>2014</v>
      </c>
      <c r="B44" t="s">
        <v>2216</v>
      </c>
      <c r="C44" t="s">
        <v>2214</v>
      </c>
      <c r="D44" s="14">
        <v>15.21</v>
      </c>
      <c r="E44" s="15">
        <v>362</v>
      </c>
    </row>
    <row r="45" spans="1:5">
      <c r="A45">
        <v>2014</v>
      </c>
      <c r="B45" t="s">
        <v>2217</v>
      </c>
      <c r="C45" t="s">
        <v>2214</v>
      </c>
      <c r="D45" s="14">
        <v>68.86</v>
      </c>
      <c r="E45" s="15">
        <v>362</v>
      </c>
    </row>
    <row r="46" spans="1:5">
      <c r="A46">
        <v>2014</v>
      </c>
      <c r="B46" t="s">
        <v>2218</v>
      </c>
      <c r="C46" t="s">
        <v>2214</v>
      </c>
      <c r="D46" s="14">
        <v>73.95</v>
      </c>
      <c r="E46" s="15">
        <v>362</v>
      </c>
    </row>
    <row r="47" spans="1:5">
      <c r="A47">
        <v>2014</v>
      </c>
      <c r="B47" t="s">
        <v>2219</v>
      </c>
      <c r="C47" t="s">
        <v>2214</v>
      </c>
      <c r="D47" s="14">
        <v>36.08</v>
      </c>
      <c r="E47" s="15">
        <v>362</v>
      </c>
    </row>
    <row r="48" spans="1:5">
      <c r="A48">
        <v>2014</v>
      </c>
      <c r="B48" t="s">
        <v>2220</v>
      </c>
      <c r="C48" t="s">
        <v>2214</v>
      </c>
      <c r="D48" s="14">
        <v>26.16</v>
      </c>
      <c r="E48" s="15">
        <v>362</v>
      </c>
    </row>
    <row r="49" spans="1:5">
      <c r="A49">
        <v>2014</v>
      </c>
      <c r="B49" t="s">
        <v>2221</v>
      </c>
      <c r="C49" t="s">
        <v>2214</v>
      </c>
      <c r="D49" s="14">
        <v>76.08</v>
      </c>
      <c r="E49" s="15">
        <v>362</v>
      </c>
    </row>
    <row r="50" spans="1:5">
      <c r="A50">
        <v>2014</v>
      </c>
      <c r="B50" t="s">
        <v>2222</v>
      </c>
      <c r="C50" t="s">
        <v>2214</v>
      </c>
      <c r="D50" s="14">
        <v>23.54</v>
      </c>
      <c r="E50" s="15">
        <v>362</v>
      </c>
    </row>
    <row r="51" spans="1:5">
      <c r="A51">
        <v>2014</v>
      </c>
      <c r="B51" t="s">
        <v>2223</v>
      </c>
      <c r="C51" t="s">
        <v>2214</v>
      </c>
      <c r="D51" s="14">
        <v>3.68</v>
      </c>
      <c r="E51" s="15">
        <v>362</v>
      </c>
    </row>
    <row r="52" spans="1:5">
      <c r="A52">
        <v>2015</v>
      </c>
      <c r="B52" t="s">
        <v>2213</v>
      </c>
      <c r="C52" t="s">
        <v>2214</v>
      </c>
      <c r="D52" s="14">
        <v>17.53</v>
      </c>
      <c r="E52" s="15">
        <v>365</v>
      </c>
    </row>
    <row r="53" spans="1:5">
      <c r="A53">
        <v>2015</v>
      </c>
      <c r="B53" t="s">
        <v>2215</v>
      </c>
      <c r="C53" t="s">
        <v>2214</v>
      </c>
      <c r="D53" s="14">
        <v>21.84</v>
      </c>
      <c r="E53" s="15">
        <v>365</v>
      </c>
    </row>
    <row r="54" spans="1:5">
      <c r="A54">
        <v>2015</v>
      </c>
      <c r="B54" t="s">
        <v>2216</v>
      </c>
      <c r="C54" t="s">
        <v>2214</v>
      </c>
      <c r="D54" s="14">
        <v>14.67</v>
      </c>
      <c r="E54" s="15">
        <v>365</v>
      </c>
    </row>
    <row r="55" spans="1:5">
      <c r="A55">
        <v>2015</v>
      </c>
      <c r="B55" t="s">
        <v>2217</v>
      </c>
      <c r="C55" t="s">
        <v>2214</v>
      </c>
      <c r="D55" s="14">
        <v>66.36</v>
      </c>
      <c r="E55" s="15">
        <v>365</v>
      </c>
    </row>
    <row r="56" spans="1:5">
      <c r="A56">
        <v>2015</v>
      </c>
      <c r="B56" t="s">
        <v>2218</v>
      </c>
      <c r="C56" t="s">
        <v>2214</v>
      </c>
      <c r="D56" s="14">
        <v>75.790000000000006</v>
      </c>
      <c r="E56" s="15">
        <v>365</v>
      </c>
    </row>
    <row r="57" spans="1:5">
      <c r="A57">
        <v>2015</v>
      </c>
      <c r="B57" t="s">
        <v>2219</v>
      </c>
      <c r="C57" t="s">
        <v>2214</v>
      </c>
      <c r="D57" s="14">
        <v>37.74</v>
      </c>
      <c r="E57" s="15">
        <v>365</v>
      </c>
    </row>
    <row r="58" spans="1:5">
      <c r="A58">
        <v>2015</v>
      </c>
      <c r="B58" t="s">
        <v>2220</v>
      </c>
      <c r="C58" t="s">
        <v>2214</v>
      </c>
      <c r="D58" s="14">
        <v>25.75</v>
      </c>
      <c r="E58" s="15">
        <v>365</v>
      </c>
    </row>
    <row r="59" spans="1:5">
      <c r="A59">
        <v>2015</v>
      </c>
      <c r="B59" t="s">
        <v>2221</v>
      </c>
      <c r="C59" t="s">
        <v>2214</v>
      </c>
      <c r="D59" s="14">
        <v>78.89</v>
      </c>
      <c r="E59" s="15">
        <v>365</v>
      </c>
    </row>
    <row r="60" spans="1:5">
      <c r="A60">
        <v>2015</v>
      </c>
      <c r="B60" t="s">
        <v>2222</v>
      </c>
      <c r="C60" t="s">
        <v>2214</v>
      </c>
      <c r="D60" s="14">
        <v>25.66</v>
      </c>
      <c r="E60" s="15">
        <v>365</v>
      </c>
    </row>
    <row r="61" spans="1:5">
      <c r="A61">
        <v>2015</v>
      </c>
      <c r="B61" t="s">
        <v>2223</v>
      </c>
      <c r="C61" t="s">
        <v>2214</v>
      </c>
      <c r="D61" s="14">
        <v>3.56</v>
      </c>
      <c r="E61" s="15">
        <v>365</v>
      </c>
    </row>
    <row r="62" spans="1:5">
      <c r="A62">
        <v>2016</v>
      </c>
      <c r="B62" t="s">
        <v>2213</v>
      </c>
      <c r="C62" t="s">
        <v>2214</v>
      </c>
      <c r="D62" s="14">
        <v>18.45</v>
      </c>
      <c r="E62" s="15">
        <v>372</v>
      </c>
    </row>
    <row r="63" spans="1:5">
      <c r="A63">
        <v>2016</v>
      </c>
      <c r="B63" t="s">
        <v>2215</v>
      </c>
      <c r="C63" t="s">
        <v>2214</v>
      </c>
      <c r="D63" s="14">
        <v>24.78</v>
      </c>
      <c r="E63" s="15">
        <v>372</v>
      </c>
    </row>
    <row r="64" spans="1:5">
      <c r="A64">
        <v>2016</v>
      </c>
      <c r="B64" t="s">
        <v>2216</v>
      </c>
      <c r="C64" t="s">
        <v>2214</v>
      </c>
      <c r="D64" s="14">
        <v>14.99</v>
      </c>
      <c r="E64" s="15">
        <v>372</v>
      </c>
    </row>
    <row r="65" spans="1:5">
      <c r="A65">
        <v>2016</v>
      </c>
      <c r="B65" t="s">
        <v>2217</v>
      </c>
      <c r="C65" t="s">
        <v>2214</v>
      </c>
      <c r="D65" s="14">
        <v>68.180000000000007</v>
      </c>
      <c r="E65" s="15">
        <v>372</v>
      </c>
    </row>
    <row r="66" spans="1:5">
      <c r="A66">
        <v>2016</v>
      </c>
      <c r="B66" t="s">
        <v>2218</v>
      </c>
      <c r="C66" t="s">
        <v>2214</v>
      </c>
      <c r="D66" s="14">
        <v>72.33</v>
      </c>
      <c r="E66" s="15">
        <v>372</v>
      </c>
    </row>
    <row r="67" spans="1:5">
      <c r="A67">
        <v>2016</v>
      </c>
      <c r="B67" t="s">
        <v>2219</v>
      </c>
      <c r="C67" t="s">
        <v>2214</v>
      </c>
      <c r="D67" s="14">
        <v>38.75</v>
      </c>
      <c r="E67" s="15">
        <v>372</v>
      </c>
    </row>
    <row r="68" spans="1:5">
      <c r="A68">
        <v>2016</v>
      </c>
      <c r="B68" t="s">
        <v>2220</v>
      </c>
      <c r="C68" t="s">
        <v>2214</v>
      </c>
      <c r="D68" s="14">
        <v>26.84</v>
      </c>
      <c r="E68" s="15">
        <v>372</v>
      </c>
    </row>
    <row r="69" spans="1:5">
      <c r="A69">
        <v>2016</v>
      </c>
      <c r="B69" t="s">
        <v>2221</v>
      </c>
      <c r="C69" t="s">
        <v>2214</v>
      </c>
      <c r="D69" s="14">
        <v>84.39</v>
      </c>
      <c r="E69" s="15">
        <v>372</v>
      </c>
    </row>
    <row r="70" spans="1:5">
      <c r="A70">
        <v>2016</v>
      </c>
      <c r="B70" t="s">
        <v>2222</v>
      </c>
      <c r="C70" t="s">
        <v>2214</v>
      </c>
      <c r="D70" s="14">
        <v>26.26</v>
      </c>
      <c r="E70" s="15">
        <v>372</v>
      </c>
    </row>
    <row r="71" spans="1:5">
      <c r="A71">
        <v>2016</v>
      </c>
      <c r="B71" t="s">
        <v>2223</v>
      </c>
      <c r="C71" t="s">
        <v>2214</v>
      </c>
      <c r="D71" s="14">
        <v>3.88</v>
      </c>
      <c r="E71" s="15">
        <v>372</v>
      </c>
    </row>
    <row r="72" spans="1:5">
      <c r="A72">
        <v>2017</v>
      </c>
      <c r="B72" t="s">
        <v>2213</v>
      </c>
      <c r="C72" t="s">
        <v>2214</v>
      </c>
      <c r="D72" s="14">
        <v>19.940000000000001</v>
      </c>
      <c r="E72" s="15">
        <v>379</v>
      </c>
    </row>
    <row r="73" spans="1:5">
      <c r="A73">
        <v>2017</v>
      </c>
      <c r="B73" t="s">
        <v>2215</v>
      </c>
      <c r="C73" t="s">
        <v>2214</v>
      </c>
      <c r="D73" s="14">
        <v>23</v>
      </c>
      <c r="E73" s="15">
        <v>379</v>
      </c>
    </row>
    <row r="74" spans="1:5">
      <c r="A74">
        <v>2017</v>
      </c>
      <c r="B74" t="s">
        <v>2216</v>
      </c>
      <c r="C74" t="s">
        <v>2214</v>
      </c>
      <c r="D74" s="14">
        <v>15.09</v>
      </c>
      <c r="E74" s="15">
        <v>379</v>
      </c>
    </row>
    <row r="75" spans="1:5">
      <c r="A75">
        <v>2017</v>
      </c>
      <c r="B75" t="s">
        <v>2217</v>
      </c>
      <c r="C75" t="s">
        <v>2214</v>
      </c>
      <c r="D75" s="14">
        <v>70.709999999999994</v>
      </c>
      <c r="E75" s="15">
        <v>379</v>
      </c>
    </row>
    <row r="76" spans="1:5">
      <c r="A76">
        <v>2017</v>
      </c>
      <c r="B76" t="s">
        <v>2218</v>
      </c>
      <c r="C76" t="s">
        <v>2214</v>
      </c>
      <c r="D76" s="14">
        <v>73.11</v>
      </c>
      <c r="E76" s="15">
        <v>379</v>
      </c>
    </row>
    <row r="77" spans="1:5">
      <c r="A77">
        <v>2017</v>
      </c>
      <c r="B77" t="s">
        <v>2219</v>
      </c>
      <c r="C77" t="s">
        <v>2214</v>
      </c>
      <c r="D77" s="14">
        <v>36.83</v>
      </c>
      <c r="E77" s="15">
        <v>379</v>
      </c>
    </row>
    <row r="78" spans="1:5">
      <c r="A78">
        <v>2017</v>
      </c>
      <c r="B78" t="s">
        <v>2220</v>
      </c>
      <c r="C78" t="s">
        <v>2214</v>
      </c>
      <c r="D78" s="14">
        <v>26.47</v>
      </c>
      <c r="E78" s="15">
        <v>379</v>
      </c>
    </row>
    <row r="79" spans="1:5">
      <c r="A79">
        <v>2017</v>
      </c>
      <c r="B79" t="s">
        <v>2221</v>
      </c>
      <c r="C79" t="s">
        <v>2214</v>
      </c>
      <c r="D79" s="14">
        <v>77.77</v>
      </c>
      <c r="E79" s="15">
        <v>379</v>
      </c>
    </row>
    <row r="80" spans="1:5">
      <c r="A80">
        <v>2017</v>
      </c>
      <c r="B80" t="s">
        <v>2222</v>
      </c>
      <c r="C80" t="s">
        <v>2214</v>
      </c>
      <c r="D80" s="14">
        <v>27.42</v>
      </c>
      <c r="E80" s="15">
        <v>379</v>
      </c>
    </row>
    <row r="81" spans="1:5">
      <c r="A81">
        <v>2017</v>
      </c>
      <c r="B81" t="s">
        <v>2223</v>
      </c>
      <c r="C81" t="s">
        <v>2214</v>
      </c>
      <c r="D81" s="14">
        <v>3.65</v>
      </c>
      <c r="E81" s="15">
        <v>379</v>
      </c>
    </row>
    <row r="82" spans="1:5">
      <c r="A82">
        <v>2018</v>
      </c>
      <c r="B82" t="s">
        <v>2213</v>
      </c>
      <c r="C82" t="s">
        <v>2214</v>
      </c>
      <c r="D82" s="14">
        <v>18.940000000000001</v>
      </c>
      <c r="E82" s="15">
        <v>386</v>
      </c>
    </row>
    <row r="83" spans="1:5">
      <c r="A83">
        <v>2018</v>
      </c>
      <c r="B83" t="s">
        <v>2215</v>
      </c>
      <c r="C83" t="s">
        <v>2214</v>
      </c>
      <c r="D83" s="14">
        <v>22.96</v>
      </c>
      <c r="E83" s="15">
        <v>386</v>
      </c>
    </row>
    <row r="84" spans="1:5">
      <c r="A84">
        <v>2018</v>
      </c>
      <c r="B84" t="s">
        <v>2216</v>
      </c>
      <c r="C84" t="s">
        <v>2214</v>
      </c>
      <c r="D84" s="14">
        <v>15.46</v>
      </c>
      <c r="E84" s="15">
        <v>386</v>
      </c>
    </row>
    <row r="85" spans="1:5">
      <c r="A85">
        <v>2018</v>
      </c>
      <c r="B85" t="s">
        <v>2217</v>
      </c>
      <c r="C85" t="s">
        <v>2214</v>
      </c>
      <c r="D85" s="14">
        <v>68.53</v>
      </c>
      <c r="E85" s="15">
        <v>386</v>
      </c>
    </row>
    <row r="86" spans="1:5">
      <c r="A86">
        <v>2018</v>
      </c>
      <c r="B86" t="s">
        <v>2218</v>
      </c>
      <c r="C86" t="s">
        <v>2214</v>
      </c>
      <c r="D86" s="14">
        <v>76.989999999999995</v>
      </c>
      <c r="E86" s="15">
        <v>386</v>
      </c>
    </row>
    <row r="87" spans="1:5">
      <c r="A87">
        <v>2018</v>
      </c>
      <c r="B87" t="s">
        <v>2219</v>
      </c>
      <c r="C87" t="s">
        <v>2214</v>
      </c>
      <c r="D87" s="14">
        <v>38.51</v>
      </c>
      <c r="E87" s="15">
        <v>386</v>
      </c>
    </row>
    <row r="88" spans="1:5">
      <c r="A88">
        <v>2018</v>
      </c>
      <c r="B88" t="s">
        <v>2220</v>
      </c>
      <c r="C88" t="s">
        <v>2214</v>
      </c>
      <c r="D88" s="14">
        <v>26.54</v>
      </c>
      <c r="E88" s="15">
        <v>386</v>
      </c>
    </row>
    <row r="89" spans="1:5">
      <c r="A89">
        <v>2018</v>
      </c>
      <c r="B89" t="s">
        <v>2221</v>
      </c>
      <c r="C89" t="s">
        <v>2214</v>
      </c>
      <c r="D89" s="14">
        <v>82.33</v>
      </c>
      <c r="E89" s="15">
        <v>386</v>
      </c>
    </row>
    <row r="90" spans="1:5">
      <c r="A90">
        <v>2018</v>
      </c>
      <c r="B90" t="s">
        <v>2222</v>
      </c>
      <c r="C90" t="s">
        <v>2214</v>
      </c>
      <c r="D90" s="14">
        <v>28.21</v>
      </c>
      <c r="E90" s="15">
        <v>386</v>
      </c>
    </row>
    <row r="91" spans="1:5">
      <c r="A91">
        <v>2018</v>
      </c>
      <c r="B91" t="s">
        <v>2223</v>
      </c>
      <c r="C91" t="s">
        <v>2214</v>
      </c>
      <c r="D91" s="14">
        <v>3.55</v>
      </c>
      <c r="E91" s="15">
        <v>386</v>
      </c>
    </row>
    <row r="92" spans="1:5">
      <c r="A92">
        <v>2019</v>
      </c>
      <c r="B92" t="s">
        <v>2213</v>
      </c>
      <c r="C92" t="s">
        <v>2214</v>
      </c>
      <c r="D92" s="14">
        <v>19.489999999999998</v>
      </c>
      <c r="E92" s="15">
        <v>393</v>
      </c>
    </row>
    <row r="93" spans="1:5">
      <c r="A93">
        <v>2019</v>
      </c>
      <c r="B93" t="s">
        <v>2215</v>
      </c>
      <c r="C93" t="s">
        <v>2214</v>
      </c>
      <c r="D93" s="14">
        <v>23.14</v>
      </c>
      <c r="E93" s="15">
        <v>393</v>
      </c>
    </row>
    <row r="94" spans="1:5">
      <c r="A94">
        <v>2019</v>
      </c>
      <c r="B94" t="s">
        <v>2216</v>
      </c>
      <c r="C94" t="s">
        <v>2214</v>
      </c>
      <c r="D94" s="14">
        <v>15.99</v>
      </c>
      <c r="E94" s="15">
        <v>393</v>
      </c>
    </row>
    <row r="95" spans="1:5">
      <c r="A95">
        <v>2019</v>
      </c>
      <c r="B95" t="s">
        <v>2217</v>
      </c>
      <c r="C95" t="s">
        <v>2214</v>
      </c>
      <c r="D95" s="14">
        <v>66.739999999999995</v>
      </c>
      <c r="E95" s="15">
        <v>393</v>
      </c>
    </row>
    <row r="96" spans="1:5">
      <c r="A96">
        <v>2019</v>
      </c>
      <c r="B96" t="s">
        <v>2218</v>
      </c>
      <c r="C96" t="s">
        <v>2214</v>
      </c>
      <c r="D96" s="14">
        <v>77.040000000000006</v>
      </c>
      <c r="E96" s="15">
        <v>393</v>
      </c>
    </row>
    <row r="97" spans="1:5">
      <c r="A97">
        <v>2019</v>
      </c>
      <c r="B97" t="s">
        <v>2219</v>
      </c>
      <c r="C97" t="s">
        <v>2214</v>
      </c>
      <c r="D97" s="14">
        <v>39.14</v>
      </c>
      <c r="E97" s="15">
        <v>393</v>
      </c>
    </row>
    <row r="98" spans="1:5">
      <c r="A98">
        <v>2019</v>
      </c>
      <c r="B98" t="s">
        <v>2220</v>
      </c>
      <c r="C98" t="s">
        <v>2214</v>
      </c>
      <c r="D98" s="14">
        <v>28.71</v>
      </c>
      <c r="E98" s="15">
        <v>393</v>
      </c>
    </row>
    <row r="99" spans="1:5">
      <c r="A99">
        <v>2019</v>
      </c>
      <c r="B99" t="s">
        <v>2221</v>
      </c>
      <c r="C99" t="s">
        <v>2214</v>
      </c>
      <c r="D99" s="14">
        <v>87.62</v>
      </c>
      <c r="E99" s="15">
        <v>393</v>
      </c>
    </row>
    <row r="100" spans="1:5">
      <c r="A100">
        <v>2019</v>
      </c>
      <c r="B100" t="s">
        <v>2222</v>
      </c>
      <c r="C100" t="s">
        <v>2214</v>
      </c>
      <c r="D100" s="14">
        <v>26.24</v>
      </c>
      <c r="E100" s="15">
        <v>393</v>
      </c>
    </row>
    <row r="101" spans="1:5">
      <c r="A101">
        <v>2019</v>
      </c>
      <c r="B101" t="s">
        <v>2223</v>
      </c>
      <c r="C101" t="s">
        <v>2214</v>
      </c>
      <c r="D101" s="14">
        <v>3.85</v>
      </c>
      <c r="E101" s="15">
        <v>393</v>
      </c>
    </row>
    <row r="102" spans="1:5">
      <c r="A102">
        <v>2020</v>
      </c>
      <c r="B102" t="s">
        <v>2213</v>
      </c>
      <c r="C102" t="s">
        <v>2214</v>
      </c>
      <c r="D102" s="14">
        <v>20.75</v>
      </c>
      <c r="E102" s="15">
        <v>400.5</v>
      </c>
    </row>
    <row r="103" spans="1:5">
      <c r="A103">
        <v>2020</v>
      </c>
      <c r="B103" t="s">
        <v>2215</v>
      </c>
      <c r="C103" t="s">
        <v>2214</v>
      </c>
      <c r="D103" s="14">
        <v>22.9</v>
      </c>
      <c r="E103" s="15">
        <v>400.5</v>
      </c>
    </row>
    <row r="104" spans="1:5">
      <c r="A104">
        <v>2020</v>
      </c>
      <c r="B104" t="s">
        <v>2216</v>
      </c>
      <c r="C104" t="s">
        <v>2214</v>
      </c>
      <c r="D104" s="14">
        <v>15.97</v>
      </c>
      <c r="E104" s="15">
        <v>400.5</v>
      </c>
    </row>
    <row r="105" spans="1:5">
      <c r="A105">
        <v>2020</v>
      </c>
      <c r="B105" t="s">
        <v>2217</v>
      </c>
      <c r="C105" t="s">
        <v>2214</v>
      </c>
      <c r="D105" s="14">
        <v>72.06</v>
      </c>
      <c r="E105" s="15">
        <v>400.5</v>
      </c>
    </row>
    <row r="106" spans="1:5">
      <c r="A106">
        <v>2020</v>
      </c>
      <c r="B106" t="s">
        <v>2218</v>
      </c>
      <c r="C106" t="s">
        <v>2214</v>
      </c>
      <c r="D106" s="14">
        <v>78.87</v>
      </c>
      <c r="E106" s="15">
        <v>400.5</v>
      </c>
    </row>
    <row r="107" spans="1:5">
      <c r="A107">
        <v>2020</v>
      </c>
      <c r="B107" t="s">
        <v>2219</v>
      </c>
      <c r="C107" t="s">
        <v>2214</v>
      </c>
      <c r="D107" s="14">
        <v>44.61</v>
      </c>
      <c r="E107" s="15">
        <v>400.5</v>
      </c>
    </row>
    <row r="108" spans="1:5">
      <c r="A108">
        <v>2020</v>
      </c>
      <c r="B108" t="s">
        <v>2220</v>
      </c>
      <c r="C108" t="s">
        <v>2214</v>
      </c>
      <c r="D108" s="14">
        <v>27.58</v>
      </c>
      <c r="E108" s="15">
        <v>400.5</v>
      </c>
    </row>
    <row r="109" spans="1:5">
      <c r="A109">
        <v>2020</v>
      </c>
      <c r="B109" t="s">
        <v>2221</v>
      </c>
      <c r="C109" t="s">
        <v>2214</v>
      </c>
      <c r="D109" s="14">
        <v>89.71</v>
      </c>
      <c r="E109" s="15">
        <v>400.5</v>
      </c>
    </row>
    <row r="110" spans="1:5">
      <c r="A110">
        <v>2020</v>
      </c>
      <c r="B110" t="s">
        <v>2222</v>
      </c>
      <c r="C110" t="s">
        <v>2214</v>
      </c>
      <c r="D110" s="14">
        <v>27.19</v>
      </c>
      <c r="E110" s="15">
        <v>400.5</v>
      </c>
    </row>
    <row r="111" spans="1:5">
      <c r="A111">
        <v>2020</v>
      </c>
      <c r="B111" t="s">
        <v>2223</v>
      </c>
      <c r="C111" t="s">
        <v>2214</v>
      </c>
      <c r="D111" s="14">
        <v>4.09</v>
      </c>
      <c r="E111" s="15">
        <v>400.5</v>
      </c>
    </row>
    <row r="112" spans="1:5">
      <c r="A112">
        <v>2021</v>
      </c>
      <c r="B112" t="s">
        <v>2213</v>
      </c>
      <c r="C112" t="s">
        <v>2214</v>
      </c>
      <c r="D112" s="14">
        <v>21.12</v>
      </c>
      <c r="E112" s="15">
        <v>408</v>
      </c>
    </row>
    <row r="113" spans="1:5">
      <c r="A113">
        <v>2021</v>
      </c>
      <c r="B113" t="s">
        <v>2215</v>
      </c>
      <c r="C113" t="s">
        <v>2214</v>
      </c>
      <c r="D113" s="14">
        <v>23.91</v>
      </c>
      <c r="E113" s="15">
        <v>408</v>
      </c>
    </row>
    <row r="114" spans="1:5">
      <c r="A114">
        <v>2021</v>
      </c>
      <c r="B114" t="s">
        <v>2216</v>
      </c>
      <c r="C114" t="s">
        <v>2214</v>
      </c>
      <c r="D114" s="14">
        <v>16.28</v>
      </c>
      <c r="E114" s="15">
        <v>408</v>
      </c>
    </row>
    <row r="115" spans="1:5">
      <c r="A115">
        <v>2021</v>
      </c>
      <c r="B115" t="s">
        <v>2217</v>
      </c>
      <c r="C115" t="s">
        <v>2214</v>
      </c>
      <c r="D115" s="14">
        <v>70.86</v>
      </c>
      <c r="E115" s="15">
        <v>408</v>
      </c>
    </row>
    <row r="116" spans="1:5">
      <c r="A116">
        <v>2021</v>
      </c>
      <c r="B116" t="s">
        <v>2218</v>
      </c>
      <c r="C116" t="s">
        <v>2214</v>
      </c>
      <c r="D116" s="14">
        <v>77.95</v>
      </c>
      <c r="E116" s="15">
        <v>408</v>
      </c>
    </row>
    <row r="117" spans="1:5">
      <c r="A117">
        <v>2021</v>
      </c>
      <c r="B117" t="s">
        <v>2219</v>
      </c>
      <c r="C117" t="s">
        <v>2214</v>
      </c>
      <c r="D117" s="14">
        <v>42.53</v>
      </c>
      <c r="E117" s="15">
        <v>408</v>
      </c>
    </row>
    <row r="118" spans="1:5">
      <c r="A118">
        <v>2021</v>
      </c>
      <c r="B118" t="s">
        <v>2220</v>
      </c>
      <c r="C118" t="s">
        <v>2214</v>
      </c>
      <c r="D118" s="14">
        <v>27.93</v>
      </c>
      <c r="E118" s="15">
        <v>408</v>
      </c>
    </row>
    <row r="119" spans="1:5">
      <c r="A119">
        <v>2021</v>
      </c>
      <c r="B119" t="s">
        <v>2221</v>
      </c>
      <c r="C119" t="s">
        <v>2214</v>
      </c>
      <c r="D119" s="14">
        <v>81.5</v>
      </c>
      <c r="E119" s="15">
        <v>408</v>
      </c>
    </row>
    <row r="120" spans="1:5">
      <c r="A120">
        <v>2021</v>
      </c>
      <c r="B120" t="s">
        <v>2222</v>
      </c>
      <c r="C120" t="s">
        <v>2214</v>
      </c>
      <c r="D120" s="14">
        <v>30.65</v>
      </c>
      <c r="E120" s="15">
        <v>408</v>
      </c>
    </row>
    <row r="121" spans="1:5">
      <c r="A121">
        <v>2021</v>
      </c>
      <c r="B121" t="s">
        <v>2223</v>
      </c>
      <c r="C121" t="s">
        <v>2214</v>
      </c>
      <c r="D121" s="14">
        <v>3.95</v>
      </c>
      <c r="E121" s="15">
        <v>408</v>
      </c>
    </row>
    <row r="122" spans="1:5">
      <c r="A122">
        <v>2022</v>
      </c>
      <c r="B122" t="s">
        <v>2213</v>
      </c>
      <c r="C122" t="s">
        <v>2214</v>
      </c>
      <c r="D122" s="14">
        <v>20.399999999999999</v>
      </c>
      <c r="E122" s="15">
        <v>412</v>
      </c>
    </row>
    <row r="123" spans="1:5">
      <c r="A123">
        <v>2022</v>
      </c>
      <c r="B123" t="s">
        <v>2215</v>
      </c>
      <c r="C123" t="s">
        <v>2214</v>
      </c>
      <c r="D123" s="14">
        <v>26.4</v>
      </c>
      <c r="E123" s="15">
        <v>412</v>
      </c>
    </row>
    <row r="124" spans="1:5">
      <c r="A124">
        <v>2022</v>
      </c>
      <c r="B124" t="s">
        <v>2216</v>
      </c>
      <c r="C124" t="s">
        <v>2214</v>
      </c>
      <c r="D124" s="14">
        <v>16.39</v>
      </c>
      <c r="E124" s="15">
        <v>412</v>
      </c>
    </row>
    <row r="125" spans="1:5">
      <c r="A125">
        <v>2022</v>
      </c>
      <c r="B125" t="s">
        <v>2217</v>
      </c>
      <c r="C125" t="s">
        <v>2214</v>
      </c>
      <c r="D125" s="14">
        <v>73.680000000000007</v>
      </c>
      <c r="E125" s="15">
        <v>412</v>
      </c>
    </row>
    <row r="126" spans="1:5">
      <c r="A126">
        <v>2022</v>
      </c>
      <c r="B126" t="s">
        <v>2218</v>
      </c>
      <c r="C126" t="s">
        <v>2214</v>
      </c>
      <c r="D126" s="14">
        <v>78.45</v>
      </c>
      <c r="E126" s="15">
        <v>412</v>
      </c>
    </row>
    <row r="127" spans="1:5">
      <c r="A127">
        <v>2022</v>
      </c>
      <c r="B127" t="s">
        <v>2219</v>
      </c>
      <c r="C127" t="s">
        <v>2214</v>
      </c>
      <c r="D127" s="14">
        <v>38.590000000000003</v>
      </c>
      <c r="E127" s="15">
        <v>412</v>
      </c>
    </row>
    <row r="128" spans="1:5">
      <c r="A128">
        <v>2022</v>
      </c>
      <c r="B128" t="s">
        <v>2220</v>
      </c>
      <c r="C128" t="s">
        <v>2214</v>
      </c>
      <c r="D128" s="14">
        <v>28.65</v>
      </c>
      <c r="E128" s="15">
        <v>412</v>
      </c>
    </row>
    <row r="129" spans="1:5">
      <c r="A129">
        <v>2022</v>
      </c>
      <c r="B129" t="s">
        <v>2221</v>
      </c>
      <c r="C129" t="s">
        <v>2214</v>
      </c>
      <c r="D129" s="14">
        <v>91.96</v>
      </c>
      <c r="E129" s="15">
        <v>412</v>
      </c>
    </row>
    <row r="130" spans="1:5">
      <c r="A130">
        <v>2022</v>
      </c>
      <c r="B130" t="s">
        <v>2222</v>
      </c>
      <c r="C130" t="s">
        <v>2214</v>
      </c>
      <c r="D130" s="14">
        <v>29.19</v>
      </c>
      <c r="E130" s="15">
        <v>412</v>
      </c>
    </row>
    <row r="131" spans="1:5">
      <c r="A131">
        <v>2022</v>
      </c>
      <c r="B131" t="s">
        <v>2223</v>
      </c>
      <c r="C131" t="s">
        <v>2214</v>
      </c>
      <c r="D131" s="14">
        <v>4.04</v>
      </c>
      <c r="E131" s="15">
        <v>412</v>
      </c>
    </row>
    <row r="132" spans="1:5">
      <c r="A132">
        <v>2023</v>
      </c>
      <c r="B132" t="s">
        <v>2213</v>
      </c>
      <c r="C132" t="s">
        <v>2214</v>
      </c>
      <c r="D132" s="14">
        <v>20.82</v>
      </c>
      <c r="E132" s="15">
        <v>416</v>
      </c>
    </row>
    <row r="133" spans="1:5">
      <c r="A133">
        <v>2023</v>
      </c>
      <c r="B133" t="s">
        <v>2215</v>
      </c>
      <c r="C133" t="s">
        <v>2214</v>
      </c>
      <c r="D133" s="14">
        <v>23.19</v>
      </c>
      <c r="E133" s="15">
        <v>416</v>
      </c>
    </row>
    <row r="134" spans="1:5">
      <c r="A134">
        <v>2023</v>
      </c>
      <c r="B134" t="s">
        <v>2216</v>
      </c>
      <c r="C134" t="s">
        <v>2214</v>
      </c>
      <c r="D134" s="14">
        <v>16.95</v>
      </c>
      <c r="E134" s="15">
        <v>416</v>
      </c>
    </row>
    <row r="135" spans="1:5">
      <c r="A135">
        <v>2023</v>
      </c>
      <c r="B135" t="s">
        <v>2217</v>
      </c>
      <c r="C135" t="s">
        <v>2214</v>
      </c>
      <c r="D135" s="14">
        <v>75.37</v>
      </c>
      <c r="E135" s="15">
        <v>416</v>
      </c>
    </row>
    <row r="136" spans="1:5">
      <c r="A136">
        <v>2023</v>
      </c>
      <c r="B136" t="s">
        <v>2218</v>
      </c>
      <c r="C136" t="s">
        <v>2214</v>
      </c>
      <c r="D136" s="14">
        <v>90.03</v>
      </c>
      <c r="E136" s="15">
        <v>416</v>
      </c>
    </row>
    <row r="137" spans="1:5">
      <c r="A137">
        <v>2023</v>
      </c>
      <c r="B137" t="s">
        <v>2219</v>
      </c>
      <c r="C137" t="s">
        <v>2214</v>
      </c>
      <c r="D137" s="14">
        <v>41.61</v>
      </c>
      <c r="E137" s="15">
        <v>416</v>
      </c>
    </row>
    <row r="138" spans="1:5">
      <c r="A138">
        <v>2023</v>
      </c>
      <c r="B138" t="s">
        <v>2220</v>
      </c>
      <c r="C138" t="s">
        <v>2214</v>
      </c>
      <c r="D138" s="14">
        <v>28.04</v>
      </c>
      <c r="E138" s="15">
        <v>416</v>
      </c>
    </row>
    <row r="139" spans="1:5">
      <c r="A139">
        <v>2023</v>
      </c>
      <c r="B139" t="s">
        <v>2221</v>
      </c>
      <c r="C139" t="s">
        <v>2214</v>
      </c>
      <c r="D139" s="14">
        <v>91.33</v>
      </c>
      <c r="E139" s="15">
        <v>416</v>
      </c>
    </row>
    <row r="140" spans="1:5">
      <c r="A140">
        <v>2023</v>
      </c>
      <c r="B140" t="s">
        <v>2222</v>
      </c>
      <c r="C140" t="s">
        <v>2214</v>
      </c>
      <c r="D140" s="14">
        <v>28.74</v>
      </c>
      <c r="E140" s="15">
        <v>416</v>
      </c>
    </row>
    <row r="141" spans="1:5">
      <c r="A141">
        <v>2023</v>
      </c>
      <c r="B141" t="s">
        <v>2223</v>
      </c>
      <c r="C141" t="s">
        <v>2214</v>
      </c>
      <c r="D141" s="14">
        <v>4.2300000000000004</v>
      </c>
      <c r="E141" s="15">
        <v>416</v>
      </c>
    </row>
    <row r="142" spans="1:5">
      <c r="A142">
        <v>2024</v>
      </c>
      <c r="B142" t="s">
        <v>2213</v>
      </c>
      <c r="C142" t="s">
        <v>2214</v>
      </c>
      <c r="D142" s="14">
        <v>21.02</v>
      </c>
      <c r="E142" s="15">
        <v>420</v>
      </c>
    </row>
    <row r="143" spans="1:5">
      <c r="A143">
        <v>2024</v>
      </c>
      <c r="B143" t="s">
        <v>2215</v>
      </c>
      <c r="C143" t="s">
        <v>2214</v>
      </c>
      <c r="D143" s="14">
        <v>23.96</v>
      </c>
      <c r="E143" s="15">
        <v>420</v>
      </c>
    </row>
    <row r="144" spans="1:5">
      <c r="A144">
        <v>2024</v>
      </c>
      <c r="B144" t="s">
        <v>2216</v>
      </c>
      <c r="C144" t="s">
        <v>2214</v>
      </c>
      <c r="D144" s="14">
        <v>15.74</v>
      </c>
      <c r="E144" s="15">
        <v>420</v>
      </c>
    </row>
    <row r="145" spans="1:5">
      <c r="A145">
        <v>2024</v>
      </c>
      <c r="B145" t="s">
        <v>2217</v>
      </c>
      <c r="C145" t="s">
        <v>2214</v>
      </c>
      <c r="D145" s="14">
        <v>76.400000000000006</v>
      </c>
      <c r="E145" s="15">
        <v>420</v>
      </c>
    </row>
    <row r="146" spans="1:5">
      <c r="A146">
        <v>2024</v>
      </c>
      <c r="B146" t="s">
        <v>2218</v>
      </c>
      <c r="C146" t="s">
        <v>2214</v>
      </c>
      <c r="D146" s="14">
        <v>88.78</v>
      </c>
      <c r="E146" s="15">
        <v>420</v>
      </c>
    </row>
    <row r="147" spans="1:5">
      <c r="A147">
        <v>2024</v>
      </c>
      <c r="B147" t="s">
        <v>2219</v>
      </c>
      <c r="C147" t="s">
        <v>2214</v>
      </c>
      <c r="D147" s="14">
        <v>42.13</v>
      </c>
      <c r="E147" s="15">
        <v>420</v>
      </c>
    </row>
    <row r="148" spans="1:5">
      <c r="A148">
        <v>2024</v>
      </c>
      <c r="B148" t="s">
        <v>2220</v>
      </c>
      <c r="C148" t="s">
        <v>2214</v>
      </c>
      <c r="D148" s="14">
        <v>30.37</v>
      </c>
      <c r="E148" s="15">
        <v>420</v>
      </c>
    </row>
    <row r="149" spans="1:5">
      <c r="A149">
        <v>2024</v>
      </c>
      <c r="B149" t="s">
        <v>2221</v>
      </c>
      <c r="C149" t="s">
        <v>2214</v>
      </c>
      <c r="D149" s="14">
        <v>96.22</v>
      </c>
      <c r="E149" s="15">
        <v>420</v>
      </c>
    </row>
    <row r="150" spans="1:5">
      <c r="A150">
        <v>2024</v>
      </c>
      <c r="B150" t="s">
        <v>2222</v>
      </c>
      <c r="C150" t="s">
        <v>2214</v>
      </c>
      <c r="D150" s="14">
        <v>29.72</v>
      </c>
      <c r="E150" s="15">
        <v>420</v>
      </c>
    </row>
    <row r="151" spans="1:5">
      <c r="A151">
        <v>2024</v>
      </c>
      <c r="B151" t="s">
        <v>2223</v>
      </c>
      <c r="C151" t="s">
        <v>2214</v>
      </c>
      <c r="D151" s="14">
        <v>4.07</v>
      </c>
      <c r="E151" s="15">
        <v>420</v>
      </c>
    </row>
    <row r="152" spans="1:5">
      <c r="A152">
        <v>2025</v>
      </c>
      <c r="B152" t="s">
        <v>2213</v>
      </c>
      <c r="C152" t="s">
        <v>2214</v>
      </c>
      <c r="D152" s="14">
        <v>21.42</v>
      </c>
      <c r="E152" s="15">
        <v>425</v>
      </c>
    </row>
    <row r="153" spans="1:5">
      <c r="A153">
        <v>2025</v>
      </c>
      <c r="B153" t="s">
        <v>2215</v>
      </c>
      <c r="C153" t="s">
        <v>2214</v>
      </c>
      <c r="D153" s="14">
        <v>26.76</v>
      </c>
      <c r="E153" s="15">
        <v>425</v>
      </c>
    </row>
    <row r="154" spans="1:5">
      <c r="A154">
        <v>2025</v>
      </c>
      <c r="B154" t="s">
        <v>2216</v>
      </c>
      <c r="C154" t="s">
        <v>2214</v>
      </c>
      <c r="D154" s="14">
        <v>17.36</v>
      </c>
      <c r="E154" s="15">
        <v>425</v>
      </c>
    </row>
    <row r="155" spans="1:5">
      <c r="A155">
        <v>2025</v>
      </c>
      <c r="B155" t="s">
        <v>2217</v>
      </c>
      <c r="C155" t="s">
        <v>2214</v>
      </c>
      <c r="D155" s="14">
        <v>78.819999999999993</v>
      </c>
      <c r="E155" s="15">
        <v>425</v>
      </c>
    </row>
    <row r="156" spans="1:5">
      <c r="A156">
        <v>2025</v>
      </c>
      <c r="B156" t="s">
        <v>2218</v>
      </c>
      <c r="C156" t="s">
        <v>2214</v>
      </c>
      <c r="D156" s="14">
        <v>83.44</v>
      </c>
      <c r="E156" s="15">
        <v>425</v>
      </c>
    </row>
    <row r="157" spans="1:5">
      <c r="A157">
        <v>2025</v>
      </c>
      <c r="B157" t="s">
        <v>2219</v>
      </c>
      <c r="C157" t="s">
        <v>2214</v>
      </c>
      <c r="D157" s="14">
        <v>42.16</v>
      </c>
      <c r="E157" s="15">
        <v>425</v>
      </c>
    </row>
    <row r="158" spans="1:5">
      <c r="A158">
        <v>2025</v>
      </c>
      <c r="B158" t="s">
        <v>2220</v>
      </c>
      <c r="C158" t="s">
        <v>2214</v>
      </c>
      <c r="D158" s="14">
        <v>29.61</v>
      </c>
      <c r="E158" s="15">
        <v>425</v>
      </c>
    </row>
    <row r="159" spans="1:5">
      <c r="A159">
        <v>2025</v>
      </c>
      <c r="B159" t="s">
        <v>2221</v>
      </c>
      <c r="C159" t="s">
        <v>2214</v>
      </c>
      <c r="D159" s="14">
        <v>93.31</v>
      </c>
      <c r="E159" s="15">
        <v>425</v>
      </c>
    </row>
    <row r="160" spans="1:5">
      <c r="A160">
        <v>2025</v>
      </c>
      <c r="B160" t="s">
        <v>2222</v>
      </c>
      <c r="C160" t="s">
        <v>2214</v>
      </c>
      <c r="D160" s="14">
        <v>31.17</v>
      </c>
      <c r="E160" s="15">
        <v>425</v>
      </c>
    </row>
    <row r="161" spans="1:5">
      <c r="A161">
        <v>2025</v>
      </c>
      <c r="B161" t="s">
        <v>2223</v>
      </c>
      <c r="C161" t="s">
        <v>2214</v>
      </c>
      <c r="D161" s="14">
        <v>3.87</v>
      </c>
      <c r="E161" s="15">
        <v>425</v>
      </c>
    </row>
    <row r="162" spans="1:5">
      <c r="A162">
        <v>2026</v>
      </c>
      <c r="B162" t="s">
        <v>2213</v>
      </c>
      <c r="C162" t="s">
        <v>2214</v>
      </c>
      <c r="D162" s="14">
        <v>21.53</v>
      </c>
      <c r="E162" s="15">
        <v>430</v>
      </c>
    </row>
    <row r="163" spans="1:5">
      <c r="A163">
        <v>2026</v>
      </c>
      <c r="B163" t="s">
        <v>2215</v>
      </c>
      <c r="C163" t="s">
        <v>2214</v>
      </c>
      <c r="D163" s="14">
        <v>25.72</v>
      </c>
      <c r="E163" s="15">
        <v>430</v>
      </c>
    </row>
    <row r="164" spans="1:5">
      <c r="A164">
        <v>2026</v>
      </c>
      <c r="B164" t="s">
        <v>2216</v>
      </c>
      <c r="C164" t="s">
        <v>2214</v>
      </c>
      <c r="D164" s="14">
        <v>16.28</v>
      </c>
      <c r="E164" s="15">
        <v>430</v>
      </c>
    </row>
    <row r="165" spans="1:5">
      <c r="A165">
        <v>2026</v>
      </c>
      <c r="B165" t="s">
        <v>2217</v>
      </c>
      <c r="C165" t="s">
        <v>2214</v>
      </c>
      <c r="D165" s="14">
        <v>79.510000000000005</v>
      </c>
      <c r="E165" s="15">
        <v>430</v>
      </c>
    </row>
    <row r="166" spans="1:5">
      <c r="A166">
        <v>2026</v>
      </c>
      <c r="B166" t="s">
        <v>2218</v>
      </c>
      <c r="C166" t="s">
        <v>2214</v>
      </c>
      <c r="D166" s="14">
        <v>83.54</v>
      </c>
      <c r="E166" s="15">
        <v>430</v>
      </c>
    </row>
    <row r="167" spans="1:5">
      <c r="A167">
        <v>2026</v>
      </c>
      <c r="B167" t="s">
        <v>2219</v>
      </c>
      <c r="C167" t="s">
        <v>2214</v>
      </c>
      <c r="D167" s="14">
        <v>42.39</v>
      </c>
      <c r="E167" s="15">
        <v>430</v>
      </c>
    </row>
    <row r="168" spans="1:5">
      <c r="A168">
        <v>2026</v>
      </c>
      <c r="B168" t="s">
        <v>2220</v>
      </c>
      <c r="C168" t="s">
        <v>2214</v>
      </c>
      <c r="D168" s="14">
        <v>32.409999999999997</v>
      </c>
      <c r="E168" s="15">
        <v>430</v>
      </c>
    </row>
    <row r="169" spans="1:5">
      <c r="A169">
        <v>2026</v>
      </c>
      <c r="B169" t="s">
        <v>2221</v>
      </c>
      <c r="C169" t="s">
        <v>2214</v>
      </c>
      <c r="D169" s="14">
        <v>98.5</v>
      </c>
      <c r="E169" s="15">
        <v>430</v>
      </c>
    </row>
    <row r="170" spans="1:5">
      <c r="A170">
        <v>2026</v>
      </c>
      <c r="B170" t="s">
        <v>2222</v>
      </c>
      <c r="C170" t="s">
        <v>2214</v>
      </c>
      <c r="D170" s="14">
        <v>30.8</v>
      </c>
      <c r="E170" s="15">
        <v>430</v>
      </c>
    </row>
    <row r="171" spans="1:5">
      <c r="A171">
        <v>2026</v>
      </c>
      <c r="B171" t="s">
        <v>2223</v>
      </c>
      <c r="C171" t="s">
        <v>2214</v>
      </c>
      <c r="D171" s="14">
        <v>4.37</v>
      </c>
      <c r="E171" s="15">
        <v>430</v>
      </c>
    </row>
    <row r="172" spans="1:5">
      <c r="A172">
        <v>2010</v>
      </c>
      <c r="B172" t="s">
        <v>2213</v>
      </c>
      <c r="C172" t="s">
        <v>2224</v>
      </c>
      <c r="D172" s="14">
        <v>19.670000000000002</v>
      </c>
      <c r="E172" s="15">
        <v>220</v>
      </c>
    </row>
    <row r="173" spans="1:5">
      <c r="A173">
        <v>2010</v>
      </c>
      <c r="B173" t="s">
        <v>2215</v>
      </c>
      <c r="C173" t="s">
        <v>2224</v>
      </c>
      <c r="D173" s="14">
        <v>25.74</v>
      </c>
      <c r="E173" s="15">
        <v>220</v>
      </c>
    </row>
    <row r="174" spans="1:5">
      <c r="A174">
        <v>2010</v>
      </c>
      <c r="B174" t="s">
        <v>2216</v>
      </c>
      <c r="C174" t="s">
        <v>2224</v>
      </c>
      <c r="D174" s="14">
        <v>9.09</v>
      </c>
      <c r="E174" s="15">
        <v>220</v>
      </c>
    </row>
    <row r="175" spans="1:5">
      <c r="A175">
        <v>2010</v>
      </c>
      <c r="B175" t="s">
        <v>2217</v>
      </c>
      <c r="C175" t="s">
        <v>2224</v>
      </c>
      <c r="D175" s="14">
        <v>38.43</v>
      </c>
      <c r="E175" s="15">
        <v>220</v>
      </c>
    </row>
    <row r="176" spans="1:5">
      <c r="A176">
        <v>2010</v>
      </c>
      <c r="B176" t="s">
        <v>2218</v>
      </c>
      <c r="C176" t="s">
        <v>2224</v>
      </c>
      <c r="D176" s="14">
        <v>41.6</v>
      </c>
      <c r="E176" s="15">
        <v>220</v>
      </c>
    </row>
    <row r="177" spans="1:5">
      <c r="A177">
        <v>2010</v>
      </c>
      <c r="B177" t="s">
        <v>2219</v>
      </c>
      <c r="C177" t="s">
        <v>2224</v>
      </c>
      <c r="D177" s="14">
        <v>22.5</v>
      </c>
      <c r="E177" s="15">
        <v>220</v>
      </c>
    </row>
    <row r="178" spans="1:5">
      <c r="A178">
        <v>2010</v>
      </c>
      <c r="B178" t="s">
        <v>2220</v>
      </c>
      <c r="C178" t="s">
        <v>2224</v>
      </c>
      <c r="D178" s="14">
        <v>15.37</v>
      </c>
      <c r="E178" s="15">
        <v>220</v>
      </c>
    </row>
    <row r="179" spans="1:5">
      <c r="A179">
        <v>2010</v>
      </c>
      <c r="B179" t="s">
        <v>2221</v>
      </c>
      <c r="C179" t="s">
        <v>2224</v>
      </c>
      <c r="D179" s="14">
        <v>27.43</v>
      </c>
      <c r="E179" s="15">
        <v>220</v>
      </c>
    </row>
    <row r="180" spans="1:5">
      <c r="A180">
        <v>2010</v>
      </c>
      <c r="B180" t="s">
        <v>2222</v>
      </c>
      <c r="C180" t="s">
        <v>2224</v>
      </c>
      <c r="D180" s="14">
        <v>15.67</v>
      </c>
      <c r="E180" s="15">
        <v>220</v>
      </c>
    </row>
    <row r="181" spans="1:5">
      <c r="A181">
        <v>2010</v>
      </c>
      <c r="B181" t="s">
        <v>2223</v>
      </c>
      <c r="C181" t="s">
        <v>2224</v>
      </c>
      <c r="D181" s="14">
        <v>2.1800000000000002</v>
      </c>
      <c r="E181" s="15">
        <v>220</v>
      </c>
    </row>
    <row r="182" spans="1:5">
      <c r="A182">
        <v>2011</v>
      </c>
      <c r="B182" t="s">
        <v>2213</v>
      </c>
      <c r="C182" t="s">
        <v>2224</v>
      </c>
      <c r="D182" s="14">
        <v>20.59</v>
      </c>
      <c r="E182" s="15">
        <v>224</v>
      </c>
    </row>
    <row r="183" spans="1:5">
      <c r="A183">
        <v>2011</v>
      </c>
      <c r="B183" t="s">
        <v>2215</v>
      </c>
      <c r="C183" t="s">
        <v>2224</v>
      </c>
      <c r="D183" s="14">
        <v>24.62</v>
      </c>
      <c r="E183" s="15">
        <v>224</v>
      </c>
    </row>
    <row r="184" spans="1:5">
      <c r="A184">
        <v>2011</v>
      </c>
      <c r="B184" t="s">
        <v>2216</v>
      </c>
      <c r="C184" t="s">
        <v>2224</v>
      </c>
      <c r="D184" s="14">
        <v>8.74</v>
      </c>
      <c r="E184" s="15">
        <v>224</v>
      </c>
    </row>
    <row r="185" spans="1:5">
      <c r="A185">
        <v>2011</v>
      </c>
      <c r="B185" t="s">
        <v>2217</v>
      </c>
      <c r="C185" t="s">
        <v>2224</v>
      </c>
      <c r="D185" s="14">
        <v>41.35</v>
      </c>
      <c r="E185" s="15">
        <v>224</v>
      </c>
    </row>
    <row r="186" spans="1:5">
      <c r="A186">
        <v>2011</v>
      </c>
      <c r="B186" t="s">
        <v>2218</v>
      </c>
      <c r="C186" t="s">
        <v>2224</v>
      </c>
      <c r="D186" s="14">
        <v>43.92</v>
      </c>
      <c r="E186" s="15">
        <v>224</v>
      </c>
    </row>
    <row r="187" spans="1:5">
      <c r="A187">
        <v>2011</v>
      </c>
      <c r="B187" t="s">
        <v>2219</v>
      </c>
      <c r="C187" t="s">
        <v>2224</v>
      </c>
      <c r="D187" s="14">
        <v>22.02</v>
      </c>
      <c r="E187" s="15">
        <v>224</v>
      </c>
    </row>
    <row r="188" spans="1:5">
      <c r="A188">
        <v>2011</v>
      </c>
      <c r="B188" t="s">
        <v>2220</v>
      </c>
      <c r="C188" t="s">
        <v>2224</v>
      </c>
      <c r="D188" s="14">
        <v>15.35</v>
      </c>
      <c r="E188" s="15">
        <v>224</v>
      </c>
    </row>
    <row r="189" spans="1:5">
      <c r="A189">
        <v>2011</v>
      </c>
      <c r="B189" t="s">
        <v>2221</v>
      </c>
      <c r="C189" t="s">
        <v>2224</v>
      </c>
      <c r="D189" s="14">
        <v>30.94</v>
      </c>
      <c r="E189" s="15">
        <v>224</v>
      </c>
    </row>
    <row r="190" spans="1:5">
      <c r="A190">
        <v>2011</v>
      </c>
      <c r="B190" t="s">
        <v>2222</v>
      </c>
      <c r="C190" t="s">
        <v>2224</v>
      </c>
      <c r="D190" s="14">
        <v>15.51</v>
      </c>
      <c r="E190" s="15">
        <v>224</v>
      </c>
    </row>
    <row r="191" spans="1:5">
      <c r="A191">
        <v>2011</v>
      </c>
      <c r="B191" t="s">
        <v>2223</v>
      </c>
      <c r="C191" t="s">
        <v>2224</v>
      </c>
      <c r="D191" s="14">
        <v>2.37</v>
      </c>
      <c r="E191" s="15">
        <v>224</v>
      </c>
    </row>
    <row r="192" spans="1:5">
      <c r="A192">
        <v>2012</v>
      </c>
      <c r="B192" t="s">
        <v>2213</v>
      </c>
      <c r="C192" t="s">
        <v>2224</v>
      </c>
      <c r="D192" s="14">
        <v>22.04</v>
      </c>
      <c r="E192" s="15">
        <v>228</v>
      </c>
    </row>
    <row r="193" spans="1:5">
      <c r="A193">
        <v>2012</v>
      </c>
      <c r="B193" t="s">
        <v>2215</v>
      </c>
      <c r="C193" t="s">
        <v>2224</v>
      </c>
      <c r="D193" s="14">
        <v>23.91</v>
      </c>
      <c r="E193" s="15">
        <v>228</v>
      </c>
    </row>
    <row r="194" spans="1:5">
      <c r="A194">
        <v>2012</v>
      </c>
      <c r="B194" t="s">
        <v>2216</v>
      </c>
      <c r="C194" t="s">
        <v>2224</v>
      </c>
      <c r="D194" s="14">
        <v>8.11</v>
      </c>
      <c r="E194" s="15">
        <v>228</v>
      </c>
    </row>
    <row r="195" spans="1:5">
      <c r="A195">
        <v>2012</v>
      </c>
      <c r="B195" t="s">
        <v>2217</v>
      </c>
      <c r="C195" t="s">
        <v>2224</v>
      </c>
      <c r="D195" s="14">
        <v>42.79</v>
      </c>
      <c r="E195" s="15">
        <v>228</v>
      </c>
    </row>
    <row r="196" spans="1:5">
      <c r="A196">
        <v>2012</v>
      </c>
      <c r="B196" t="s">
        <v>2218</v>
      </c>
      <c r="C196" t="s">
        <v>2224</v>
      </c>
      <c r="D196" s="14">
        <v>44.98</v>
      </c>
      <c r="E196" s="15">
        <v>228</v>
      </c>
    </row>
    <row r="197" spans="1:5">
      <c r="A197">
        <v>2012</v>
      </c>
      <c r="B197" t="s">
        <v>2219</v>
      </c>
      <c r="C197" t="s">
        <v>2224</v>
      </c>
      <c r="D197" s="14">
        <v>22.02</v>
      </c>
      <c r="E197" s="15">
        <v>228</v>
      </c>
    </row>
    <row r="198" spans="1:5">
      <c r="A198">
        <v>2012</v>
      </c>
      <c r="B198" t="s">
        <v>2220</v>
      </c>
      <c r="C198" t="s">
        <v>2224</v>
      </c>
      <c r="D198" s="14">
        <v>15.59</v>
      </c>
      <c r="E198" s="15">
        <v>228</v>
      </c>
    </row>
    <row r="199" spans="1:5">
      <c r="A199">
        <v>2012</v>
      </c>
      <c r="B199" t="s">
        <v>2221</v>
      </c>
      <c r="C199" t="s">
        <v>2224</v>
      </c>
      <c r="D199" s="14">
        <v>29.6</v>
      </c>
      <c r="E199" s="15">
        <v>228</v>
      </c>
    </row>
    <row r="200" spans="1:5">
      <c r="A200">
        <v>2012</v>
      </c>
      <c r="B200" t="s">
        <v>2222</v>
      </c>
      <c r="C200" t="s">
        <v>2224</v>
      </c>
      <c r="D200" s="14">
        <v>16.809999999999999</v>
      </c>
      <c r="E200" s="15">
        <v>228</v>
      </c>
    </row>
    <row r="201" spans="1:5">
      <c r="A201">
        <v>2012</v>
      </c>
      <c r="B201" t="s">
        <v>2223</v>
      </c>
      <c r="C201" t="s">
        <v>2224</v>
      </c>
      <c r="D201" s="14">
        <v>2.29</v>
      </c>
      <c r="E201" s="15">
        <v>228</v>
      </c>
    </row>
    <row r="202" spans="1:5">
      <c r="A202">
        <v>2013</v>
      </c>
      <c r="B202" t="s">
        <v>2213</v>
      </c>
      <c r="C202" t="s">
        <v>2224</v>
      </c>
      <c r="D202" s="14">
        <v>21.98</v>
      </c>
      <c r="E202" s="15">
        <v>232</v>
      </c>
    </row>
    <row r="203" spans="1:5">
      <c r="A203">
        <v>2013</v>
      </c>
      <c r="B203" t="s">
        <v>2215</v>
      </c>
      <c r="C203" t="s">
        <v>2224</v>
      </c>
      <c r="D203" s="14">
        <v>25.56</v>
      </c>
      <c r="E203" s="15">
        <v>232</v>
      </c>
    </row>
    <row r="204" spans="1:5">
      <c r="A204">
        <v>2013</v>
      </c>
      <c r="B204" t="s">
        <v>2216</v>
      </c>
      <c r="C204" t="s">
        <v>2224</v>
      </c>
      <c r="D204" s="14">
        <v>9.17</v>
      </c>
      <c r="E204" s="15">
        <v>232</v>
      </c>
    </row>
    <row r="205" spans="1:5">
      <c r="A205">
        <v>2013</v>
      </c>
      <c r="B205" t="s">
        <v>2217</v>
      </c>
      <c r="C205" t="s">
        <v>2224</v>
      </c>
      <c r="D205" s="14">
        <v>41.11</v>
      </c>
      <c r="E205" s="15">
        <v>232</v>
      </c>
    </row>
    <row r="206" spans="1:5">
      <c r="A206">
        <v>2013</v>
      </c>
      <c r="B206" t="s">
        <v>2218</v>
      </c>
      <c r="C206" t="s">
        <v>2224</v>
      </c>
      <c r="D206" s="14">
        <v>47.45</v>
      </c>
      <c r="E206" s="15">
        <v>232</v>
      </c>
    </row>
    <row r="207" spans="1:5">
      <c r="A207">
        <v>2013</v>
      </c>
      <c r="B207" t="s">
        <v>2219</v>
      </c>
      <c r="C207" t="s">
        <v>2224</v>
      </c>
      <c r="D207" s="14">
        <v>23.97</v>
      </c>
      <c r="E207" s="15">
        <v>232</v>
      </c>
    </row>
    <row r="208" spans="1:5">
      <c r="A208">
        <v>2013</v>
      </c>
      <c r="B208" t="s">
        <v>2220</v>
      </c>
      <c r="C208" t="s">
        <v>2224</v>
      </c>
      <c r="D208" s="14">
        <v>16.899999999999999</v>
      </c>
      <c r="E208" s="15">
        <v>232</v>
      </c>
    </row>
    <row r="209" spans="1:5">
      <c r="A209">
        <v>2013</v>
      </c>
      <c r="B209" t="s">
        <v>2221</v>
      </c>
      <c r="C209" t="s">
        <v>2224</v>
      </c>
      <c r="D209" s="14">
        <v>30.31</v>
      </c>
      <c r="E209" s="15">
        <v>232</v>
      </c>
    </row>
    <row r="210" spans="1:5">
      <c r="A210">
        <v>2013</v>
      </c>
      <c r="B210" t="s">
        <v>2222</v>
      </c>
      <c r="C210" t="s">
        <v>2224</v>
      </c>
      <c r="D210" s="14">
        <v>16.350000000000001</v>
      </c>
      <c r="E210" s="15">
        <v>232</v>
      </c>
    </row>
    <row r="211" spans="1:5">
      <c r="A211">
        <v>2013</v>
      </c>
      <c r="B211" t="s">
        <v>2223</v>
      </c>
      <c r="C211" t="s">
        <v>2224</v>
      </c>
      <c r="D211" s="14">
        <v>2.37</v>
      </c>
      <c r="E211" s="15">
        <v>232</v>
      </c>
    </row>
    <row r="212" spans="1:5">
      <c r="A212">
        <v>2014</v>
      </c>
      <c r="B212" t="s">
        <v>2213</v>
      </c>
      <c r="C212" t="s">
        <v>2224</v>
      </c>
      <c r="D212" s="14">
        <v>20.92</v>
      </c>
      <c r="E212" s="15">
        <v>236</v>
      </c>
    </row>
    <row r="213" spans="1:5">
      <c r="A213">
        <v>2014</v>
      </c>
      <c r="B213" t="s">
        <v>2215</v>
      </c>
      <c r="C213" t="s">
        <v>2224</v>
      </c>
      <c r="D213" s="14">
        <v>24.36</v>
      </c>
      <c r="E213" s="15">
        <v>236</v>
      </c>
    </row>
    <row r="214" spans="1:5">
      <c r="A214">
        <v>2014</v>
      </c>
      <c r="B214" t="s">
        <v>2216</v>
      </c>
      <c r="C214" t="s">
        <v>2224</v>
      </c>
      <c r="D214" s="14">
        <v>9.14</v>
      </c>
      <c r="E214" s="15">
        <v>236</v>
      </c>
    </row>
    <row r="215" spans="1:5">
      <c r="A215">
        <v>2014</v>
      </c>
      <c r="B215" t="s">
        <v>2217</v>
      </c>
      <c r="C215" t="s">
        <v>2224</v>
      </c>
      <c r="D215" s="14">
        <v>42.07</v>
      </c>
      <c r="E215" s="15">
        <v>236</v>
      </c>
    </row>
    <row r="216" spans="1:5">
      <c r="A216">
        <v>2014</v>
      </c>
      <c r="B216" t="s">
        <v>2218</v>
      </c>
      <c r="C216" t="s">
        <v>2224</v>
      </c>
      <c r="D216" s="14">
        <v>48.47</v>
      </c>
      <c r="E216" s="15">
        <v>236</v>
      </c>
    </row>
    <row r="217" spans="1:5">
      <c r="A217">
        <v>2014</v>
      </c>
      <c r="B217" t="s">
        <v>2219</v>
      </c>
      <c r="C217" t="s">
        <v>2224</v>
      </c>
      <c r="D217" s="14">
        <v>24.82</v>
      </c>
      <c r="E217" s="15">
        <v>236</v>
      </c>
    </row>
    <row r="218" spans="1:5">
      <c r="A218">
        <v>2014</v>
      </c>
      <c r="B218" t="s">
        <v>2220</v>
      </c>
      <c r="C218" t="s">
        <v>2224</v>
      </c>
      <c r="D218" s="14">
        <v>15.65</v>
      </c>
      <c r="E218" s="15">
        <v>236</v>
      </c>
    </row>
    <row r="219" spans="1:5">
      <c r="A219">
        <v>2014</v>
      </c>
      <c r="B219" t="s">
        <v>2221</v>
      </c>
      <c r="C219" t="s">
        <v>2224</v>
      </c>
      <c r="D219" s="14">
        <v>30.42</v>
      </c>
      <c r="E219" s="15">
        <v>236</v>
      </c>
    </row>
    <row r="220" spans="1:5">
      <c r="A220">
        <v>2014</v>
      </c>
      <c r="B220" t="s">
        <v>2222</v>
      </c>
      <c r="C220" t="s">
        <v>2224</v>
      </c>
      <c r="D220" s="14">
        <v>16.29</v>
      </c>
      <c r="E220" s="15">
        <v>236</v>
      </c>
    </row>
    <row r="221" spans="1:5">
      <c r="A221">
        <v>2014</v>
      </c>
      <c r="B221" t="s">
        <v>2223</v>
      </c>
      <c r="C221" t="s">
        <v>2224</v>
      </c>
      <c r="D221" s="14">
        <v>2.44</v>
      </c>
      <c r="E221" s="15">
        <v>236</v>
      </c>
    </row>
    <row r="222" spans="1:5">
      <c r="A222">
        <v>2015</v>
      </c>
      <c r="B222" t="s">
        <v>2213</v>
      </c>
      <c r="C222" t="s">
        <v>2224</v>
      </c>
      <c r="D222" s="14">
        <v>21.15</v>
      </c>
      <c r="E222" s="15">
        <v>240</v>
      </c>
    </row>
    <row r="223" spans="1:5">
      <c r="A223">
        <v>2015</v>
      </c>
      <c r="B223" t="s">
        <v>2215</v>
      </c>
      <c r="C223" t="s">
        <v>2224</v>
      </c>
      <c r="D223" s="14">
        <v>25.48</v>
      </c>
      <c r="E223" s="15">
        <v>240</v>
      </c>
    </row>
    <row r="224" spans="1:5">
      <c r="A224">
        <v>2015</v>
      </c>
      <c r="B224" t="s">
        <v>2216</v>
      </c>
      <c r="C224" t="s">
        <v>2224</v>
      </c>
      <c r="D224" s="14">
        <v>9.07</v>
      </c>
      <c r="E224" s="15">
        <v>240</v>
      </c>
    </row>
    <row r="225" spans="1:5">
      <c r="A225">
        <v>2015</v>
      </c>
      <c r="B225" t="s">
        <v>2217</v>
      </c>
      <c r="C225" t="s">
        <v>2224</v>
      </c>
      <c r="D225" s="14">
        <v>44.04</v>
      </c>
      <c r="E225" s="15">
        <v>240</v>
      </c>
    </row>
    <row r="226" spans="1:5">
      <c r="A226">
        <v>2015</v>
      </c>
      <c r="B226" t="s">
        <v>2218</v>
      </c>
      <c r="C226" t="s">
        <v>2224</v>
      </c>
      <c r="D226" s="14">
        <v>47.69</v>
      </c>
      <c r="E226" s="15">
        <v>240</v>
      </c>
    </row>
    <row r="227" spans="1:5">
      <c r="A227">
        <v>2015</v>
      </c>
      <c r="B227" t="s">
        <v>2219</v>
      </c>
      <c r="C227" t="s">
        <v>2224</v>
      </c>
      <c r="D227" s="14">
        <v>23.38</v>
      </c>
      <c r="E227" s="15">
        <v>240</v>
      </c>
    </row>
    <row r="228" spans="1:5">
      <c r="A228">
        <v>2015</v>
      </c>
      <c r="B228" t="s">
        <v>2220</v>
      </c>
      <c r="C228" t="s">
        <v>2224</v>
      </c>
      <c r="D228" s="14">
        <v>16.63</v>
      </c>
      <c r="E228" s="15">
        <v>240</v>
      </c>
    </row>
    <row r="229" spans="1:5">
      <c r="A229">
        <v>2015</v>
      </c>
      <c r="B229" t="s">
        <v>2221</v>
      </c>
      <c r="C229" t="s">
        <v>2224</v>
      </c>
      <c r="D229" s="14">
        <v>33.14</v>
      </c>
      <c r="E229" s="15">
        <v>240</v>
      </c>
    </row>
    <row r="230" spans="1:5">
      <c r="A230">
        <v>2015</v>
      </c>
      <c r="B230" t="s">
        <v>2222</v>
      </c>
      <c r="C230" t="s">
        <v>2224</v>
      </c>
      <c r="D230" s="14">
        <v>16.14</v>
      </c>
      <c r="E230" s="15">
        <v>240</v>
      </c>
    </row>
    <row r="231" spans="1:5">
      <c r="A231">
        <v>2015</v>
      </c>
      <c r="B231" t="s">
        <v>2223</v>
      </c>
      <c r="C231" t="s">
        <v>2224</v>
      </c>
      <c r="D231" s="14">
        <v>2.3199999999999998</v>
      </c>
      <c r="E231" s="15">
        <v>240</v>
      </c>
    </row>
    <row r="232" spans="1:5">
      <c r="A232">
        <v>2016</v>
      </c>
      <c r="B232" t="s">
        <v>2213</v>
      </c>
      <c r="C232" t="s">
        <v>2224</v>
      </c>
      <c r="D232" s="14">
        <v>22.97</v>
      </c>
      <c r="E232" s="15">
        <v>242.8</v>
      </c>
    </row>
    <row r="233" spans="1:5">
      <c r="A233">
        <v>2016</v>
      </c>
      <c r="B233" t="s">
        <v>2215</v>
      </c>
      <c r="C233" t="s">
        <v>2224</v>
      </c>
      <c r="D233" s="14">
        <v>26.3</v>
      </c>
      <c r="E233" s="15">
        <v>242.8</v>
      </c>
    </row>
    <row r="234" spans="1:5">
      <c r="A234">
        <v>2016</v>
      </c>
      <c r="B234" t="s">
        <v>2216</v>
      </c>
      <c r="C234" t="s">
        <v>2224</v>
      </c>
      <c r="D234" s="14">
        <v>9.9700000000000006</v>
      </c>
      <c r="E234" s="15">
        <v>242.8</v>
      </c>
    </row>
    <row r="235" spans="1:5">
      <c r="A235">
        <v>2016</v>
      </c>
      <c r="B235" t="s">
        <v>2217</v>
      </c>
      <c r="C235" t="s">
        <v>2224</v>
      </c>
      <c r="D235" s="14">
        <v>44.4</v>
      </c>
      <c r="E235" s="15">
        <v>242.8</v>
      </c>
    </row>
    <row r="236" spans="1:5">
      <c r="A236">
        <v>2016</v>
      </c>
      <c r="B236" t="s">
        <v>2218</v>
      </c>
      <c r="C236" t="s">
        <v>2224</v>
      </c>
      <c r="D236" s="14">
        <v>48.48</v>
      </c>
      <c r="E236" s="15">
        <v>242.8</v>
      </c>
    </row>
    <row r="237" spans="1:5">
      <c r="A237">
        <v>2016</v>
      </c>
      <c r="B237" t="s">
        <v>2219</v>
      </c>
      <c r="C237" t="s">
        <v>2224</v>
      </c>
      <c r="D237" s="14">
        <v>23.94</v>
      </c>
      <c r="E237" s="15">
        <v>242.8</v>
      </c>
    </row>
    <row r="238" spans="1:5">
      <c r="A238">
        <v>2016</v>
      </c>
      <c r="B238" t="s">
        <v>2220</v>
      </c>
      <c r="C238" t="s">
        <v>2224</v>
      </c>
      <c r="D238" s="14">
        <v>17.57</v>
      </c>
      <c r="E238" s="15">
        <v>242.8</v>
      </c>
    </row>
    <row r="239" spans="1:5">
      <c r="A239">
        <v>2016</v>
      </c>
      <c r="B239" t="s">
        <v>2221</v>
      </c>
      <c r="C239" t="s">
        <v>2224</v>
      </c>
      <c r="D239" s="14">
        <v>33.57</v>
      </c>
      <c r="E239" s="15">
        <v>242.8</v>
      </c>
    </row>
    <row r="240" spans="1:5">
      <c r="A240">
        <v>2016</v>
      </c>
      <c r="B240" t="s">
        <v>2222</v>
      </c>
      <c r="C240" t="s">
        <v>2224</v>
      </c>
      <c r="D240" s="14">
        <v>17.75</v>
      </c>
      <c r="E240" s="15">
        <v>242.8</v>
      </c>
    </row>
    <row r="241" spans="1:5">
      <c r="A241">
        <v>2016</v>
      </c>
      <c r="B241" t="s">
        <v>2223</v>
      </c>
      <c r="C241" t="s">
        <v>2224</v>
      </c>
      <c r="D241" s="14">
        <v>2.3199999999999998</v>
      </c>
      <c r="E241" s="15">
        <v>242.8</v>
      </c>
    </row>
    <row r="242" spans="1:5">
      <c r="A242">
        <v>2017</v>
      </c>
      <c r="B242" t="s">
        <v>2213</v>
      </c>
      <c r="C242" t="s">
        <v>2224</v>
      </c>
      <c r="D242" s="14">
        <v>23.28</v>
      </c>
      <c r="E242" s="15">
        <v>245.5</v>
      </c>
    </row>
    <row r="243" spans="1:5">
      <c r="A243">
        <v>2017</v>
      </c>
      <c r="B243" t="s">
        <v>2215</v>
      </c>
      <c r="C243" t="s">
        <v>2224</v>
      </c>
      <c r="D243" s="14">
        <v>26.14</v>
      </c>
      <c r="E243" s="15">
        <v>245.5</v>
      </c>
    </row>
    <row r="244" spans="1:5">
      <c r="A244">
        <v>2017</v>
      </c>
      <c r="B244" t="s">
        <v>2216</v>
      </c>
      <c r="C244" t="s">
        <v>2224</v>
      </c>
      <c r="D244" s="14">
        <v>9.5299999999999994</v>
      </c>
      <c r="E244" s="15">
        <v>245.5</v>
      </c>
    </row>
    <row r="245" spans="1:5">
      <c r="A245">
        <v>2017</v>
      </c>
      <c r="B245" t="s">
        <v>2217</v>
      </c>
      <c r="C245" t="s">
        <v>2224</v>
      </c>
      <c r="D245" s="14">
        <v>43.89</v>
      </c>
      <c r="E245" s="15">
        <v>245.5</v>
      </c>
    </row>
    <row r="246" spans="1:5">
      <c r="A246">
        <v>2017</v>
      </c>
      <c r="B246" t="s">
        <v>2218</v>
      </c>
      <c r="C246" t="s">
        <v>2224</v>
      </c>
      <c r="D246" s="14">
        <v>50.76</v>
      </c>
      <c r="E246" s="15">
        <v>245.5</v>
      </c>
    </row>
    <row r="247" spans="1:5">
      <c r="A247">
        <v>2017</v>
      </c>
      <c r="B247" t="s">
        <v>2219</v>
      </c>
      <c r="C247" t="s">
        <v>2224</v>
      </c>
      <c r="D247" s="14">
        <v>25.09</v>
      </c>
      <c r="E247" s="15">
        <v>245.5</v>
      </c>
    </row>
    <row r="248" spans="1:5">
      <c r="A248">
        <v>2017</v>
      </c>
      <c r="B248" t="s">
        <v>2220</v>
      </c>
      <c r="C248" t="s">
        <v>2224</v>
      </c>
      <c r="D248" s="14">
        <v>17.010000000000002</v>
      </c>
      <c r="E248" s="15">
        <v>245.5</v>
      </c>
    </row>
    <row r="249" spans="1:5">
      <c r="A249">
        <v>2017</v>
      </c>
      <c r="B249" t="s">
        <v>2221</v>
      </c>
      <c r="C249" t="s">
        <v>2224</v>
      </c>
      <c r="D249" s="14">
        <v>33.51</v>
      </c>
      <c r="E249" s="15">
        <v>245.5</v>
      </c>
    </row>
    <row r="250" spans="1:5">
      <c r="A250">
        <v>2017</v>
      </c>
      <c r="B250" t="s">
        <v>2222</v>
      </c>
      <c r="C250" t="s">
        <v>2224</v>
      </c>
      <c r="D250" s="14">
        <v>17.28</v>
      </c>
      <c r="E250" s="15">
        <v>245.5</v>
      </c>
    </row>
    <row r="251" spans="1:5">
      <c r="A251">
        <v>2017</v>
      </c>
      <c r="B251" t="s">
        <v>2223</v>
      </c>
      <c r="C251" t="s">
        <v>2224</v>
      </c>
      <c r="D251" s="14">
        <v>2.4</v>
      </c>
      <c r="E251" s="15">
        <v>245.5</v>
      </c>
    </row>
    <row r="252" spans="1:5">
      <c r="A252">
        <v>2018</v>
      </c>
      <c r="B252" t="s">
        <v>2213</v>
      </c>
      <c r="C252" t="s">
        <v>2224</v>
      </c>
      <c r="D252" s="14">
        <v>21.72</v>
      </c>
      <c r="E252" s="15">
        <v>248.2</v>
      </c>
    </row>
    <row r="253" spans="1:5">
      <c r="A253">
        <v>2018</v>
      </c>
      <c r="B253" t="s">
        <v>2215</v>
      </c>
      <c r="C253" t="s">
        <v>2224</v>
      </c>
      <c r="D253" s="14">
        <v>27.25</v>
      </c>
      <c r="E253" s="15">
        <v>248.2</v>
      </c>
    </row>
    <row r="254" spans="1:5">
      <c r="A254">
        <v>2018</v>
      </c>
      <c r="B254" t="s">
        <v>2216</v>
      </c>
      <c r="C254" t="s">
        <v>2224</v>
      </c>
      <c r="D254" s="14">
        <v>9.9</v>
      </c>
      <c r="E254" s="15">
        <v>248.2</v>
      </c>
    </row>
    <row r="255" spans="1:5">
      <c r="A255">
        <v>2018</v>
      </c>
      <c r="B255" t="s">
        <v>2217</v>
      </c>
      <c r="C255" t="s">
        <v>2224</v>
      </c>
      <c r="D255" s="14">
        <v>42.29</v>
      </c>
      <c r="E255" s="15">
        <v>248.2</v>
      </c>
    </row>
    <row r="256" spans="1:5">
      <c r="A256">
        <v>2018</v>
      </c>
      <c r="B256" t="s">
        <v>2218</v>
      </c>
      <c r="C256" t="s">
        <v>2224</v>
      </c>
      <c r="D256" s="14">
        <v>51.36</v>
      </c>
      <c r="E256" s="15">
        <v>248.2</v>
      </c>
    </row>
    <row r="257" spans="1:5">
      <c r="A257">
        <v>2018</v>
      </c>
      <c r="B257" t="s">
        <v>2219</v>
      </c>
      <c r="C257" t="s">
        <v>2224</v>
      </c>
      <c r="D257" s="14">
        <v>24.35</v>
      </c>
      <c r="E257" s="15">
        <v>248.2</v>
      </c>
    </row>
    <row r="258" spans="1:5">
      <c r="A258">
        <v>2018</v>
      </c>
      <c r="B258" t="s">
        <v>2220</v>
      </c>
      <c r="C258" t="s">
        <v>2224</v>
      </c>
      <c r="D258" s="14">
        <v>18.52</v>
      </c>
      <c r="E258" s="15">
        <v>248.2</v>
      </c>
    </row>
    <row r="259" spans="1:5">
      <c r="A259">
        <v>2018</v>
      </c>
      <c r="B259" t="s">
        <v>2221</v>
      </c>
      <c r="C259" t="s">
        <v>2224</v>
      </c>
      <c r="D259" s="14">
        <v>30.98</v>
      </c>
      <c r="E259" s="15">
        <v>248.2</v>
      </c>
    </row>
    <row r="260" spans="1:5">
      <c r="A260">
        <v>2018</v>
      </c>
      <c r="B260" t="s">
        <v>2222</v>
      </c>
      <c r="C260" t="s">
        <v>2224</v>
      </c>
      <c r="D260" s="14">
        <v>17.25</v>
      </c>
      <c r="E260" s="15">
        <v>248.2</v>
      </c>
    </row>
    <row r="261" spans="1:5">
      <c r="A261">
        <v>2018</v>
      </c>
      <c r="B261" t="s">
        <v>2223</v>
      </c>
      <c r="C261" t="s">
        <v>2224</v>
      </c>
      <c r="D261" s="14">
        <v>2.41</v>
      </c>
      <c r="E261" s="15">
        <v>248.2</v>
      </c>
    </row>
    <row r="262" spans="1:5">
      <c r="A262">
        <v>2019</v>
      </c>
      <c r="B262" t="s">
        <v>2213</v>
      </c>
      <c r="C262" t="s">
        <v>2224</v>
      </c>
      <c r="D262" s="14">
        <v>21.73</v>
      </c>
      <c r="E262" s="15">
        <v>251</v>
      </c>
    </row>
    <row r="263" spans="1:5">
      <c r="A263">
        <v>2019</v>
      </c>
      <c r="B263" t="s">
        <v>2215</v>
      </c>
      <c r="C263" t="s">
        <v>2224</v>
      </c>
      <c r="D263" s="14">
        <v>26.59</v>
      </c>
      <c r="E263" s="15">
        <v>251</v>
      </c>
    </row>
    <row r="264" spans="1:5">
      <c r="A264">
        <v>2019</v>
      </c>
      <c r="B264" t="s">
        <v>2216</v>
      </c>
      <c r="C264" t="s">
        <v>2224</v>
      </c>
      <c r="D264" s="14">
        <v>10.78</v>
      </c>
      <c r="E264" s="15">
        <v>251</v>
      </c>
    </row>
    <row r="265" spans="1:5">
      <c r="A265">
        <v>2019</v>
      </c>
      <c r="B265" t="s">
        <v>2217</v>
      </c>
      <c r="C265" t="s">
        <v>2224</v>
      </c>
      <c r="D265" s="14">
        <v>45.44</v>
      </c>
      <c r="E265" s="15">
        <v>251</v>
      </c>
    </row>
    <row r="266" spans="1:5">
      <c r="A266">
        <v>2019</v>
      </c>
      <c r="B266" t="s">
        <v>2218</v>
      </c>
      <c r="C266" t="s">
        <v>2224</v>
      </c>
      <c r="D266" s="14">
        <v>48.64</v>
      </c>
      <c r="E266" s="15">
        <v>251</v>
      </c>
    </row>
    <row r="267" spans="1:5">
      <c r="A267">
        <v>2019</v>
      </c>
      <c r="B267" t="s">
        <v>2219</v>
      </c>
      <c r="C267" t="s">
        <v>2224</v>
      </c>
      <c r="D267" s="14">
        <v>23.33</v>
      </c>
      <c r="E267" s="15">
        <v>251</v>
      </c>
    </row>
    <row r="268" spans="1:5">
      <c r="A268">
        <v>2019</v>
      </c>
      <c r="B268" t="s">
        <v>2220</v>
      </c>
      <c r="C268" t="s">
        <v>2224</v>
      </c>
      <c r="D268" s="14">
        <v>16.399999999999999</v>
      </c>
      <c r="E268" s="15">
        <v>251</v>
      </c>
    </row>
    <row r="269" spans="1:5">
      <c r="A269">
        <v>2019</v>
      </c>
      <c r="B269" t="s">
        <v>2221</v>
      </c>
      <c r="C269" t="s">
        <v>2224</v>
      </c>
      <c r="D269" s="14">
        <v>32.43</v>
      </c>
      <c r="E269" s="15">
        <v>251</v>
      </c>
    </row>
    <row r="270" spans="1:5">
      <c r="A270">
        <v>2019</v>
      </c>
      <c r="B270" t="s">
        <v>2222</v>
      </c>
      <c r="C270" t="s">
        <v>2224</v>
      </c>
      <c r="D270" s="14">
        <v>17.13</v>
      </c>
      <c r="E270" s="15">
        <v>251</v>
      </c>
    </row>
    <row r="271" spans="1:5">
      <c r="A271">
        <v>2019</v>
      </c>
      <c r="B271" t="s">
        <v>2223</v>
      </c>
      <c r="C271" t="s">
        <v>2224</v>
      </c>
      <c r="D271" s="14">
        <v>2.4900000000000002</v>
      </c>
      <c r="E271" s="15">
        <v>251</v>
      </c>
    </row>
    <row r="272" spans="1:5">
      <c r="A272">
        <v>2020</v>
      </c>
      <c r="B272" t="s">
        <v>2213</v>
      </c>
      <c r="C272" t="s">
        <v>2224</v>
      </c>
      <c r="D272" s="14">
        <v>20.87</v>
      </c>
      <c r="E272" s="15">
        <v>254</v>
      </c>
    </row>
    <row r="273" spans="1:5">
      <c r="A273">
        <v>2020</v>
      </c>
      <c r="B273" t="s">
        <v>2215</v>
      </c>
      <c r="C273" t="s">
        <v>2224</v>
      </c>
      <c r="D273" s="14">
        <v>27.33</v>
      </c>
      <c r="E273" s="15">
        <v>254</v>
      </c>
    </row>
    <row r="274" spans="1:5">
      <c r="A274">
        <v>2020</v>
      </c>
      <c r="B274" t="s">
        <v>2216</v>
      </c>
      <c r="C274" t="s">
        <v>2224</v>
      </c>
      <c r="D274" s="14">
        <v>10.59</v>
      </c>
      <c r="E274" s="15">
        <v>254</v>
      </c>
    </row>
    <row r="275" spans="1:5">
      <c r="A275">
        <v>2020</v>
      </c>
      <c r="B275" t="s">
        <v>2217</v>
      </c>
      <c r="C275" t="s">
        <v>2224</v>
      </c>
      <c r="D275" s="14">
        <v>48.79</v>
      </c>
      <c r="E275" s="15">
        <v>254</v>
      </c>
    </row>
    <row r="276" spans="1:5">
      <c r="A276">
        <v>2020</v>
      </c>
      <c r="B276" t="s">
        <v>2218</v>
      </c>
      <c r="C276" t="s">
        <v>2224</v>
      </c>
      <c r="D276" s="14">
        <v>47.09</v>
      </c>
      <c r="E276" s="15">
        <v>254</v>
      </c>
    </row>
    <row r="277" spans="1:5">
      <c r="A277">
        <v>2020</v>
      </c>
      <c r="B277" t="s">
        <v>2219</v>
      </c>
      <c r="C277" t="s">
        <v>2224</v>
      </c>
      <c r="D277" s="14">
        <v>24.6</v>
      </c>
      <c r="E277" s="15">
        <v>254</v>
      </c>
    </row>
    <row r="278" spans="1:5">
      <c r="A278">
        <v>2020</v>
      </c>
      <c r="B278" t="s">
        <v>2220</v>
      </c>
      <c r="C278" t="s">
        <v>2224</v>
      </c>
      <c r="D278" s="14">
        <v>17.18</v>
      </c>
      <c r="E278" s="15">
        <v>254</v>
      </c>
    </row>
    <row r="279" spans="1:5">
      <c r="A279">
        <v>2020</v>
      </c>
      <c r="B279" t="s">
        <v>2221</v>
      </c>
      <c r="C279" t="s">
        <v>2224</v>
      </c>
      <c r="D279" s="14">
        <v>33.72</v>
      </c>
      <c r="E279" s="15">
        <v>254</v>
      </c>
    </row>
    <row r="280" spans="1:5">
      <c r="A280">
        <v>2020</v>
      </c>
      <c r="B280" t="s">
        <v>2222</v>
      </c>
      <c r="C280" t="s">
        <v>2224</v>
      </c>
      <c r="D280" s="14">
        <v>16.93</v>
      </c>
      <c r="E280" s="15">
        <v>254</v>
      </c>
    </row>
    <row r="281" spans="1:5">
      <c r="A281">
        <v>2020</v>
      </c>
      <c r="B281" t="s">
        <v>2223</v>
      </c>
      <c r="C281" t="s">
        <v>2224</v>
      </c>
      <c r="D281" s="14">
        <v>2.72</v>
      </c>
      <c r="E281" s="15">
        <v>254</v>
      </c>
    </row>
    <row r="282" spans="1:5">
      <c r="A282">
        <v>2021</v>
      </c>
      <c r="B282" t="s">
        <v>2213</v>
      </c>
      <c r="C282" t="s">
        <v>2224</v>
      </c>
      <c r="D282" s="14">
        <v>23.17</v>
      </c>
      <c r="E282" s="15">
        <v>257</v>
      </c>
    </row>
    <row r="283" spans="1:5">
      <c r="A283">
        <v>2021</v>
      </c>
      <c r="B283" t="s">
        <v>2215</v>
      </c>
      <c r="C283" t="s">
        <v>2224</v>
      </c>
      <c r="D283" s="14">
        <v>27.62</v>
      </c>
      <c r="E283" s="15">
        <v>257</v>
      </c>
    </row>
    <row r="284" spans="1:5">
      <c r="A284">
        <v>2021</v>
      </c>
      <c r="B284" t="s">
        <v>2216</v>
      </c>
      <c r="C284" t="s">
        <v>2224</v>
      </c>
      <c r="D284" s="14">
        <v>10.96</v>
      </c>
      <c r="E284" s="15">
        <v>257</v>
      </c>
    </row>
    <row r="285" spans="1:5">
      <c r="A285">
        <v>2021</v>
      </c>
      <c r="B285" t="s">
        <v>2217</v>
      </c>
      <c r="C285" t="s">
        <v>2224</v>
      </c>
      <c r="D285" s="14">
        <v>46.23</v>
      </c>
      <c r="E285" s="15">
        <v>257</v>
      </c>
    </row>
    <row r="286" spans="1:5">
      <c r="A286">
        <v>2021</v>
      </c>
      <c r="B286" t="s">
        <v>2218</v>
      </c>
      <c r="C286" t="s">
        <v>2224</v>
      </c>
      <c r="D286" s="14">
        <v>52.23</v>
      </c>
      <c r="E286" s="15">
        <v>257</v>
      </c>
    </row>
    <row r="287" spans="1:5">
      <c r="A287">
        <v>2021</v>
      </c>
      <c r="B287" t="s">
        <v>2219</v>
      </c>
      <c r="C287" t="s">
        <v>2224</v>
      </c>
      <c r="D287" s="14">
        <v>24.94</v>
      </c>
      <c r="E287" s="15">
        <v>257</v>
      </c>
    </row>
    <row r="288" spans="1:5">
      <c r="A288">
        <v>2021</v>
      </c>
      <c r="B288" t="s">
        <v>2220</v>
      </c>
      <c r="C288" t="s">
        <v>2224</v>
      </c>
      <c r="D288" s="14">
        <v>17.03</v>
      </c>
      <c r="E288" s="15">
        <v>257</v>
      </c>
    </row>
    <row r="289" spans="1:5">
      <c r="A289">
        <v>2021</v>
      </c>
      <c r="B289" t="s">
        <v>2221</v>
      </c>
      <c r="C289" t="s">
        <v>2224</v>
      </c>
      <c r="D289" s="14">
        <v>33.11</v>
      </c>
      <c r="E289" s="15">
        <v>257</v>
      </c>
    </row>
    <row r="290" spans="1:5">
      <c r="A290">
        <v>2021</v>
      </c>
      <c r="B290" t="s">
        <v>2222</v>
      </c>
      <c r="C290" t="s">
        <v>2224</v>
      </c>
      <c r="D290" s="14">
        <v>19.63</v>
      </c>
      <c r="E290" s="15">
        <v>257</v>
      </c>
    </row>
    <row r="291" spans="1:5">
      <c r="A291">
        <v>2021</v>
      </c>
      <c r="B291" t="s">
        <v>2223</v>
      </c>
      <c r="C291" t="s">
        <v>2224</v>
      </c>
      <c r="D291" s="14">
        <v>2.64</v>
      </c>
      <c r="E291" s="15">
        <v>257</v>
      </c>
    </row>
    <row r="292" spans="1:5">
      <c r="A292">
        <v>2022</v>
      </c>
      <c r="B292" t="s">
        <v>2213</v>
      </c>
      <c r="C292" t="s">
        <v>2224</v>
      </c>
      <c r="D292" s="14">
        <v>23.78</v>
      </c>
      <c r="E292" s="15">
        <v>261.3</v>
      </c>
    </row>
    <row r="293" spans="1:5">
      <c r="A293">
        <v>2022</v>
      </c>
      <c r="B293" t="s">
        <v>2215</v>
      </c>
      <c r="C293" t="s">
        <v>2224</v>
      </c>
      <c r="D293" s="14">
        <v>27.14</v>
      </c>
      <c r="E293" s="15">
        <v>261.3</v>
      </c>
    </row>
    <row r="294" spans="1:5">
      <c r="A294">
        <v>2022</v>
      </c>
      <c r="B294" t="s">
        <v>2216</v>
      </c>
      <c r="C294" t="s">
        <v>2224</v>
      </c>
      <c r="D294" s="14">
        <v>10.84</v>
      </c>
      <c r="E294" s="15">
        <v>261.3</v>
      </c>
    </row>
    <row r="295" spans="1:5">
      <c r="A295">
        <v>2022</v>
      </c>
      <c r="B295" t="s">
        <v>2217</v>
      </c>
      <c r="C295" t="s">
        <v>2224</v>
      </c>
      <c r="D295" s="14">
        <v>44.55</v>
      </c>
      <c r="E295" s="15">
        <v>261.3</v>
      </c>
    </row>
    <row r="296" spans="1:5">
      <c r="A296">
        <v>2022</v>
      </c>
      <c r="B296" t="s">
        <v>2218</v>
      </c>
      <c r="C296" t="s">
        <v>2224</v>
      </c>
      <c r="D296" s="14">
        <v>49.09</v>
      </c>
      <c r="E296" s="15">
        <v>261.3</v>
      </c>
    </row>
    <row r="297" spans="1:5">
      <c r="A297">
        <v>2022</v>
      </c>
      <c r="B297" t="s">
        <v>2219</v>
      </c>
      <c r="C297" t="s">
        <v>2224</v>
      </c>
      <c r="D297" s="14">
        <v>25.56</v>
      </c>
      <c r="E297" s="15">
        <v>261.3</v>
      </c>
    </row>
    <row r="298" spans="1:5">
      <c r="A298">
        <v>2022</v>
      </c>
      <c r="B298" t="s">
        <v>2220</v>
      </c>
      <c r="C298" t="s">
        <v>2224</v>
      </c>
      <c r="D298" s="14">
        <v>19.78</v>
      </c>
      <c r="E298" s="15">
        <v>261.3</v>
      </c>
    </row>
    <row r="299" spans="1:5">
      <c r="A299">
        <v>2022</v>
      </c>
      <c r="B299" t="s">
        <v>2221</v>
      </c>
      <c r="C299" t="s">
        <v>2224</v>
      </c>
      <c r="D299" s="14">
        <v>37.22</v>
      </c>
      <c r="E299" s="15">
        <v>261.3</v>
      </c>
    </row>
    <row r="300" spans="1:5">
      <c r="A300">
        <v>2022</v>
      </c>
      <c r="B300" t="s">
        <v>2222</v>
      </c>
      <c r="C300" t="s">
        <v>2224</v>
      </c>
      <c r="D300" s="14">
        <v>17.97</v>
      </c>
      <c r="E300" s="15">
        <v>261.3</v>
      </c>
    </row>
    <row r="301" spans="1:5">
      <c r="A301">
        <v>2022</v>
      </c>
      <c r="B301" t="s">
        <v>2223</v>
      </c>
      <c r="C301" t="s">
        <v>2224</v>
      </c>
      <c r="D301" s="14">
        <v>2.54</v>
      </c>
      <c r="E301" s="15">
        <v>261.3</v>
      </c>
    </row>
    <row r="302" spans="1:5">
      <c r="A302">
        <v>2023</v>
      </c>
      <c r="B302" t="s">
        <v>2213</v>
      </c>
      <c r="C302" t="s">
        <v>2224</v>
      </c>
      <c r="D302" s="14">
        <v>22.39</v>
      </c>
      <c r="E302" s="15">
        <v>265.7</v>
      </c>
    </row>
    <row r="303" spans="1:5">
      <c r="A303">
        <v>2023</v>
      </c>
      <c r="B303" t="s">
        <v>2215</v>
      </c>
      <c r="C303" t="s">
        <v>2224</v>
      </c>
      <c r="D303" s="14">
        <v>28.78</v>
      </c>
      <c r="E303" s="15">
        <v>265.7</v>
      </c>
    </row>
    <row r="304" spans="1:5">
      <c r="A304">
        <v>2023</v>
      </c>
      <c r="B304" t="s">
        <v>2216</v>
      </c>
      <c r="C304" t="s">
        <v>2224</v>
      </c>
      <c r="D304" s="14">
        <v>10.7</v>
      </c>
      <c r="E304" s="15">
        <v>265.7</v>
      </c>
    </row>
    <row r="305" spans="1:5">
      <c r="A305">
        <v>2023</v>
      </c>
      <c r="B305" t="s">
        <v>2217</v>
      </c>
      <c r="C305" t="s">
        <v>2224</v>
      </c>
      <c r="D305" s="14">
        <v>49.35</v>
      </c>
      <c r="E305" s="15">
        <v>265.7</v>
      </c>
    </row>
    <row r="306" spans="1:5">
      <c r="A306">
        <v>2023</v>
      </c>
      <c r="B306" t="s">
        <v>2218</v>
      </c>
      <c r="C306" t="s">
        <v>2224</v>
      </c>
      <c r="D306" s="14">
        <v>55.1</v>
      </c>
      <c r="E306" s="15">
        <v>265.7</v>
      </c>
    </row>
    <row r="307" spans="1:5">
      <c r="A307">
        <v>2023</v>
      </c>
      <c r="B307" t="s">
        <v>2219</v>
      </c>
      <c r="C307" t="s">
        <v>2224</v>
      </c>
      <c r="D307" s="14">
        <v>26.36</v>
      </c>
      <c r="E307" s="15">
        <v>265.7</v>
      </c>
    </row>
    <row r="308" spans="1:5">
      <c r="A308">
        <v>2023</v>
      </c>
      <c r="B308" t="s">
        <v>2220</v>
      </c>
      <c r="C308" t="s">
        <v>2224</v>
      </c>
      <c r="D308" s="14">
        <v>19.010000000000002</v>
      </c>
      <c r="E308" s="15">
        <v>265.7</v>
      </c>
    </row>
    <row r="309" spans="1:5">
      <c r="A309">
        <v>2023</v>
      </c>
      <c r="B309" t="s">
        <v>2221</v>
      </c>
      <c r="C309" t="s">
        <v>2224</v>
      </c>
      <c r="D309" s="14">
        <v>34.1</v>
      </c>
      <c r="E309" s="15">
        <v>265.7</v>
      </c>
    </row>
    <row r="310" spans="1:5">
      <c r="A310">
        <v>2023</v>
      </c>
      <c r="B310" t="s">
        <v>2222</v>
      </c>
      <c r="C310" t="s">
        <v>2224</v>
      </c>
      <c r="D310" s="14">
        <v>19</v>
      </c>
      <c r="E310" s="15">
        <v>265.7</v>
      </c>
    </row>
    <row r="311" spans="1:5">
      <c r="A311">
        <v>2023</v>
      </c>
      <c r="B311" t="s">
        <v>2223</v>
      </c>
      <c r="C311" t="s">
        <v>2224</v>
      </c>
      <c r="D311" s="14">
        <v>2.6</v>
      </c>
      <c r="E311" s="15">
        <v>265.7</v>
      </c>
    </row>
    <row r="312" spans="1:5">
      <c r="A312">
        <v>2024</v>
      </c>
      <c r="B312" t="s">
        <v>2213</v>
      </c>
      <c r="C312" t="s">
        <v>2224</v>
      </c>
      <c r="D312" s="14">
        <v>24.75</v>
      </c>
      <c r="E312" s="15">
        <v>270</v>
      </c>
    </row>
    <row r="313" spans="1:5">
      <c r="A313">
        <v>2024</v>
      </c>
      <c r="B313" t="s">
        <v>2215</v>
      </c>
      <c r="C313" t="s">
        <v>2224</v>
      </c>
      <c r="D313" s="14">
        <v>29.6</v>
      </c>
      <c r="E313" s="15">
        <v>270</v>
      </c>
    </row>
    <row r="314" spans="1:5">
      <c r="A314">
        <v>2024</v>
      </c>
      <c r="B314" t="s">
        <v>2216</v>
      </c>
      <c r="C314" t="s">
        <v>2224</v>
      </c>
      <c r="D314" s="14">
        <v>10.83</v>
      </c>
      <c r="E314" s="15">
        <v>270</v>
      </c>
    </row>
    <row r="315" spans="1:5">
      <c r="A315">
        <v>2024</v>
      </c>
      <c r="B315" t="s">
        <v>2217</v>
      </c>
      <c r="C315" t="s">
        <v>2224</v>
      </c>
      <c r="D315" s="14">
        <v>50.17</v>
      </c>
      <c r="E315" s="15">
        <v>270</v>
      </c>
    </row>
    <row r="316" spans="1:5">
      <c r="A316">
        <v>2024</v>
      </c>
      <c r="B316" t="s">
        <v>2218</v>
      </c>
      <c r="C316" t="s">
        <v>2224</v>
      </c>
      <c r="D316" s="14">
        <v>50.71</v>
      </c>
      <c r="E316" s="15">
        <v>270</v>
      </c>
    </row>
    <row r="317" spans="1:5">
      <c r="A317">
        <v>2024</v>
      </c>
      <c r="B317" t="s">
        <v>2219</v>
      </c>
      <c r="C317" t="s">
        <v>2224</v>
      </c>
      <c r="D317" s="14">
        <v>25.87</v>
      </c>
      <c r="E317" s="15">
        <v>270</v>
      </c>
    </row>
    <row r="318" spans="1:5">
      <c r="A318">
        <v>2024</v>
      </c>
      <c r="B318" t="s">
        <v>2220</v>
      </c>
      <c r="C318" t="s">
        <v>2224</v>
      </c>
      <c r="D318" s="14">
        <v>18.7</v>
      </c>
      <c r="E318" s="15">
        <v>270</v>
      </c>
    </row>
    <row r="319" spans="1:5">
      <c r="A319">
        <v>2024</v>
      </c>
      <c r="B319" t="s">
        <v>2221</v>
      </c>
      <c r="C319" t="s">
        <v>2224</v>
      </c>
      <c r="D319" s="14">
        <v>33.64</v>
      </c>
      <c r="E319" s="15">
        <v>270</v>
      </c>
    </row>
    <row r="320" spans="1:5">
      <c r="A320">
        <v>2024</v>
      </c>
      <c r="B320" t="s">
        <v>2222</v>
      </c>
      <c r="C320" t="s">
        <v>2224</v>
      </c>
      <c r="D320" s="14">
        <v>18.59</v>
      </c>
      <c r="E320" s="15">
        <v>270</v>
      </c>
    </row>
    <row r="321" spans="1:5">
      <c r="A321">
        <v>2024</v>
      </c>
      <c r="B321" t="s">
        <v>2223</v>
      </c>
      <c r="C321" t="s">
        <v>2224</v>
      </c>
      <c r="D321" s="14">
        <v>2.66</v>
      </c>
      <c r="E321" s="15">
        <v>270</v>
      </c>
    </row>
    <row r="322" spans="1:5">
      <c r="A322">
        <v>2025</v>
      </c>
      <c r="B322" t="s">
        <v>2213</v>
      </c>
      <c r="C322" t="s">
        <v>2224</v>
      </c>
      <c r="D322" s="14">
        <v>26.08</v>
      </c>
      <c r="E322" s="15">
        <v>275</v>
      </c>
    </row>
    <row r="323" spans="1:5">
      <c r="A323">
        <v>2025</v>
      </c>
      <c r="B323" t="s">
        <v>2215</v>
      </c>
      <c r="C323" t="s">
        <v>2224</v>
      </c>
      <c r="D323" s="14">
        <v>29.87</v>
      </c>
      <c r="E323" s="15">
        <v>275</v>
      </c>
    </row>
    <row r="324" spans="1:5">
      <c r="A324">
        <v>2025</v>
      </c>
      <c r="B324" t="s">
        <v>2216</v>
      </c>
      <c r="C324" t="s">
        <v>2224</v>
      </c>
      <c r="D324" s="14">
        <v>11.46</v>
      </c>
      <c r="E324" s="15">
        <v>275</v>
      </c>
    </row>
    <row r="325" spans="1:5">
      <c r="A325">
        <v>2025</v>
      </c>
      <c r="B325" t="s">
        <v>2217</v>
      </c>
      <c r="C325" t="s">
        <v>2224</v>
      </c>
      <c r="D325" s="14">
        <v>50.1</v>
      </c>
      <c r="E325" s="15">
        <v>275</v>
      </c>
    </row>
    <row r="326" spans="1:5">
      <c r="A326">
        <v>2025</v>
      </c>
      <c r="B326" t="s">
        <v>2218</v>
      </c>
      <c r="C326" t="s">
        <v>2224</v>
      </c>
      <c r="D326" s="14">
        <v>53.83</v>
      </c>
      <c r="E326" s="15">
        <v>275</v>
      </c>
    </row>
    <row r="327" spans="1:5">
      <c r="A327">
        <v>2025</v>
      </c>
      <c r="B327" t="s">
        <v>2219</v>
      </c>
      <c r="C327" t="s">
        <v>2224</v>
      </c>
      <c r="D327" s="14">
        <v>27.65</v>
      </c>
      <c r="E327" s="15">
        <v>275</v>
      </c>
    </row>
    <row r="328" spans="1:5">
      <c r="A328">
        <v>2025</v>
      </c>
      <c r="B328" t="s">
        <v>2220</v>
      </c>
      <c r="C328" t="s">
        <v>2224</v>
      </c>
      <c r="D328" s="14">
        <v>19.82</v>
      </c>
      <c r="E328" s="15">
        <v>275</v>
      </c>
    </row>
    <row r="329" spans="1:5">
      <c r="A329">
        <v>2025</v>
      </c>
      <c r="B329" t="s">
        <v>2221</v>
      </c>
      <c r="C329" t="s">
        <v>2224</v>
      </c>
      <c r="D329" s="14">
        <v>38.07</v>
      </c>
      <c r="E329" s="15">
        <v>275</v>
      </c>
    </row>
    <row r="330" spans="1:5">
      <c r="A330">
        <v>2025</v>
      </c>
      <c r="B330" t="s">
        <v>2222</v>
      </c>
      <c r="C330" t="s">
        <v>2224</v>
      </c>
      <c r="D330" s="14">
        <v>19.149999999999999</v>
      </c>
      <c r="E330" s="15">
        <v>275</v>
      </c>
    </row>
    <row r="331" spans="1:5">
      <c r="A331">
        <v>2025</v>
      </c>
      <c r="B331" t="s">
        <v>2223</v>
      </c>
      <c r="C331" t="s">
        <v>2224</v>
      </c>
      <c r="D331" s="14">
        <v>2.57</v>
      </c>
      <c r="E331" s="15">
        <v>275</v>
      </c>
    </row>
    <row r="332" spans="1:5">
      <c r="A332">
        <v>2026</v>
      </c>
      <c r="B332" t="s">
        <v>2213</v>
      </c>
      <c r="C332" t="s">
        <v>2224</v>
      </c>
      <c r="D332" s="14">
        <v>23.53</v>
      </c>
      <c r="E332" s="15">
        <v>280</v>
      </c>
    </row>
    <row r="333" spans="1:5">
      <c r="A333">
        <v>2026</v>
      </c>
      <c r="B333" t="s">
        <v>2215</v>
      </c>
      <c r="C333" t="s">
        <v>2224</v>
      </c>
      <c r="D333" s="14">
        <v>29.85</v>
      </c>
      <c r="E333" s="15">
        <v>280</v>
      </c>
    </row>
    <row r="334" spans="1:5">
      <c r="A334">
        <v>2026</v>
      </c>
      <c r="B334" t="s">
        <v>2216</v>
      </c>
      <c r="C334" t="s">
        <v>2224</v>
      </c>
      <c r="D334" s="14">
        <v>10.199999999999999</v>
      </c>
      <c r="E334" s="15">
        <v>280</v>
      </c>
    </row>
    <row r="335" spans="1:5">
      <c r="A335">
        <v>2026</v>
      </c>
      <c r="B335" t="s">
        <v>2217</v>
      </c>
      <c r="C335" t="s">
        <v>2224</v>
      </c>
      <c r="D335" s="14">
        <v>54.15</v>
      </c>
      <c r="E335" s="15">
        <v>280</v>
      </c>
    </row>
    <row r="336" spans="1:5">
      <c r="A336">
        <v>2026</v>
      </c>
      <c r="B336" t="s">
        <v>2218</v>
      </c>
      <c r="C336" t="s">
        <v>2224</v>
      </c>
      <c r="D336" s="14">
        <v>57.35</v>
      </c>
      <c r="E336" s="15">
        <v>280</v>
      </c>
    </row>
    <row r="337" spans="1:5">
      <c r="A337">
        <v>2026</v>
      </c>
      <c r="B337" t="s">
        <v>2219</v>
      </c>
      <c r="C337" t="s">
        <v>2224</v>
      </c>
      <c r="D337" s="14">
        <v>27.3</v>
      </c>
      <c r="E337" s="15">
        <v>280</v>
      </c>
    </row>
    <row r="338" spans="1:5">
      <c r="A338">
        <v>2026</v>
      </c>
      <c r="B338" t="s">
        <v>2220</v>
      </c>
      <c r="C338" t="s">
        <v>2224</v>
      </c>
      <c r="D338" s="14">
        <v>18.75</v>
      </c>
      <c r="E338" s="15">
        <v>280</v>
      </c>
    </row>
    <row r="339" spans="1:5">
      <c r="A339">
        <v>2026</v>
      </c>
      <c r="B339" t="s">
        <v>2221</v>
      </c>
      <c r="C339" t="s">
        <v>2224</v>
      </c>
      <c r="D339" s="14">
        <v>38.51</v>
      </c>
      <c r="E339" s="15">
        <v>280</v>
      </c>
    </row>
    <row r="340" spans="1:5">
      <c r="A340">
        <v>2026</v>
      </c>
      <c r="B340" t="s">
        <v>2222</v>
      </c>
      <c r="C340" t="s">
        <v>2224</v>
      </c>
      <c r="D340" s="14">
        <v>18.75</v>
      </c>
      <c r="E340" s="15">
        <v>280</v>
      </c>
    </row>
    <row r="341" spans="1:5">
      <c r="A341">
        <v>2026</v>
      </c>
      <c r="B341" t="s">
        <v>2223</v>
      </c>
      <c r="C341" t="s">
        <v>2224</v>
      </c>
      <c r="D341" s="14">
        <v>2.69</v>
      </c>
      <c r="E341" s="15">
        <v>280</v>
      </c>
    </row>
    <row r="342" spans="1:5">
      <c r="A342">
        <v>2010</v>
      </c>
      <c r="B342" t="s">
        <v>2213</v>
      </c>
      <c r="C342" t="s">
        <v>2225</v>
      </c>
      <c r="D342" s="14">
        <v>5.24</v>
      </c>
      <c r="E342" s="15">
        <v>60</v>
      </c>
    </row>
    <row r="343" spans="1:5">
      <c r="A343">
        <v>2010</v>
      </c>
      <c r="B343" t="s">
        <v>2215</v>
      </c>
      <c r="C343" t="s">
        <v>2225</v>
      </c>
      <c r="D343" s="14">
        <v>6.51</v>
      </c>
      <c r="E343" s="15">
        <v>60</v>
      </c>
    </row>
    <row r="344" spans="1:5">
      <c r="A344">
        <v>2010</v>
      </c>
      <c r="B344" t="s">
        <v>2216</v>
      </c>
      <c r="C344" t="s">
        <v>2225</v>
      </c>
      <c r="D344" s="14">
        <v>2.46</v>
      </c>
      <c r="E344" s="15">
        <v>60</v>
      </c>
    </row>
    <row r="345" spans="1:5">
      <c r="A345">
        <v>2010</v>
      </c>
      <c r="B345" t="s">
        <v>2217</v>
      </c>
      <c r="C345" t="s">
        <v>2225</v>
      </c>
      <c r="D345" s="14">
        <v>11.33</v>
      </c>
      <c r="E345" s="15">
        <v>60</v>
      </c>
    </row>
    <row r="346" spans="1:5">
      <c r="A346">
        <v>2010</v>
      </c>
      <c r="B346" t="s">
        <v>2218</v>
      </c>
      <c r="C346" t="s">
        <v>2225</v>
      </c>
      <c r="D346" s="14">
        <v>12.51</v>
      </c>
      <c r="E346" s="15">
        <v>60</v>
      </c>
    </row>
    <row r="347" spans="1:5">
      <c r="A347">
        <v>2010</v>
      </c>
      <c r="B347" t="s">
        <v>2219</v>
      </c>
      <c r="C347" t="s">
        <v>2225</v>
      </c>
      <c r="D347" s="14">
        <v>6</v>
      </c>
      <c r="E347" s="15">
        <v>60</v>
      </c>
    </row>
    <row r="348" spans="1:5">
      <c r="A348">
        <v>2010</v>
      </c>
      <c r="B348" t="s">
        <v>2220</v>
      </c>
      <c r="C348" t="s">
        <v>2225</v>
      </c>
      <c r="D348" s="14">
        <v>4.37</v>
      </c>
      <c r="E348" s="15">
        <v>60</v>
      </c>
    </row>
    <row r="349" spans="1:5">
      <c r="A349">
        <v>2010</v>
      </c>
      <c r="B349" t="s">
        <v>2221</v>
      </c>
      <c r="C349" t="s">
        <v>2225</v>
      </c>
      <c r="D349" s="14">
        <v>7.71</v>
      </c>
      <c r="E349" s="15">
        <v>60</v>
      </c>
    </row>
    <row r="350" spans="1:5">
      <c r="A350">
        <v>2010</v>
      </c>
      <c r="B350" t="s">
        <v>2222</v>
      </c>
      <c r="C350" t="s">
        <v>2225</v>
      </c>
      <c r="D350" s="14">
        <v>3.9</v>
      </c>
      <c r="E350" s="15">
        <v>60</v>
      </c>
    </row>
    <row r="351" spans="1:5">
      <c r="A351">
        <v>2010</v>
      </c>
      <c r="B351" t="s">
        <v>2223</v>
      </c>
      <c r="C351" t="s">
        <v>2225</v>
      </c>
      <c r="D351" s="14">
        <v>0.57999999999999996</v>
      </c>
      <c r="E351" s="15">
        <v>60</v>
      </c>
    </row>
    <row r="352" spans="1:5">
      <c r="A352">
        <v>2011</v>
      </c>
      <c r="B352" t="s">
        <v>2213</v>
      </c>
      <c r="C352" t="s">
        <v>2225</v>
      </c>
      <c r="D352" s="14">
        <v>5.49</v>
      </c>
      <c r="E352" s="15">
        <v>63</v>
      </c>
    </row>
    <row r="353" spans="1:5">
      <c r="A353">
        <v>2011</v>
      </c>
      <c r="B353" t="s">
        <v>2215</v>
      </c>
      <c r="C353" t="s">
        <v>2225</v>
      </c>
      <c r="D353" s="14">
        <v>6.63</v>
      </c>
      <c r="E353" s="15">
        <v>63</v>
      </c>
    </row>
    <row r="354" spans="1:5">
      <c r="A354">
        <v>2011</v>
      </c>
      <c r="B354" t="s">
        <v>2216</v>
      </c>
      <c r="C354" t="s">
        <v>2225</v>
      </c>
      <c r="D354" s="14">
        <v>2.4300000000000002</v>
      </c>
      <c r="E354" s="15">
        <v>63</v>
      </c>
    </row>
    <row r="355" spans="1:5">
      <c r="A355">
        <v>2011</v>
      </c>
      <c r="B355" t="s">
        <v>2217</v>
      </c>
      <c r="C355" t="s">
        <v>2225</v>
      </c>
      <c r="D355" s="14">
        <v>11.13</v>
      </c>
      <c r="E355" s="15">
        <v>63</v>
      </c>
    </row>
    <row r="356" spans="1:5">
      <c r="A356">
        <v>2011</v>
      </c>
      <c r="B356" t="s">
        <v>2218</v>
      </c>
      <c r="C356" t="s">
        <v>2225</v>
      </c>
      <c r="D356" s="14">
        <v>12.92</v>
      </c>
      <c r="E356" s="15">
        <v>63</v>
      </c>
    </row>
    <row r="357" spans="1:5">
      <c r="A357">
        <v>2011</v>
      </c>
      <c r="B357" t="s">
        <v>2219</v>
      </c>
      <c r="C357" t="s">
        <v>2225</v>
      </c>
      <c r="D357" s="14">
        <v>6.75</v>
      </c>
      <c r="E357" s="15">
        <v>63</v>
      </c>
    </row>
    <row r="358" spans="1:5">
      <c r="A358">
        <v>2011</v>
      </c>
      <c r="B358" t="s">
        <v>2220</v>
      </c>
      <c r="C358" t="s">
        <v>2225</v>
      </c>
      <c r="D358" s="14">
        <v>4.12</v>
      </c>
      <c r="E358" s="15">
        <v>63</v>
      </c>
    </row>
    <row r="359" spans="1:5">
      <c r="A359">
        <v>2011</v>
      </c>
      <c r="B359" t="s">
        <v>2221</v>
      </c>
      <c r="C359" t="s">
        <v>2225</v>
      </c>
      <c r="D359" s="14">
        <v>7.9</v>
      </c>
      <c r="E359" s="15">
        <v>63</v>
      </c>
    </row>
    <row r="360" spans="1:5">
      <c r="A360">
        <v>2011</v>
      </c>
      <c r="B360" t="s">
        <v>2222</v>
      </c>
      <c r="C360" t="s">
        <v>2225</v>
      </c>
      <c r="D360" s="14">
        <v>4.2699999999999996</v>
      </c>
      <c r="E360" s="15">
        <v>63</v>
      </c>
    </row>
    <row r="361" spans="1:5">
      <c r="A361">
        <v>2011</v>
      </c>
      <c r="B361" t="s">
        <v>2223</v>
      </c>
      <c r="C361" t="s">
        <v>2225</v>
      </c>
      <c r="D361" s="14">
        <v>0.65</v>
      </c>
      <c r="E361" s="15">
        <v>63</v>
      </c>
    </row>
    <row r="362" spans="1:5">
      <c r="A362">
        <v>2012</v>
      </c>
      <c r="B362" t="s">
        <v>2213</v>
      </c>
      <c r="C362" t="s">
        <v>2225</v>
      </c>
      <c r="D362" s="14">
        <v>5.89</v>
      </c>
      <c r="E362" s="15">
        <v>66</v>
      </c>
    </row>
    <row r="363" spans="1:5">
      <c r="A363">
        <v>2012</v>
      </c>
      <c r="B363" t="s">
        <v>2215</v>
      </c>
      <c r="C363" t="s">
        <v>2225</v>
      </c>
      <c r="D363" s="14">
        <v>6.92</v>
      </c>
      <c r="E363" s="15">
        <v>66</v>
      </c>
    </row>
    <row r="364" spans="1:5">
      <c r="A364">
        <v>2012</v>
      </c>
      <c r="B364" t="s">
        <v>2216</v>
      </c>
      <c r="C364" t="s">
        <v>2225</v>
      </c>
      <c r="D364" s="14">
        <v>2.72</v>
      </c>
      <c r="E364" s="15">
        <v>66</v>
      </c>
    </row>
    <row r="365" spans="1:5">
      <c r="A365">
        <v>2012</v>
      </c>
      <c r="B365" t="s">
        <v>2217</v>
      </c>
      <c r="C365" t="s">
        <v>2225</v>
      </c>
      <c r="D365" s="14">
        <v>12.34</v>
      </c>
      <c r="E365" s="15">
        <v>66</v>
      </c>
    </row>
    <row r="366" spans="1:5">
      <c r="A366">
        <v>2012</v>
      </c>
      <c r="B366" t="s">
        <v>2218</v>
      </c>
      <c r="C366" t="s">
        <v>2225</v>
      </c>
      <c r="D366" s="14">
        <v>13.19</v>
      </c>
      <c r="E366" s="15">
        <v>66</v>
      </c>
    </row>
    <row r="367" spans="1:5">
      <c r="A367">
        <v>2012</v>
      </c>
      <c r="B367" t="s">
        <v>2219</v>
      </c>
      <c r="C367" t="s">
        <v>2225</v>
      </c>
      <c r="D367" s="14">
        <v>6.39</v>
      </c>
      <c r="E367" s="15">
        <v>66</v>
      </c>
    </row>
    <row r="368" spans="1:5">
      <c r="A368">
        <v>2012</v>
      </c>
      <c r="B368" t="s">
        <v>2220</v>
      </c>
      <c r="C368" t="s">
        <v>2225</v>
      </c>
      <c r="D368" s="14">
        <v>4.67</v>
      </c>
      <c r="E368" s="15">
        <v>66</v>
      </c>
    </row>
    <row r="369" spans="1:5">
      <c r="A369">
        <v>2012</v>
      </c>
      <c r="B369" t="s">
        <v>2221</v>
      </c>
      <c r="C369" t="s">
        <v>2225</v>
      </c>
      <c r="D369" s="14">
        <v>8.6300000000000008</v>
      </c>
      <c r="E369" s="15">
        <v>66</v>
      </c>
    </row>
    <row r="370" spans="1:5">
      <c r="A370">
        <v>2012</v>
      </c>
      <c r="B370" t="s">
        <v>2222</v>
      </c>
      <c r="C370" t="s">
        <v>2225</v>
      </c>
      <c r="D370" s="14">
        <v>4.58</v>
      </c>
      <c r="E370" s="15">
        <v>66</v>
      </c>
    </row>
    <row r="371" spans="1:5">
      <c r="A371">
        <v>2012</v>
      </c>
      <c r="B371" t="s">
        <v>2223</v>
      </c>
      <c r="C371" t="s">
        <v>2225</v>
      </c>
      <c r="D371" s="14">
        <v>0.65</v>
      </c>
      <c r="E371" s="15">
        <v>66</v>
      </c>
    </row>
    <row r="372" spans="1:5">
      <c r="A372">
        <v>2013</v>
      </c>
      <c r="B372" t="s">
        <v>2213</v>
      </c>
      <c r="C372" t="s">
        <v>2225</v>
      </c>
      <c r="D372" s="14">
        <v>6.44</v>
      </c>
      <c r="E372" s="15">
        <v>69</v>
      </c>
    </row>
    <row r="373" spans="1:5">
      <c r="A373">
        <v>2013</v>
      </c>
      <c r="B373" t="s">
        <v>2215</v>
      </c>
      <c r="C373" t="s">
        <v>2225</v>
      </c>
      <c r="D373" s="14">
        <v>7.53</v>
      </c>
      <c r="E373" s="15">
        <v>69</v>
      </c>
    </row>
    <row r="374" spans="1:5">
      <c r="A374">
        <v>2013</v>
      </c>
      <c r="B374" t="s">
        <v>2216</v>
      </c>
      <c r="C374" t="s">
        <v>2225</v>
      </c>
      <c r="D374" s="14">
        <v>2.88</v>
      </c>
      <c r="E374" s="15">
        <v>69</v>
      </c>
    </row>
    <row r="375" spans="1:5">
      <c r="A375">
        <v>2013</v>
      </c>
      <c r="B375" t="s">
        <v>2217</v>
      </c>
      <c r="C375" t="s">
        <v>2225</v>
      </c>
      <c r="D375" s="14">
        <v>13.1</v>
      </c>
      <c r="E375" s="15">
        <v>69</v>
      </c>
    </row>
    <row r="376" spans="1:5">
      <c r="A376">
        <v>2013</v>
      </c>
      <c r="B376" t="s">
        <v>2218</v>
      </c>
      <c r="C376" t="s">
        <v>2225</v>
      </c>
      <c r="D376" s="14">
        <v>14.06</v>
      </c>
      <c r="E376" s="15">
        <v>69</v>
      </c>
    </row>
    <row r="377" spans="1:5">
      <c r="A377">
        <v>2013</v>
      </c>
      <c r="B377" t="s">
        <v>2219</v>
      </c>
      <c r="C377" t="s">
        <v>2225</v>
      </c>
      <c r="D377" s="14">
        <v>6.76</v>
      </c>
      <c r="E377" s="15">
        <v>69</v>
      </c>
    </row>
    <row r="378" spans="1:5">
      <c r="A378">
        <v>2013</v>
      </c>
      <c r="B378" t="s">
        <v>2220</v>
      </c>
      <c r="C378" t="s">
        <v>2225</v>
      </c>
      <c r="D378" s="14">
        <v>5.04</v>
      </c>
      <c r="E378" s="15">
        <v>69</v>
      </c>
    </row>
    <row r="379" spans="1:5">
      <c r="A379">
        <v>2013</v>
      </c>
      <c r="B379" t="s">
        <v>2221</v>
      </c>
      <c r="C379" t="s">
        <v>2225</v>
      </c>
      <c r="D379" s="14">
        <v>9.2799999999999994</v>
      </c>
      <c r="E379" s="15">
        <v>69</v>
      </c>
    </row>
    <row r="380" spans="1:5">
      <c r="A380">
        <v>2013</v>
      </c>
      <c r="B380" t="s">
        <v>2222</v>
      </c>
      <c r="C380" t="s">
        <v>2225</v>
      </c>
      <c r="D380" s="14">
        <v>5.36</v>
      </c>
      <c r="E380" s="15">
        <v>69</v>
      </c>
    </row>
    <row r="381" spans="1:5">
      <c r="A381">
        <v>2013</v>
      </c>
      <c r="B381" t="s">
        <v>2223</v>
      </c>
      <c r="C381" t="s">
        <v>2225</v>
      </c>
      <c r="D381" s="14">
        <v>0.7</v>
      </c>
      <c r="E381" s="15">
        <v>69</v>
      </c>
    </row>
    <row r="382" spans="1:5">
      <c r="A382">
        <v>2014</v>
      </c>
      <c r="B382" t="s">
        <v>2213</v>
      </c>
      <c r="C382" t="s">
        <v>2225</v>
      </c>
      <c r="D382" s="14">
        <v>6.66</v>
      </c>
      <c r="E382" s="15">
        <v>72</v>
      </c>
    </row>
    <row r="383" spans="1:5">
      <c r="A383">
        <v>2014</v>
      </c>
      <c r="B383" t="s">
        <v>2215</v>
      </c>
      <c r="C383" t="s">
        <v>2225</v>
      </c>
      <c r="D383" s="14">
        <v>7.87</v>
      </c>
      <c r="E383" s="15">
        <v>72</v>
      </c>
    </row>
    <row r="384" spans="1:5">
      <c r="A384">
        <v>2014</v>
      </c>
      <c r="B384" t="s">
        <v>2216</v>
      </c>
      <c r="C384" t="s">
        <v>2225</v>
      </c>
      <c r="D384" s="14">
        <v>2.87</v>
      </c>
      <c r="E384" s="15">
        <v>72</v>
      </c>
    </row>
    <row r="385" spans="1:5">
      <c r="A385">
        <v>2014</v>
      </c>
      <c r="B385" t="s">
        <v>2217</v>
      </c>
      <c r="C385" t="s">
        <v>2225</v>
      </c>
      <c r="D385" s="14">
        <v>12.83</v>
      </c>
      <c r="E385" s="15">
        <v>72</v>
      </c>
    </row>
    <row r="386" spans="1:5">
      <c r="A386">
        <v>2014</v>
      </c>
      <c r="B386" t="s">
        <v>2218</v>
      </c>
      <c r="C386" t="s">
        <v>2225</v>
      </c>
      <c r="D386" s="14">
        <v>14.57</v>
      </c>
      <c r="E386" s="15">
        <v>72</v>
      </c>
    </row>
    <row r="387" spans="1:5">
      <c r="A387">
        <v>2014</v>
      </c>
      <c r="B387" t="s">
        <v>2219</v>
      </c>
      <c r="C387" t="s">
        <v>2225</v>
      </c>
      <c r="D387" s="14">
        <v>7.35</v>
      </c>
      <c r="E387" s="15">
        <v>72</v>
      </c>
    </row>
    <row r="388" spans="1:5">
      <c r="A388">
        <v>2014</v>
      </c>
      <c r="B388" t="s">
        <v>2220</v>
      </c>
      <c r="C388" t="s">
        <v>2225</v>
      </c>
      <c r="D388" s="14">
        <v>5.28</v>
      </c>
      <c r="E388" s="15">
        <v>72</v>
      </c>
    </row>
    <row r="389" spans="1:5">
      <c r="A389">
        <v>2014</v>
      </c>
      <c r="B389" t="s">
        <v>2221</v>
      </c>
      <c r="C389" t="s">
        <v>2225</v>
      </c>
      <c r="D389" s="14">
        <v>9.6199999999999992</v>
      </c>
      <c r="E389" s="15">
        <v>72</v>
      </c>
    </row>
    <row r="390" spans="1:5">
      <c r="A390">
        <v>2014</v>
      </c>
      <c r="B390" t="s">
        <v>2222</v>
      </c>
      <c r="C390" t="s">
        <v>2225</v>
      </c>
      <c r="D390" s="14">
        <v>4.95</v>
      </c>
      <c r="E390" s="15">
        <v>72</v>
      </c>
    </row>
    <row r="391" spans="1:5">
      <c r="A391">
        <v>2014</v>
      </c>
      <c r="B391" t="s">
        <v>2223</v>
      </c>
      <c r="C391" t="s">
        <v>2225</v>
      </c>
      <c r="D391" s="14">
        <v>0.71</v>
      </c>
      <c r="E391" s="15">
        <v>72</v>
      </c>
    </row>
    <row r="392" spans="1:5">
      <c r="A392">
        <v>2015</v>
      </c>
      <c r="B392" t="s">
        <v>2213</v>
      </c>
      <c r="C392" t="s">
        <v>2225</v>
      </c>
      <c r="D392" s="14">
        <v>6.4</v>
      </c>
      <c r="E392" s="15">
        <v>75</v>
      </c>
    </row>
    <row r="393" spans="1:5">
      <c r="A393">
        <v>2015</v>
      </c>
      <c r="B393" t="s">
        <v>2215</v>
      </c>
      <c r="C393" t="s">
        <v>2225</v>
      </c>
      <c r="D393" s="14">
        <v>8.66</v>
      </c>
      <c r="E393" s="15">
        <v>75</v>
      </c>
    </row>
    <row r="394" spans="1:5">
      <c r="A394">
        <v>2015</v>
      </c>
      <c r="B394" t="s">
        <v>2216</v>
      </c>
      <c r="C394" t="s">
        <v>2225</v>
      </c>
      <c r="D394" s="14">
        <v>2.94</v>
      </c>
      <c r="E394" s="15">
        <v>75</v>
      </c>
    </row>
    <row r="395" spans="1:5">
      <c r="A395">
        <v>2015</v>
      </c>
      <c r="B395" t="s">
        <v>2217</v>
      </c>
      <c r="C395" t="s">
        <v>2225</v>
      </c>
      <c r="D395" s="14">
        <v>14.03</v>
      </c>
      <c r="E395" s="15">
        <v>75</v>
      </c>
    </row>
    <row r="396" spans="1:5">
      <c r="A396">
        <v>2015</v>
      </c>
      <c r="B396" t="s">
        <v>2218</v>
      </c>
      <c r="C396" t="s">
        <v>2225</v>
      </c>
      <c r="D396" s="14">
        <v>15.17</v>
      </c>
      <c r="E396" s="15">
        <v>75</v>
      </c>
    </row>
    <row r="397" spans="1:5">
      <c r="A397">
        <v>2015</v>
      </c>
      <c r="B397" t="s">
        <v>2219</v>
      </c>
      <c r="C397" t="s">
        <v>2225</v>
      </c>
      <c r="D397" s="14">
        <v>7.59</v>
      </c>
      <c r="E397" s="15">
        <v>75</v>
      </c>
    </row>
    <row r="398" spans="1:5">
      <c r="A398">
        <v>2015</v>
      </c>
      <c r="B398" t="s">
        <v>2220</v>
      </c>
      <c r="C398" t="s">
        <v>2225</v>
      </c>
      <c r="D398" s="14">
        <v>5.23</v>
      </c>
      <c r="E398" s="15">
        <v>75</v>
      </c>
    </row>
    <row r="399" spans="1:5">
      <c r="A399">
        <v>2015</v>
      </c>
      <c r="B399" t="s">
        <v>2221</v>
      </c>
      <c r="C399" t="s">
        <v>2225</v>
      </c>
      <c r="D399" s="14">
        <v>9.59</v>
      </c>
      <c r="E399" s="15">
        <v>75</v>
      </c>
    </row>
    <row r="400" spans="1:5">
      <c r="A400">
        <v>2015</v>
      </c>
      <c r="B400" t="s">
        <v>2222</v>
      </c>
      <c r="C400" t="s">
        <v>2225</v>
      </c>
      <c r="D400" s="14">
        <v>5.05</v>
      </c>
      <c r="E400" s="15">
        <v>75</v>
      </c>
    </row>
    <row r="401" spans="1:5">
      <c r="A401">
        <v>2015</v>
      </c>
      <c r="B401" t="s">
        <v>2223</v>
      </c>
      <c r="C401" t="s">
        <v>2225</v>
      </c>
      <c r="D401" s="14">
        <v>0.8</v>
      </c>
      <c r="E401" s="15">
        <v>75</v>
      </c>
    </row>
    <row r="402" spans="1:5">
      <c r="A402">
        <v>2016</v>
      </c>
      <c r="B402" t="s">
        <v>2213</v>
      </c>
      <c r="C402" t="s">
        <v>2225</v>
      </c>
      <c r="D402" s="14">
        <v>6.89</v>
      </c>
      <c r="E402" s="15">
        <v>76.2</v>
      </c>
    </row>
    <row r="403" spans="1:5">
      <c r="A403">
        <v>2016</v>
      </c>
      <c r="B403" t="s">
        <v>2215</v>
      </c>
      <c r="C403" t="s">
        <v>2225</v>
      </c>
      <c r="D403" s="14">
        <v>8.61</v>
      </c>
      <c r="E403" s="15">
        <v>76.2</v>
      </c>
    </row>
    <row r="404" spans="1:5">
      <c r="A404">
        <v>2016</v>
      </c>
      <c r="B404" t="s">
        <v>2216</v>
      </c>
      <c r="C404" t="s">
        <v>2225</v>
      </c>
      <c r="D404" s="14">
        <v>3.22</v>
      </c>
      <c r="E404" s="15">
        <v>76.2</v>
      </c>
    </row>
    <row r="405" spans="1:5">
      <c r="A405">
        <v>2016</v>
      </c>
      <c r="B405" t="s">
        <v>2217</v>
      </c>
      <c r="C405" t="s">
        <v>2225</v>
      </c>
      <c r="D405" s="14">
        <v>13.5</v>
      </c>
      <c r="E405" s="15">
        <v>76.2</v>
      </c>
    </row>
    <row r="406" spans="1:5">
      <c r="A406">
        <v>2016</v>
      </c>
      <c r="B406" t="s">
        <v>2218</v>
      </c>
      <c r="C406" t="s">
        <v>2225</v>
      </c>
      <c r="D406" s="14">
        <v>15.51</v>
      </c>
      <c r="E406" s="15">
        <v>76.2</v>
      </c>
    </row>
    <row r="407" spans="1:5">
      <c r="A407">
        <v>2016</v>
      </c>
      <c r="B407" t="s">
        <v>2219</v>
      </c>
      <c r="C407" t="s">
        <v>2225</v>
      </c>
      <c r="D407" s="14">
        <v>7.64</v>
      </c>
      <c r="E407" s="15">
        <v>76.2</v>
      </c>
    </row>
    <row r="408" spans="1:5">
      <c r="A408">
        <v>2016</v>
      </c>
      <c r="B408" t="s">
        <v>2220</v>
      </c>
      <c r="C408" t="s">
        <v>2225</v>
      </c>
      <c r="D408" s="14">
        <v>5.0999999999999996</v>
      </c>
      <c r="E408" s="15">
        <v>76.2</v>
      </c>
    </row>
    <row r="409" spans="1:5">
      <c r="A409">
        <v>2016</v>
      </c>
      <c r="B409" t="s">
        <v>2221</v>
      </c>
      <c r="C409" t="s">
        <v>2225</v>
      </c>
      <c r="D409" s="14">
        <v>9.99</v>
      </c>
      <c r="E409" s="15">
        <v>76.2</v>
      </c>
    </row>
    <row r="410" spans="1:5">
      <c r="A410">
        <v>2016</v>
      </c>
      <c r="B410" t="s">
        <v>2222</v>
      </c>
      <c r="C410" t="s">
        <v>2225</v>
      </c>
      <c r="D410" s="14">
        <v>5.46</v>
      </c>
      <c r="E410" s="15">
        <v>76.2</v>
      </c>
    </row>
    <row r="411" spans="1:5">
      <c r="A411">
        <v>2016</v>
      </c>
      <c r="B411" t="s">
        <v>2223</v>
      </c>
      <c r="C411" t="s">
        <v>2225</v>
      </c>
      <c r="D411" s="14">
        <v>0.75</v>
      </c>
      <c r="E411" s="15">
        <v>76.2</v>
      </c>
    </row>
    <row r="412" spans="1:5">
      <c r="A412">
        <v>2017</v>
      </c>
      <c r="B412" t="s">
        <v>2213</v>
      </c>
      <c r="C412" t="s">
        <v>2225</v>
      </c>
      <c r="D412" s="14">
        <v>6.88</v>
      </c>
      <c r="E412" s="15">
        <v>77.5</v>
      </c>
    </row>
    <row r="413" spans="1:5">
      <c r="A413">
        <v>2017</v>
      </c>
      <c r="B413" t="s">
        <v>2215</v>
      </c>
      <c r="C413" t="s">
        <v>2225</v>
      </c>
      <c r="D413" s="14">
        <v>8.31</v>
      </c>
      <c r="E413" s="15">
        <v>77.5</v>
      </c>
    </row>
    <row r="414" spans="1:5">
      <c r="A414">
        <v>2017</v>
      </c>
      <c r="B414" t="s">
        <v>2216</v>
      </c>
      <c r="C414" t="s">
        <v>2225</v>
      </c>
      <c r="D414" s="14">
        <v>3.37</v>
      </c>
      <c r="E414" s="15">
        <v>77.5</v>
      </c>
    </row>
    <row r="415" spans="1:5">
      <c r="A415">
        <v>2017</v>
      </c>
      <c r="B415" t="s">
        <v>2217</v>
      </c>
      <c r="C415" t="s">
        <v>2225</v>
      </c>
      <c r="D415" s="14">
        <v>12.96</v>
      </c>
      <c r="E415" s="15">
        <v>77.5</v>
      </c>
    </row>
    <row r="416" spans="1:5">
      <c r="A416">
        <v>2017</v>
      </c>
      <c r="B416" t="s">
        <v>2218</v>
      </c>
      <c r="C416" t="s">
        <v>2225</v>
      </c>
      <c r="D416" s="14">
        <v>15.81</v>
      </c>
      <c r="E416" s="15">
        <v>77.5</v>
      </c>
    </row>
    <row r="417" spans="1:5">
      <c r="A417">
        <v>2017</v>
      </c>
      <c r="B417" t="s">
        <v>2219</v>
      </c>
      <c r="C417" t="s">
        <v>2225</v>
      </c>
      <c r="D417" s="14">
        <v>7.67</v>
      </c>
      <c r="E417" s="15">
        <v>77.5</v>
      </c>
    </row>
    <row r="418" spans="1:5">
      <c r="A418">
        <v>2017</v>
      </c>
      <c r="B418" t="s">
        <v>2220</v>
      </c>
      <c r="C418" t="s">
        <v>2225</v>
      </c>
      <c r="D418" s="14">
        <v>5.29</v>
      </c>
      <c r="E418" s="15">
        <v>77.5</v>
      </c>
    </row>
    <row r="419" spans="1:5">
      <c r="A419">
        <v>2017</v>
      </c>
      <c r="B419" t="s">
        <v>2221</v>
      </c>
      <c r="C419" t="s">
        <v>2225</v>
      </c>
      <c r="D419" s="14">
        <v>10.119999999999999</v>
      </c>
      <c r="E419" s="15">
        <v>77.5</v>
      </c>
    </row>
    <row r="420" spans="1:5">
      <c r="A420">
        <v>2017</v>
      </c>
      <c r="B420" t="s">
        <v>2222</v>
      </c>
      <c r="C420" t="s">
        <v>2225</v>
      </c>
      <c r="D420" s="14">
        <v>5.57</v>
      </c>
      <c r="E420" s="15">
        <v>77.5</v>
      </c>
    </row>
    <row r="421" spans="1:5">
      <c r="A421">
        <v>2017</v>
      </c>
      <c r="B421" t="s">
        <v>2223</v>
      </c>
      <c r="C421" t="s">
        <v>2225</v>
      </c>
      <c r="D421" s="14">
        <v>0.8</v>
      </c>
      <c r="E421" s="15">
        <v>77.5</v>
      </c>
    </row>
    <row r="422" spans="1:5">
      <c r="A422">
        <v>2018</v>
      </c>
      <c r="B422" t="s">
        <v>2213</v>
      </c>
      <c r="C422" t="s">
        <v>2225</v>
      </c>
      <c r="D422" s="14">
        <v>7.14</v>
      </c>
      <c r="E422" s="15">
        <v>78.8</v>
      </c>
    </row>
    <row r="423" spans="1:5">
      <c r="A423">
        <v>2018</v>
      </c>
      <c r="B423" t="s">
        <v>2215</v>
      </c>
      <c r="C423" t="s">
        <v>2225</v>
      </c>
      <c r="D423" s="14">
        <v>8.8800000000000008</v>
      </c>
      <c r="E423" s="15">
        <v>78.8</v>
      </c>
    </row>
    <row r="424" spans="1:5">
      <c r="A424">
        <v>2018</v>
      </c>
      <c r="B424" t="s">
        <v>2216</v>
      </c>
      <c r="C424" t="s">
        <v>2225</v>
      </c>
      <c r="D424" s="14">
        <v>3.31</v>
      </c>
      <c r="E424" s="15">
        <v>78.8</v>
      </c>
    </row>
    <row r="425" spans="1:5">
      <c r="A425">
        <v>2018</v>
      </c>
      <c r="B425" t="s">
        <v>2217</v>
      </c>
      <c r="C425" t="s">
        <v>2225</v>
      </c>
      <c r="D425" s="14">
        <v>14.65</v>
      </c>
      <c r="E425" s="15">
        <v>78.8</v>
      </c>
    </row>
    <row r="426" spans="1:5">
      <c r="A426">
        <v>2018</v>
      </c>
      <c r="B426" t="s">
        <v>2218</v>
      </c>
      <c r="C426" t="s">
        <v>2225</v>
      </c>
      <c r="D426" s="14">
        <v>15.41</v>
      </c>
      <c r="E426" s="15">
        <v>78.8</v>
      </c>
    </row>
    <row r="427" spans="1:5">
      <c r="A427">
        <v>2018</v>
      </c>
      <c r="B427" t="s">
        <v>2219</v>
      </c>
      <c r="C427" t="s">
        <v>2225</v>
      </c>
      <c r="D427" s="14">
        <v>8.0299999999999994</v>
      </c>
      <c r="E427" s="15">
        <v>78.8</v>
      </c>
    </row>
    <row r="428" spans="1:5">
      <c r="A428">
        <v>2018</v>
      </c>
      <c r="B428" t="s">
        <v>2220</v>
      </c>
      <c r="C428" t="s">
        <v>2225</v>
      </c>
      <c r="D428" s="14">
        <v>5.62</v>
      </c>
      <c r="E428" s="15">
        <v>78.8</v>
      </c>
    </row>
    <row r="429" spans="1:5">
      <c r="A429">
        <v>2018</v>
      </c>
      <c r="B429" t="s">
        <v>2221</v>
      </c>
      <c r="C429" t="s">
        <v>2225</v>
      </c>
      <c r="D429" s="14">
        <v>10.06</v>
      </c>
      <c r="E429" s="15">
        <v>78.8</v>
      </c>
    </row>
    <row r="430" spans="1:5">
      <c r="A430">
        <v>2018</v>
      </c>
      <c r="B430" t="s">
        <v>2222</v>
      </c>
      <c r="C430" t="s">
        <v>2225</v>
      </c>
      <c r="D430" s="14">
        <v>5.18</v>
      </c>
      <c r="E430" s="15">
        <v>78.8</v>
      </c>
    </row>
    <row r="431" spans="1:5">
      <c r="A431">
        <v>2018</v>
      </c>
      <c r="B431" t="s">
        <v>2223</v>
      </c>
      <c r="C431" t="s">
        <v>2225</v>
      </c>
      <c r="D431" s="14">
        <v>0.73</v>
      </c>
      <c r="E431" s="15">
        <v>78.8</v>
      </c>
    </row>
    <row r="432" spans="1:5">
      <c r="A432">
        <v>2019</v>
      </c>
      <c r="B432" t="s">
        <v>2213</v>
      </c>
      <c r="C432" t="s">
        <v>2225</v>
      </c>
      <c r="D432" s="14">
        <v>7.22</v>
      </c>
      <c r="E432" s="15">
        <v>80</v>
      </c>
    </row>
    <row r="433" spans="1:5">
      <c r="A433">
        <v>2019</v>
      </c>
      <c r="B433" t="s">
        <v>2215</v>
      </c>
      <c r="C433" t="s">
        <v>2225</v>
      </c>
      <c r="D433" s="14">
        <v>8.74</v>
      </c>
      <c r="E433" s="15">
        <v>80</v>
      </c>
    </row>
    <row r="434" spans="1:5">
      <c r="A434">
        <v>2019</v>
      </c>
      <c r="B434" t="s">
        <v>2216</v>
      </c>
      <c r="C434" t="s">
        <v>2225</v>
      </c>
      <c r="D434" s="14">
        <v>3.05</v>
      </c>
      <c r="E434" s="15">
        <v>80</v>
      </c>
    </row>
    <row r="435" spans="1:5">
      <c r="A435">
        <v>2019</v>
      </c>
      <c r="B435" t="s">
        <v>2217</v>
      </c>
      <c r="C435" t="s">
        <v>2225</v>
      </c>
      <c r="D435" s="14">
        <v>15.02</v>
      </c>
      <c r="E435" s="15">
        <v>80</v>
      </c>
    </row>
    <row r="436" spans="1:5">
      <c r="A436">
        <v>2019</v>
      </c>
      <c r="B436" t="s">
        <v>2218</v>
      </c>
      <c r="C436" t="s">
        <v>2225</v>
      </c>
      <c r="D436" s="14">
        <v>16.100000000000001</v>
      </c>
      <c r="E436" s="15">
        <v>80</v>
      </c>
    </row>
    <row r="437" spans="1:5">
      <c r="A437">
        <v>2019</v>
      </c>
      <c r="B437" t="s">
        <v>2219</v>
      </c>
      <c r="C437" t="s">
        <v>2225</v>
      </c>
      <c r="D437" s="14">
        <v>8.44</v>
      </c>
      <c r="E437" s="15">
        <v>80</v>
      </c>
    </row>
    <row r="438" spans="1:5">
      <c r="A438">
        <v>2019</v>
      </c>
      <c r="B438" t="s">
        <v>2220</v>
      </c>
      <c r="C438" t="s">
        <v>2225</v>
      </c>
      <c r="D438" s="14">
        <v>5.68</v>
      </c>
      <c r="E438" s="15">
        <v>80</v>
      </c>
    </row>
    <row r="439" spans="1:5">
      <c r="A439">
        <v>2019</v>
      </c>
      <c r="B439" t="s">
        <v>2221</v>
      </c>
      <c r="C439" t="s">
        <v>2225</v>
      </c>
      <c r="D439" s="14">
        <v>10.119999999999999</v>
      </c>
      <c r="E439" s="15">
        <v>80</v>
      </c>
    </row>
    <row r="440" spans="1:5">
      <c r="A440">
        <v>2019</v>
      </c>
      <c r="B440" t="s">
        <v>2222</v>
      </c>
      <c r="C440" t="s">
        <v>2225</v>
      </c>
      <c r="D440" s="14">
        <v>5.7</v>
      </c>
      <c r="E440" s="15">
        <v>80</v>
      </c>
    </row>
    <row r="441" spans="1:5">
      <c r="A441">
        <v>2019</v>
      </c>
      <c r="B441" t="s">
        <v>2223</v>
      </c>
      <c r="C441" t="s">
        <v>2225</v>
      </c>
      <c r="D441" s="14">
        <v>0.82</v>
      </c>
      <c r="E441" s="15">
        <v>80</v>
      </c>
    </row>
    <row r="442" spans="1:5">
      <c r="A442">
        <v>2020</v>
      </c>
      <c r="B442" t="s">
        <v>2213</v>
      </c>
      <c r="C442" t="s">
        <v>2225</v>
      </c>
      <c r="D442" s="14">
        <v>6.87</v>
      </c>
      <c r="E442" s="15">
        <v>78</v>
      </c>
    </row>
    <row r="443" spans="1:5">
      <c r="A443">
        <v>2020</v>
      </c>
      <c r="B443" t="s">
        <v>2215</v>
      </c>
      <c r="C443" t="s">
        <v>2225</v>
      </c>
      <c r="D443" s="14">
        <v>7.95</v>
      </c>
      <c r="E443" s="15">
        <v>78</v>
      </c>
    </row>
    <row r="444" spans="1:5">
      <c r="A444">
        <v>2020</v>
      </c>
      <c r="B444" t="s">
        <v>2216</v>
      </c>
      <c r="C444" t="s">
        <v>2225</v>
      </c>
      <c r="D444" s="14">
        <v>3.13</v>
      </c>
      <c r="E444" s="15">
        <v>78</v>
      </c>
    </row>
    <row r="445" spans="1:5">
      <c r="A445">
        <v>2020</v>
      </c>
      <c r="B445" t="s">
        <v>2217</v>
      </c>
      <c r="C445" t="s">
        <v>2225</v>
      </c>
      <c r="D445" s="14">
        <v>13.49</v>
      </c>
      <c r="E445" s="15">
        <v>78</v>
      </c>
    </row>
    <row r="446" spans="1:5">
      <c r="A446">
        <v>2020</v>
      </c>
      <c r="B446" t="s">
        <v>2218</v>
      </c>
      <c r="C446" t="s">
        <v>2225</v>
      </c>
      <c r="D446" s="14">
        <v>16.32</v>
      </c>
      <c r="E446" s="15">
        <v>78</v>
      </c>
    </row>
    <row r="447" spans="1:5">
      <c r="A447">
        <v>2020</v>
      </c>
      <c r="B447" t="s">
        <v>2219</v>
      </c>
      <c r="C447" t="s">
        <v>2225</v>
      </c>
      <c r="D447" s="14">
        <v>7.67</v>
      </c>
      <c r="E447" s="15">
        <v>78</v>
      </c>
    </row>
    <row r="448" spans="1:5">
      <c r="A448">
        <v>2020</v>
      </c>
      <c r="B448" t="s">
        <v>2220</v>
      </c>
      <c r="C448" t="s">
        <v>2225</v>
      </c>
      <c r="D448" s="14">
        <v>5.85</v>
      </c>
      <c r="E448" s="15">
        <v>78</v>
      </c>
    </row>
    <row r="449" spans="1:5">
      <c r="A449">
        <v>2020</v>
      </c>
      <c r="B449" t="s">
        <v>2221</v>
      </c>
      <c r="C449" t="s">
        <v>2225</v>
      </c>
      <c r="D449" s="14">
        <v>9.4600000000000009</v>
      </c>
      <c r="E449" s="15">
        <v>78</v>
      </c>
    </row>
    <row r="450" spans="1:5">
      <c r="A450">
        <v>2020</v>
      </c>
      <c r="B450" t="s">
        <v>2222</v>
      </c>
      <c r="C450" t="s">
        <v>2225</v>
      </c>
      <c r="D450" s="14">
        <v>5.49</v>
      </c>
      <c r="E450" s="15">
        <v>78</v>
      </c>
    </row>
    <row r="451" spans="1:5">
      <c r="A451">
        <v>2020</v>
      </c>
      <c r="B451" t="s">
        <v>2223</v>
      </c>
      <c r="C451" t="s">
        <v>2225</v>
      </c>
      <c r="D451" s="14">
        <v>0.83</v>
      </c>
      <c r="E451" s="15">
        <v>78</v>
      </c>
    </row>
    <row r="452" spans="1:5">
      <c r="A452">
        <v>2021</v>
      </c>
      <c r="B452" t="s">
        <v>2213</v>
      </c>
      <c r="C452" t="s">
        <v>2225</v>
      </c>
      <c r="D452" s="14">
        <v>6.6</v>
      </c>
      <c r="E452" s="15">
        <v>76</v>
      </c>
    </row>
    <row r="453" spans="1:5">
      <c r="A453">
        <v>2021</v>
      </c>
      <c r="B453" t="s">
        <v>2215</v>
      </c>
      <c r="C453" t="s">
        <v>2225</v>
      </c>
      <c r="D453" s="14">
        <v>8.16</v>
      </c>
      <c r="E453" s="15">
        <v>76</v>
      </c>
    </row>
    <row r="454" spans="1:5">
      <c r="A454">
        <v>2021</v>
      </c>
      <c r="B454" t="s">
        <v>2216</v>
      </c>
      <c r="C454" t="s">
        <v>2225</v>
      </c>
      <c r="D454" s="14">
        <v>2.99</v>
      </c>
      <c r="E454" s="15">
        <v>76</v>
      </c>
    </row>
    <row r="455" spans="1:5">
      <c r="A455">
        <v>2021</v>
      </c>
      <c r="B455" t="s">
        <v>2217</v>
      </c>
      <c r="C455" t="s">
        <v>2225</v>
      </c>
      <c r="D455" s="14">
        <v>13.31</v>
      </c>
      <c r="E455" s="15">
        <v>76</v>
      </c>
    </row>
    <row r="456" spans="1:5">
      <c r="A456">
        <v>2021</v>
      </c>
      <c r="B456" t="s">
        <v>2218</v>
      </c>
      <c r="C456" t="s">
        <v>2225</v>
      </c>
      <c r="D456" s="14">
        <v>15.35</v>
      </c>
      <c r="E456" s="15">
        <v>76</v>
      </c>
    </row>
    <row r="457" spans="1:5">
      <c r="A457">
        <v>2021</v>
      </c>
      <c r="B457" t="s">
        <v>2219</v>
      </c>
      <c r="C457" t="s">
        <v>2225</v>
      </c>
      <c r="D457" s="14">
        <v>7.22</v>
      </c>
      <c r="E457" s="15">
        <v>76</v>
      </c>
    </row>
    <row r="458" spans="1:5">
      <c r="A458">
        <v>2021</v>
      </c>
      <c r="B458" t="s">
        <v>2220</v>
      </c>
      <c r="C458" t="s">
        <v>2225</v>
      </c>
      <c r="D458" s="14">
        <v>5.3</v>
      </c>
      <c r="E458" s="15">
        <v>76</v>
      </c>
    </row>
    <row r="459" spans="1:5">
      <c r="A459">
        <v>2021</v>
      </c>
      <c r="B459" t="s">
        <v>2221</v>
      </c>
      <c r="C459" t="s">
        <v>2225</v>
      </c>
      <c r="D459" s="14">
        <v>10.24</v>
      </c>
      <c r="E459" s="15">
        <v>76</v>
      </c>
    </row>
    <row r="460" spans="1:5">
      <c r="A460">
        <v>2021</v>
      </c>
      <c r="B460" t="s">
        <v>2222</v>
      </c>
      <c r="C460" t="s">
        <v>2225</v>
      </c>
      <c r="D460" s="14">
        <v>5.27</v>
      </c>
      <c r="E460" s="15">
        <v>76</v>
      </c>
    </row>
    <row r="461" spans="1:5">
      <c r="A461">
        <v>2021</v>
      </c>
      <c r="B461" t="s">
        <v>2223</v>
      </c>
      <c r="C461" t="s">
        <v>2225</v>
      </c>
      <c r="D461" s="14">
        <v>0.73</v>
      </c>
      <c r="E461" s="15">
        <v>76</v>
      </c>
    </row>
    <row r="462" spans="1:5">
      <c r="A462">
        <v>2022</v>
      </c>
      <c r="B462" t="s">
        <v>2213</v>
      </c>
      <c r="C462" t="s">
        <v>2225</v>
      </c>
      <c r="D462" s="14">
        <v>7.41</v>
      </c>
      <c r="E462" s="15">
        <v>79</v>
      </c>
    </row>
    <row r="463" spans="1:5">
      <c r="A463">
        <v>2022</v>
      </c>
      <c r="B463" t="s">
        <v>2215</v>
      </c>
      <c r="C463" t="s">
        <v>2225</v>
      </c>
      <c r="D463" s="14">
        <v>8.7799999999999994</v>
      </c>
      <c r="E463" s="15">
        <v>79</v>
      </c>
    </row>
    <row r="464" spans="1:5">
      <c r="A464">
        <v>2022</v>
      </c>
      <c r="B464" t="s">
        <v>2216</v>
      </c>
      <c r="C464" t="s">
        <v>2225</v>
      </c>
      <c r="D464" s="14">
        <v>3.03</v>
      </c>
      <c r="E464" s="15">
        <v>79</v>
      </c>
    </row>
    <row r="465" spans="1:5">
      <c r="A465">
        <v>2022</v>
      </c>
      <c r="B465" t="s">
        <v>2217</v>
      </c>
      <c r="C465" t="s">
        <v>2225</v>
      </c>
      <c r="D465" s="14">
        <v>13.5</v>
      </c>
      <c r="E465" s="15">
        <v>79</v>
      </c>
    </row>
    <row r="466" spans="1:5">
      <c r="A466">
        <v>2022</v>
      </c>
      <c r="B466" t="s">
        <v>2218</v>
      </c>
      <c r="C466" t="s">
        <v>2225</v>
      </c>
      <c r="D466" s="14">
        <v>15.21</v>
      </c>
      <c r="E466" s="15">
        <v>79</v>
      </c>
    </row>
    <row r="467" spans="1:5">
      <c r="A467">
        <v>2022</v>
      </c>
      <c r="B467" t="s">
        <v>2219</v>
      </c>
      <c r="C467" t="s">
        <v>2225</v>
      </c>
      <c r="D467" s="14">
        <v>8.07</v>
      </c>
      <c r="E467" s="15">
        <v>79</v>
      </c>
    </row>
    <row r="468" spans="1:5">
      <c r="A468">
        <v>2022</v>
      </c>
      <c r="B468" t="s">
        <v>2220</v>
      </c>
      <c r="C468" t="s">
        <v>2225</v>
      </c>
      <c r="D468" s="14">
        <v>5.59</v>
      </c>
      <c r="E468" s="15">
        <v>79</v>
      </c>
    </row>
    <row r="469" spans="1:5">
      <c r="A469">
        <v>2022</v>
      </c>
      <c r="B469" t="s">
        <v>2221</v>
      </c>
      <c r="C469" t="s">
        <v>2225</v>
      </c>
      <c r="D469" s="14">
        <v>10.76</v>
      </c>
      <c r="E469" s="15">
        <v>79</v>
      </c>
    </row>
    <row r="470" spans="1:5">
      <c r="A470">
        <v>2022</v>
      </c>
      <c r="B470" t="s">
        <v>2222</v>
      </c>
      <c r="C470" t="s">
        <v>2225</v>
      </c>
      <c r="D470" s="14">
        <v>5.46</v>
      </c>
      <c r="E470" s="15">
        <v>79</v>
      </c>
    </row>
    <row r="471" spans="1:5">
      <c r="A471">
        <v>2022</v>
      </c>
      <c r="B471" t="s">
        <v>2223</v>
      </c>
      <c r="C471" t="s">
        <v>2225</v>
      </c>
      <c r="D471" s="14">
        <v>0.76</v>
      </c>
      <c r="E471" s="15">
        <v>79</v>
      </c>
    </row>
    <row r="472" spans="1:5">
      <c r="A472">
        <v>2023</v>
      </c>
      <c r="B472" t="s">
        <v>2213</v>
      </c>
      <c r="C472" t="s">
        <v>2225</v>
      </c>
      <c r="D472" s="14">
        <v>7.66</v>
      </c>
      <c r="E472" s="15">
        <v>82</v>
      </c>
    </row>
    <row r="473" spans="1:5">
      <c r="A473">
        <v>2023</v>
      </c>
      <c r="B473" t="s">
        <v>2215</v>
      </c>
      <c r="C473" t="s">
        <v>2225</v>
      </c>
      <c r="D473" s="14">
        <v>8.66</v>
      </c>
      <c r="E473" s="15">
        <v>82</v>
      </c>
    </row>
    <row r="474" spans="1:5">
      <c r="A474">
        <v>2023</v>
      </c>
      <c r="B474" t="s">
        <v>2216</v>
      </c>
      <c r="C474" t="s">
        <v>2225</v>
      </c>
      <c r="D474" s="14">
        <v>3.3</v>
      </c>
      <c r="E474" s="15">
        <v>82</v>
      </c>
    </row>
    <row r="475" spans="1:5">
      <c r="A475">
        <v>2023</v>
      </c>
      <c r="B475" t="s">
        <v>2217</v>
      </c>
      <c r="C475" t="s">
        <v>2225</v>
      </c>
      <c r="D475" s="14">
        <v>13.87</v>
      </c>
      <c r="E475" s="15">
        <v>82</v>
      </c>
    </row>
    <row r="476" spans="1:5">
      <c r="A476">
        <v>2023</v>
      </c>
      <c r="B476" t="s">
        <v>2218</v>
      </c>
      <c r="C476" t="s">
        <v>2225</v>
      </c>
      <c r="D476" s="14">
        <v>16.03</v>
      </c>
      <c r="E476" s="15">
        <v>82</v>
      </c>
    </row>
    <row r="477" spans="1:5">
      <c r="A477">
        <v>2023</v>
      </c>
      <c r="B477" t="s">
        <v>2219</v>
      </c>
      <c r="C477" t="s">
        <v>2225</v>
      </c>
      <c r="D477" s="14">
        <v>8.5399999999999991</v>
      </c>
      <c r="E477" s="15">
        <v>82</v>
      </c>
    </row>
    <row r="478" spans="1:5">
      <c r="A478">
        <v>2023</v>
      </c>
      <c r="B478" t="s">
        <v>2220</v>
      </c>
      <c r="C478" t="s">
        <v>2225</v>
      </c>
      <c r="D478" s="14">
        <v>5.58</v>
      </c>
      <c r="E478" s="15">
        <v>82</v>
      </c>
    </row>
    <row r="479" spans="1:5">
      <c r="A479">
        <v>2023</v>
      </c>
      <c r="B479" t="s">
        <v>2221</v>
      </c>
      <c r="C479" t="s">
        <v>2225</v>
      </c>
      <c r="D479" s="14">
        <v>11.18</v>
      </c>
      <c r="E479" s="15">
        <v>82</v>
      </c>
    </row>
    <row r="480" spans="1:5">
      <c r="A480">
        <v>2023</v>
      </c>
      <c r="B480" t="s">
        <v>2222</v>
      </c>
      <c r="C480" t="s">
        <v>2225</v>
      </c>
      <c r="D480" s="14">
        <v>5.23</v>
      </c>
      <c r="E480" s="15">
        <v>82</v>
      </c>
    </row>
    <row r="481" spans="1:5">
      <c r="A481">
        <v>2023</v>
      </c>
      <c r="B481" t="s">
        <v>2223</v>
      </c>
      <c r="C481" t="s">
        <v>2225</v>
      </c>
      <c r="D481" s="14">
        <v>0.8</v>
      </c>
      <c r="E481" s="15">
        <v>82</v>
      </c>
    </row>
    <row r="482" spans="1:5">
      <c r="A482">
        <v>2024</v>
      </c>
      <c r="B482" t="s">
        <v>2213</v>
      </c>
      <c r="C482" t="s">
        <v>2225</v>
      </c>
      <c r="D482" s="14">
        <v>7.6</v>
      </c>
      <c r="E482" s="15">
        <v>85</v>
      </c>
    </row>
    <row r="483" spans="1:5">
      <c r="A483">
        <v>2024</v>
      </c>
      <c r="B483" t="s">
        <v>2215</v>
      </c>
      <c r="C483" t="s">
        <v>2225</v>
      </c>
      <c r="D483" s="14">
        <v>9.84</v>
      </c>
      <c r="E483" s="15">
        <v>85</v>
      </c>
    </row>
    <row r="484" spans="1:5">
      <c r="A484">
        <v>2024</v>
      </c>
      <c r="B484" t="s">
        <v>2216</v>
      </c>
      <c r="C484" t="s">
        <v>2225</v>
      </c>
      <c r="D484" s="14">
        <v>3.24</v>
      </c>
      <c r="E484" s="15">
        <v>85</v>
      </c>
    </row>
    <row r="485" spans="1:5">
      <c r="A485">
        <v>2024</v>
      </c>
      <c r="B485" t="s">
        <v>2217</v>
      </c>
      <c r="C485" t="s">
        <v>2225</v>
      </c>
      <c r="D485" s="14">
        <v>15.72</v>
      </c>
      <c r="E485" s="15">
        <v>85</v>
      </c>
    </row>
    <row r="486" spans="1:5">
      <c r="A486">
        <v>2024</v>
      </c>
      <c r="B486" t="s">
        <v>2218</v>
      </c>
      <c r="C486" t="s">
        <v>2225</v>
      </c>
      <c r="D486" s="14">
        <v>17.73</v>
      </c>
      <c r="E486" s="15">
        <v>85</v>
      </c>
    </row>
    <row r="487" spans="1:5">
      <c r="A487">
        <v>2024</v>
      </c>
      <c r="B487" t="s">
        <v>2219</v>
      </c>
      <c r="C487" t="s">
        <v>2225</v>
      </c>
      <c r="D487" s="14">
        <v>8.26</v>
      </c>
      <c r="E487" s="15">
        <v>85</v>
      </c>
    </row>
    <row r="488" spans="1:5">
      <c r="A488">
        <v>2024</v>
      </c>
      <c r="B488" t="s">
        <v>2220</v>
      </c>
      <c r="C488" t="s">
        <v>2225</v>
      </c>
      <c r="D488" s="14">
        <v>5.86</v>
      </c>
      <c r="E488" s="15">
        <v>85</v>
      </c>
    </row>
    <row r="489" spans="1:5">
      <c r="A489">
        <v>2024</v>
      </c>
      <c r="B489" t="s">
        <v>2221</v>
      </c>
      <c r="C489" t="s">
        <v>2225</v>
      </c>
      <c r="D489" s="14">
        <v>11.28</v>
      </c>
      <c r="E489" s="15">
        <v>85</v>
      </c>
    </row>
    <row r="490" spans="1:5">
      <c r="A490">
        <v>2024</v>
      </c>
      <c r="B490" t="s">
        <v>2222</v>
      </c>
      <c r="C490" t="s">
        <v>2225</v>
      </c>
      <c r="D490" s="14">
        <v>5.61</v>
      </c>
      <c r="E490" s="15">
        <v>85</v>
      </c>
    </row>
    <row r="491" spans="1:5">
      <c r="A491">
        <v>2024</v>
      </c>
      <c r="B491" t="s">
        <v>2223</v>
      </c>
      <c r="C491" t="s">
        <v>2225</v>
      </c>
      <c r="D491" s="14">
        <v>0.83</v>
      </c>
      <c r="E491" s="15">
        <v>85</v>
      </c>
    </row>
    <row r="492" spans="1:5">
      <c r="A492">
        <v>2025</v>
      </c>
      <c r="B492" t="s">
        <v>2213</v>
      </c>
      <c r="C492" t="s">
        <v>2225</v>
      </c>
      <c r="D492" s="14">
        <v>8.3800000000000008</v>
      </c>
      <c r="E492" s="15">
        <v>88.5</v>
      </c>
    </row>
    <row r="493" spans="1:5">
      <c r="A493">
        <v>2025</v>
      </c>
      <c r="B493" t="s">
        <v>2215</v>
      </c>
      <c r="C493" t="s">
        <v>2225</v>
      </c>
      <c r="D493" s="14">
        <v>9.76</v>
      </c>
      <c r="E493" s="15">
        <v>88.5</v>
      </c>
    </row>
    <row r="494" spans="1:5">
      <c r="A494">
        <v>2025</v>
      </c>
      <c r="B494" t="s">
        <v>2216</v>
      </c>
      <c r="C494" t="s">
        <v>2225</v>
      </c>
      <c r="D494" s="14">
        <v>3.52</v>
      </c>
      <c r="E494" s="15">
        <v>88.5</v>
      </c>
    </row>
    <row r="495" spans="1:5">
      <c r="A495">
        <v>2025</v>
      </c>
      <c r="B495" t="s">
        <v>2217</v>
      </c>
      <c r="C495" t="s">
        <v>2225</v>
      </c>
      <c r="D495" s="14">
        <v>16</v>
      </c>
      <c r="E495" s="15">
        <v>88.5</v>
      </c>
    </row>
    <row r="496" spans="1:5">
      <c r="A496">
        <v>2025</v>
      </c>
      <c r="B496" t="s">
        <v>2218</v>
      </c>
      <c r="C496" t="s">
        <v>2225</v>
      </c>
      <c r="D496" s="14">
        <v>18.12</v>
      </c>
      <c r="E496" s="15">
        <v>88.5</v>
      </c>
    </row>
    <row r="497" spans="1:5">
      <c r="A497">
        <v>2025</v>
      </c>
      <c r="B497" t="s">
        <v>2219</v>
      </c>
      <c r="C497" t="s">
        <v>2225</v>
      </c>
      <c r="D497" s="14">
        <v>9.1300000000000008</v>
      </c>
      <c r="E497" s="15">
        <v>88.5</v>
      </c>
    </row>
    <row r="498" spans="1:5">
      <c r="A498">
        <v>2025</v>
      </c>
      <c r="B498" t="s">
        <v>2220</v>
      </c>
      <c r="C498" t="s">
        <v>2225</v>
      </c>
      <c r="D498" s="14">
        <v>6.06</v>
      </c>
      <c r="E498" s="15">
        <v>88.5</v>
      </c>
    </row>
    <row r="499" spans="1:5">
      <c r="A499">
        <v>2025</v>
      </c>
      <c r="B499" t="s">
        <v>2221</v>
      </c>
      <c r="C499" t="s">
        <v>2225</v>
      </c>
      <c r="D499" s="14">
        <v>12.42</v>
      </c>
      <c r="E499" s="15">
        <v>88.5</v>
      </c>
    </row>
    <row r="500" spans="1:5">
      <c r="A500">
        <v>2025</v>
      </c>
      <c r="B500" t="s">
        <v>2222</v>
      </c>
      <c r="C500" t="s">
        <v>2225</v>
      </c>
      <c r="D500" s="14">
        <v>6.53</v>
      </c>
      <c r="E500" s="15">
        <v>88.5</v>
      </c>
    </row>
    <row r="501" spans="1:5">
      <c r="A501">
        <v>2025</v>
      </c>
      <c r="B501" t="s">
        <v>2223</v>
      </c>
      <c r="C501" t="s">
        <v>2225</v>
      </c>
      <c r="D501" s="14">
        <v>0.91</v>
      </c>
      <c r="E501" s="15">
        <v>88.5</v>
      </c>
    </row>
    <row r="502" spans="1:5">
      <c r="A502">
        <v>2026</v>
      </c>
      <c r="B502" t="s">
        <v>2213</v>
      </c>
      <c r="C502" t="s">
        <v>2225</v>
      </c>
      <c r="D502" s="14">
        <v>8.01</v>
      </c>
      <c r="E502" s="15">
        <v>92</v>
      </c>
    </row>
    <row r="503" spans="1:5">
      <c r="A503">
        <v>2026</v>
      </c>
      <c r="B503" t="s">
        <v>2215</v>
      </c>
      <c r="C503" t="s">
        <v>2225</v>
      </c>
      <c r="D503" s="14">
        <v>9.5399999999999991</v>
      </c>
      <c r="E503" s="15">
        <v>92</v>
      </c>
    </row>
    <row r="504" spans="1:5">
      <c r="A504">
        <v>2026</v>
      </c>
      <c r="B504" t="s">
        <v>2216</v>
      </c>
      <c r="C504" t="s">
        <v>2225</v>
      </c>
      <c r="D504" s="14">
        <v>3.63</v>
      </c>
      <c r="E504" s="15">
        <v>92</v>
      </c>
    </row>
    <row r="505" spans="1:5">
      <c r="A505">
        <v>2026</v>
      </c>
      <c r="B505" t="s">
        <v>2217</v>
      </c>
      <c r="C505" t="s">
        <v>2225</v>
      </c>
      <c r="D505" s="14">
        <v>16.600000000000001</v>
      </c>
      <c r="E505" s="15">
        <v>92</v>
      </c>
    </row>
    <row r="506" spans="1:5">
      <c r="A506">
        <v>2026</v>
      </c>
      <c r="B506" t="s">
        <v>2218</v>
      </c>
      <c r="C506" t="s">
        <v>2225</v>
      </c>
      <c r="D506" s="14">
        <v>17.14</v>
      </c>
      <c r="E506" s="15">
        <v>92</v>
      </c>
    </row>
    <row r="507" spans="1:5">
      <c r="A507">
        <v>2026</v>
      </c>
      <c r="B507" t="s">
        <v>2219</v>
      </c>
      <c r="C507" t="s">
        <v>2225</v>
      </c>
      <c r="D507" s="14">
        <v>9.3800000000000008</v>
      </c>
      <c r="E507" s="15">
        <v>92</v>
      </c>
    </row>
    <row r="508" spans="1:5">
      <c r="A508">
        <v>2026</v>
      </c>
      <c r="B508" t="s">
        <v>2220</v>
      </c>
      <c r="C508" t="s">
        <v>2225</v>
      </c>
      <c r="D508" s="14">
        <v>6.78</v>
      </c>
      <c r="E508" s="15">
        <v>92</v>
      </c>
    </row>
    <row r="509" spans="1:5">
      <c r="A509">
        <v>2026</v>
      </c>
      <c r="B509" t="s">
        <v>2221</v>
      </c>
      <c r="C509" t="s">
        <v>2225</v>
      </c>
      <c r="D509" s="14">
        <v>12.43</v>
      </c>
      <c r="E509" s="15">
        <v>92</v>
      </c>
    </row>
    <row r="510" spans="1:5">
      <c r="A510">
        <v>2026</v>
      </c>
      <c r="B510" t="s">
        <v>2222</v>
      </c>
      <c r="C510" t="s">
        <v>2225</v>
      </c>
      <c r="D510" s="14">
        <v>6.27</v>
      </c>
      <c r="E510" s="15">
        <v>92</v>
      </c>
    </row>
    <row r="511" spans="1:5">
      <c r="A511">
        <v>2026</v>
      </c>
      <c r="B511" t="s">
        <v>2223</v>
      </c>
      <c r="C511" t="s">
        <v>2225</v>
      </c>
      <c r="D511" s="14">
        <v>0.89</v>
      </c>
      <c r="E511" s="15">
        <v>92</v>
      </c>
    </row>
    <row r="512" spans="1:5">
      <c r="A512">
        <v>2010</v>
      </c>
      <c r="B512" t="s">
        <v>2213</v>
      </c>
      <c r="C512" t="s">
        <v>2226</v>
      </c>
      <c r="D512" s="14">
        <v>5.57</v>
      </c>
      <c r="E512" s="15">
        <v>110</v>
      </c>
    </row>
    <row r="513" spans="1:5">
      <c r="A513">
        <v>2010</v>
      </c>
      <c r="B513" t="s">
        <v>2215</v>
      </c>
      <c r="C513" t="s">
        <v>2226</v>
      </c>
      <c r="D513" s="14">
        <v>6.56</v>
      </c>
      <c r="E513" s="15">
        <v>110</v>
      </c>
    </row>
    <row r="514" spans="1:5">
      <c r="A514">
        <v>2010</v>
      </c>
      <c r="B514" t="s">
        <v>2216</v>
      </c>
      <c r="C514" t="s">
        <v>2226</v>
      </c>
      <c r="D514" s="14">
        <v>4.4800000000000004</v>
      </c>
      <c r="E514" s="15">
        <v>110</v>
      </c>
    </row>
    <row r="515" spans="1:5">
      <c r="A515">
        <v>2010</v>
      </c>
      <c r="B515" t="s">
        <v>2217</v>
      </c>
      <c r="C515" t="s">
        <v>2226</v>
      </c>
      <c r="D515" s="14">
        <v>20.28</v>
      </c>
      <c r="E515" s="15">
        <v>110</v>
      </c>
    </row>
    <row r="516" spans="1:5">
      <c r="A516">
        <v>2010</v>
      </c>
      <c r="B516" t="s">
        <v>2218</v>
      </c>
      <c r="C516" t="s">
        <v>2226</v>
      </c>
      <c r="D516" s="14">
        <v>22.98</v>
      </c>
      <c r="E516" s="15">
        <v>110</v>
      </c>
    </row>
    <row r="517" spans="1:5">
      <c r="A517">
        <v>2010</v>
      </c>
      <c r="B517" t="s">
        <v>2219</v>
      </c>
      <c r="C517" t="s">
        <v>2226</v>
      </c>
      <c r="D517" s="14">
        <v>10.51</v>
      </c>
      <c r="E517" s="15">
        <v>110</v>
      </c>
    </row>
    <row r="518" spans="1:5">
      <c r="A518">
        <v>2010</v>
      </c>
      <c r="B518" t="s">
        <v>2220</v>
      </c>
      <c r="C518" t="s">
        <v>2226</v>
      </c>
      <c r="D518" s="14">
        <v>7.77</v>
      </c>
      <c r="E518" s="15">
        <v>110</v>
      </c>
    </row>
    <row r="519" spans="1:5">
      <c r="A519">
        <v>2010</v>
      </c>
      <c r="B519" t="s">
        <v>2221</v>
      </c>
      <c r="C519" t="s">
        <v>2226</v>
      </c>
      <c r="D519" s="14">
        <v>23.85</v>
      </c>
      <c r="E519" s="15">
        <v>110</v>
      </c>
    </row>
    <row r="520" spans="1:5">
      <c r="A520">
        <v>2010</v>
      </c>
      <c r="B520" t="s">
        <v>2222</v>
      </c>
      <c r="C520" t="s">
        <v>2226</v>
      </c>
      <c r="D520" s="14">
        <v>7.67</v>
      </c>
      <c r="E520" s="15">
        <v>110</v>
      </c>
    </row>
    <row r="521" spans="1:5">
      <c r="A521">
        <v>2010</v>
      </c>
      <c r="B521" t="s">
        <v>2223</v>
      </c>
      <c r="C521" t="s">
        <v>2226</v>
      </c>
      <c r="D521" s="14">
        <v>1.1399999999999999</v>
      </c>
      <c r="E521" s="15">
        <v>110</v>
      </c>
    </row>
    <row r="522" spans="1:5">
      <c r="A522">
        <v>2011</v>
      </c>
      <c r="B522" t="s">
        <v>2213</v>
      </c>
      <c r="C522" t="s">
        <v>2226</v>
      </c>
      <c r="D522" s="14">
        <v>5.67</v>
      </c>
      <c r="E522" s="15">
        <v>109</v>
      </c>
    </row>
    <row r="523" spans="1:5">
      <c r="A523">
        <v>2011</v>
      </c>
      <c r="B523" t="s">
        <v>2215</v>
      </c>
      <c r="C523" t="s">
        <v>2226</v>
      </c>
      <c r="D523" s="14">
        <v>6.92</v>
      </c>
      <c r="E523" s="15">
        <v>109</v>
      </c>
    </row>
    <row r="524" spans="1:5">
      <c r="A524">
        <v>2011</v>
      </c>
      <c r="B524" t="s">
        <v>2216</v>
      </c>
      <c r="C524" t="s">
        <v>2226</v>
      </c>
      <c r="D524" s="14">
        <v>4.43</v>
      </c>
      <c r="E524" s="15">
        <v>109</v>
      </c>
    </row>
    <row r="525" spans="1:5">
      <c r="A525">
        <v>2011</v>
      </c>
      <c r="B525" t="s">
        <v>2217</v>
      </c>
      <c r="C525" t="s">
        <v>2226</v>
      </c>
      <c r="D525" s="14">
        <v>19.53</v>
      </c>
      <c r="E525" s="15">
        <v>109</v>
      </c>
    </row>
    <row r="526" spans="1:5">
      <c r="A526">
        <v>2011</v>
      </c>
      <c r="B526" t="s">
        <v>2218</v>
      </c>
      <c r="C526" t="s">
        <v>2226</v>
      </c>
      <c r="D526" s="14">
        <v>21.58</v>
      </c>
      <c r="E526" s="15">
        <v>109</v>
      </c>
    </row>
    <row r="527" spans="1:5">
      <c r="A527">
        <v>2011</v>
      </c>
      <c r="B527" t="s">
        <v>2219</v>
      </c>
      <c r="C527" t="s">
        <v>2226</v>
      </c>
      <c r="D527" s="14">
        <v>10.17</v>
      </c>
      <c r="E527" s="15">
        <v>109</v>
      </c>
    </row>
    <row r="528" spans="1:5">
      <c r="A528">
        <v>2011</v>
      </c>
      <c r="B528" t="s">
        <v>2220</v>
      </c>
      <c r="C528" t="s">
        <v>2226</v>
      </c>
      <c r="D528" s="14">
        <v>8.0500000000000007</v>
      </c>
      <c r="E528" s="15">
        <v>109</v>
      </c>
    </row>
    <row r="529" spans="1:5">
      <c r="A529">
        <v>2011</v>
      </c>
      <c r="B529" t="s">
        <v>2221</v>
      </c>
      <c r="C529" t="s">
        <v>2226</v>
      </c>
      <c r="D529" s="14">
        <v>23.67</v>
      </c>
      <c r="E529" s="15">
        <v>109</v>
      </c>
    </row>
    <row r="530" spans="1:5">
      <c r="A530">
        <v>2011</v>
      </c>
      <c r="B530" t="s">
        <v>2222</v>
      </c>
      <c r="C530" t="s">
        <v>2226</v>
      </c>
      <c r="D530" s="14">
        <v>7.79</v>
      </c>
      <c r="E530" s="15">
        <v>109</v>
      </c>
    </row>
    <row r="531" spans="1:5">
      <c r="A531">
        <v>2011</v>
      </c>
      <c r="B531" t="s">
        <v>2223</v>
      </c>
      <c r="C531" t="s">
        <v>2226</v>
      </c>
      <c r="D531" s="14">
        <v>1.1200000000000001</v>
      </c>
      <c r="E531" s="15">
        <v>109</v>
      </c>
    </row>
    <row r="532" spans="1:5">
      <c r="A532">
        <v>2012</v>
      </c>
      <c r="B532" t="s">
        <v>2213</v>
      </c>
      <c r="C532" t="s">
        <v>2226</v>
      </c>
      <c r="D532" s="14">
        <v>5.14</v>
      </c>
      <c r="E532" s="15">
        <v>108</v>
      </c>
    </row>
    <row r="533" spans="1:5">
      <c r="A533">
        <v>2012</v>
      </c>
      <c r="B533" t="s">
        <v>2215</v>
      </c>
      <c r="C533" t="s">
        <v>2226</v>
      </c>
      <c r="D533" s="14">
        <v>6.25</v>
      </c>
      <c r="E533" s="15">
        <v>108</v>
      </c>
    </row>
    <row r="534" spans="1:5">
      <c r="A534">
        <v>2012</v>
      </c>
      <c r="B534" t="s">
        <v>2216</v>
      </c>
      <c r="C534" t="s">
        <v>2226</v>
      </c>
      <c r="D534" s="14">
        <v>4.5999999999999996</v>
      </c>
      <c r="E534" s="15">
        <v>108</v>
      </c>
    </row>
    <row r="535" spans="1:5">
      <c r="A535">
        <v>2012</v>
      </c>
      <c r="B535" t="s">
        <v>2217</v>
      </c>
      <c r="C535" t="s">
        <v>2226</v>
      </c>
      <c r="D535" s="14">
        <v>19.670000000000002</v>
      </c>
      <c r="E535" s="15">
        <v>108</v>
      </c>
    </row>
    <row r="536" spans="1:5">
      <c r="A536">
        <v>2012</v>
      </c>
      <c r="B536" t="s">
        <v>2218</v>
      </c>
      <c r="C536" t="s">
        <v>2226</v>
      </c>
      <c r="D536" s="14">
        <v>21.1</v>
      </c>
      <c r="E536" s="15">
        <v>108</v>
      </c>
    </row>
    <row r="537" spans="1:5">
      <c r="A537">
        <v>2012</v>
      </c>
      <c r="B537" t="s">
        <v>2219</v>
      </c>
      <c r="C537" t="s">
        <v>2226</v>
      </c>
      <c r="D537" s="14">
        <v>10.75</v>
      </c>
      <c r="E537" s="15">
        <v>108</v>
      </c>
    </row>
    <row r="538" spans="1:5">
      <c r="A538">
        <v>2012</v>
      </c>
      <c r="B538" t="s">
        <v>2220</v>
      </c>
      <c r="C538" t="s">
        <v>2226</v>
      </c>
      <c r="D538" s="14">
        <v>7.9</v>
      </c>
      <c r="E538" s="15">
        <v>108</v>
      </c>
    </row>
    <row r="539" spans="1:5">
      <c r="A539">
        <v>2012</v>
      </c>
      <c r="B539" t="s">
        <v>2221</v>
      </c>
      <c r="C539" t="s">
        <v>2226</v>
      </c>
      <c r="D539" s="14">
        <v>24.66</v>
      </c>
      <c r="E539" s="15">
        <v>108</v>
      </c>
    </row>
    <row r="540" spans="1:5">
      <c r="A540">
        <v>2012</v>
      </c>
      <c r="B540" t="s">
        <v>2222</v>
      </c>
      <c r="C540" t="s">
        <v>2226</v>
      </c>
      <c r="D540" s="14">
        <v>7.13</v>
      </c>
      <c r="E540" s="15">
        <v>108</v>
      </c>
    </row>
    <row r="541" spans="1:5">
      <c r="A541">
        <v>2012</v>
      </c>
      <c r="B541" t="s">
        <v>2223</v>
      </c>
      <c r="C541" t="s">
        <v>2226</v>
      </c>
      <c r="D541" s="14">
        <v>1.1499999999999999</v>
      </c>
      <c r="E541" s="15">
        <v>108</v>
      </c>
    </row>
    <row r="542" spans="1:5">
      <c r="A542">
        <v>2013</v>
      </c>
      <c r="B542" t="s">
        <v>2213</v>
      </c>
      <c r="C542" t="s">
        <v>2226</v>
      </c>
      <c r="D542" s="14">
        <v>5.56</v>
      </c>
      <c r="E542" s="15">
        <v>107</v>
      </c>
    </row>
    <row r="543" spans="1:5">
      <c r="A543">
        <v>2013</v>
      </c>
      <c r="B543" t="s">
        <v>2215</v>
      </c>
      <c r="C543" t="s">
        <v>2226</v>
      </c>
      <c r="D543" s="14">
        <v>6.38</v>
      </c>
      <c r="E543" s="15">
        <v>107</v>
      </c>
    </row>
    <row r="544" spans="1:5">
      <c r="A544">
        <v>2013</v>
      </c>
      <c r="B544" t="s">
        <v>2216</v>
      </c>
      <c r="C544" t="s">
        <v>2226</v>
      </c>
      <c r="D544" s="14">
        <v>4.08</v>
      </c>
      <c r="E544" s="15">
        <v>107</v>
      </c>
    </row>
    <row r="545" spans="1:5">
      <c r="A545">
        <v>2013</v>
      </c>
      <c r="B545" t="s">
        <v>2217</v>
      </c>
      <c r="C545" t="s">
        <v>2226</v>
      </c>
      <c r="D545" s="14">
        <v>20.09</v>
      </c>
      <c r="E545" s="15">
        <v>107</v>
      </c>
    </row>
    <row r="546" spans="1:5">
      <c r="A546">
        <v>2013</v>
      </c>
      <c r="B546" t="s">
        <v>2218</v>
      </c>
      <c r="C546" t="s">
        <v>2226</v>
      </c>
      <c r="D546" s="14">
        <v>21.81</v>
      </c>
      <c r="E546" s="15">
        <v>107</v>
      </c>
    </row>
    <row r="547" spans="1:5">
      <c r="A547">
        <v>2013</v>
      </c>
      <c r="B547" t="s">
        <v>2219</v>
      </c>
      <c r="C547" t="s">
        <v>2226</v>
      </c>
      <c r="D547" s="14">
        <v>10.09</v>
      </c>
      <c r="E547" s="15">
        <v>107</v>
      </c>
    </row>
    <row r="548" spans="1:5">
      <c r="A548">
        <v>2013</v>
      </c>
      <c r="B548" t="s">
        <v>2220</v>
      </c>
      <c r="C548" t="s">
        <v>2226</v>
      </c>
      <c r="D548" s="14">
        <v>7.42</v>
      </c>
      <c r="E548" s="15">
        <v>107</v>
      </c>
    </row>
    <row r="549" spans="1:5">
      <c r="A549">
        <v>2013</v>
      </c>
      <c r="B549" t="s">
        <v>2221</v>
      </c>
      <c r="C549" t="s">
        <v>2226</v>
      </c>
      <c r="D549" s="14">
        <v>26.68</v>
      </c>
      <c r="E549" s="15">
        <v>107</v>
      </c>
    </row>
    <row r="550" spans="1:5">
      <c r="A550">
        <v>2013</v>
      </c>
      <c r="B550" t="s">
        <v>2222</v>
      </c>
      <c r="C550" t="s">
        <v>2226</v>
      </c>
      <c r="D550" s="14">
        <v>7.49</v>
      </c>
      <c r="E550" s="15">
        <v>107</v>
      </c>
    </row>
    <row r="551" spans="1:5">
      <c r="A551">
        <v>2013</v>
      </c>
      <c r="B551" t="s">
        <v>2223</v>
      </c>
      <c r="C551" t="s">
        <v>2226</v>
      </c>
      <c r="D551" s="14">
        <v>1.04</v>
      </c>
      <c r="E551" s="15">
        <v>107</v>
      </c>
    </row>
    <row r="552" spans="1:5">
      <c r="A552">
        <v>2014</v>
      </c>
      <c r="B552" t="s">
        <v>2213</v>
      </c>
      <c r="C552" t="s">
        <v>2226</v>
      </c>
      <c r="D552" s="14">
        <v>5.09</v>
      </c>
      <c r="E552" s="15">
        <v>106</v>
      </c>
    </row>
    <row r="553" spans="1:5">
      <c r="A553">
        <v>2014</v>
      </c>
      <c r="B553" t="s">
        <v>2215</v>
      </c>
      <c r="C553" t="s">
        <v>2226</v>
      </c>
      <c r="D553" s="14">
        <v>6.83</v>
      </c>
      <c r="E553" s="15">
        <v>106</v>
      </c>
    </row>
    <row r="554" spans="1:5">
      <c r="A554">
        <v>2014</v>
      </c>
      <c r="B554" t="s">
        <v>2216</v>
      </c>
      <c r="C554" t="s">
        <v>2226</v>
      </c>
      <c r="D554" s="14">
        <v>4.3899999999999997</v>
      </c>
      <c r="E554" s="15">
        <v>106</v>
      </c>
    </row>
    <row r="555" spans="1:5">
      <c r="A555">
        <v>2014</v>
      </c>
      <c r="B555" t="s">
        <v>2217</v>
      </c>
      <c r="C555" t="s">
        <v>2226</v>
      </c>
      <c r="D555" s="14">
        <v>20.18</v>
      </c>
      <c r="E555" s="15">
        <v>106</v>
      </c>
    </row>
    <row r="556" spans="1:5">
      <c r="A556">
        <v>2014</v>
      </c>
      <c r="B556" t="s">
        <v>2218</v>
      </c>
      <c r="C556" t="s">
        <v>2226</v>
      </c>
      <c r="D556" s="14">
        <v>21.41</v>
      </c>
      <c r="E556" s="15">
        <v>106</v>
      </c>
    </row>
    <row r="557" spans="1:5">
      <c r="A557">
        <v>2014</v>
      </c>
      <c r="B557" t="s">
        <v>2219</v>
      </c>
      <c r="C557" t="s">
        <v>2226</v>
      </c>
      <c r="D557" s="14">
        <v>11.15</v>
      </c>
      <c r="E557" s="15">
        <v>106</v>
      </c>
    </row>
    <row r="558" spans="1:5">
      <c r="A558">
        <v>2014</v>
      </c>
      <c r="B558" t="s">
        <v>2220</v>
      </c>
      <c r="C558" t="s">
        <v>2226</v>
      </c>
      <c r="D558" s="14">
        <v>7.17</v>
      </c>
      <c r="E558" s="15">
        <v>106</v>
      </c>
    </row>
    <row r="559" spans="1:5">
      <c r="A559">
        <v>2014</v>
      </c>
      <c r="B559" t="s">
        <v>2221</v>
      </c>
      <c r="C559" t="s">
        <v>2226</v>
      </c>
      <c r="D559" s="14">
        <v>23.47</v>
      </c>
      <c r="E559" s="15">
        <v>106</v>
      </c>
    </row>
    <row r="560" spans="1:5">
      <c r="A560">
        <v>2014</v>
      </c>
      <c r="B560" t="s">
        <v>2222</v>
      </c>
      <c r="C560" t="s">
        <v>2226</v>
      </c>
      <c r="D560" s="14">
        <v>7.51</v>
      </c>
      <c r="E560" s="15">
        <v>106</v>
      </c>
    </row>
    <row r="561" spans="1:5">
      <c r="A561">
        <v>2014</v>
      </c>
      <c r="B561" t="s">
        <v>2223</v>
      </c>
      <c r="C561" t="s">
        <v>2226</v>
      </c>
      <c r="D561" s="14">
        <v>1.1200000000000001</v>
      </c>
      <c r="E561" s="15">
        <v>106</v>
      </c>
    </row>
    <row r="562" spans="1:5">
      <c r="A562">
        <v>2015</v>
      </c>
      <c r="B562" t="s">
        <v>2213</v>
      </c>
      <c r="C562" t="s">
        <v>2226</v>
      </c>
      <c r="D562" s="14">
        <v>5.32</v>
      </c>
      <c r="E562" s="15">
        <v>105</v>
      </c>
    </row>
    <row r="563" spans="1:5">
      <c r="A563">
        <v>2015</v>
      </c>
      <c r="B563" t="s">
        <v>2215</v>
      </c>
      <c r="C563" t="s">
        <v>2226</v>
      </c>
      <c r="D563" s="14">
        <v>6.14</v>
      </c>
      <c r="E563" s="15">
        <v>105</v>
      </c>
    </row>
    <row r="564" spans="1:5">
      <c r="A564">
        <v>2015</v>
      </c>
      <c r="B564" t="s">
        <v>2216</v>
      </c>
      <c r="C564" t="s">
        <v>2226</v>
      </c>
      <c r="D564" s="14">
        <v>4.21</v>
      </c>
      <c r="E564" s="15">
        <v>105</v>
      </c>
    </row>
    <row r="565" spans="1:5">
      <c r="A565">
        <v>2015</v>
      </c>
      <c r="B565" t="s">
        <v>2217</v>
      </c>
      <c r="C565" t="s">
        <v>2226</v>
      </c>
      <c r="D565" s="14">
        <v>17.670000000000002</v>
      </c>
      <c r="E565" s="15">
        <v>105</v>
      </c>
    </row>
    <row r="566" spans="1:5">
      <c r="A566">
        <v>2015</v>
      </c>
      <c r="B566" t="s">
        <v>2218</v>
      </c>
      <c r="C566" t="s">
        <v>2226</v>
      </c>
      <c r="D566" s="14">
        <v>19.14</v>
      </c>
      <c r="E566" s="15">
        <v>105</v>
      </c>
    </row>
    <row r="567" spans="1:5">
      <c r="A567">
        <v>2015</v>
      </c>
      <c r="B567" t="s">
        <v>2219</v>
      </c>
      <c r="C567" t="s">
        <v>2226</v>
      </c>
      <c r="D567" s="14">
        <v>10.86</v>
      </c>
      <c r="E567" s="15">
        <v>105</v>
      </c>
    </row>
    <row r="568" spans="1:5">
      <c r="A568">
        <v>2015</v>
      </c>
      <c r="B568" t="s">
        <v>2220</v>
      </c>
      <c r="C568" t="s">
        <v>2226</v>
      </c>
      <c r="D568" s="14">
        <v>7.24</v>
      </c>
      <c r="E568" s="15">
        <v>105</v>
      </c>
    </row>
    <row r="569" spans="1:5">
      <c r="A569">
        <v>2015</v>
      </c>
      <c r="B569" t="s">
        <v>2221</v>
      </c>
      <c r="C569" t="s">
        <v>2226</v>
      </c>
      <c r="D569" s="14">
        <v>22.86</v>
      </c>
      <c r="E569" s="15">
        <v>105</v>
      </c>
    </row>
    <row r="570" spans="1:5">
      <c r="A570">
        <v>2015</v>
      </c>
      <c r="B570" t="s">
        <v>2222</v>
      </c>
      <c r="C570" t="s">
        <v>2226</v>
      </c>
      <c r="D570" s="14">
        <v>7.6</v>
      </c>
      <c r="E570" s="15">
        <v>105</v>
      </c>
    </row>
    <row r="571" spans="1:5">
      <c r="A571">
        <v>2015</v>
      </c>
      <c r="B571" t="s">
        <v>2223</v>
      </c>
      <c r="C571" t="s">
        <v>2226</v>
      </c>
      <c r="D571" s="14">
        <v>1.1100000000000001</v>
      </c>
      <c r="E571" s="15">
        <v>105</v>
      </c>
    </row>
    <row r="572" spans="1:5">
      <c r="A572">
        <v>2016</v>
      </c>
      <c r="B572" t="s">
        <v>2213</v>
      </c>
      <c r="C572" t="s">
        <v>2226</v>
      </c>
      <c r="D572" s="14">
        <v>5.3</v>
      </c>
      <c r="E572" s="15">
        <v>103.8</v>
      </c>
    </row>
    <row r="573" spans="1:5">
      <c r="A573">
        <v>2016</v>
      </c>
      <c r="B573" t="s">
        <v>2215</v>
      </c>
      <c r="C573" t="s">
        <v>2226</v>
      </c>
      <c r="D573" s="14">
        <v>6.72</v>
      </c>
      <c r="E573" s="15">
        <v>103.8</v>
      </c>
    </row>
    <row r="574" spans="1:5">
      <c r="A574">
        <v>2016</v>
      </c>
      <c r="B574" t="s">
        <v>2216</v>
      </c>
      <c r="C574" t="s">
        <v>2226</v>
      </c>
      <c r="D574" s="14">
        <v>4.2300000000000004</v>
      </c>
      <c r="E574" s="15">
        <v>103.8</v>
      </c>
    </row>
    <row r="575" spans="1:5">
      <c r="A575">
        <v>2016</v>
      </c>
      <c r="B575" t="s">
        <v>2217</v>
      </c>
      <c r="C575" t="s">
        <v>2226</v>
      </c>
      <c r="D575" s="14">
        <v>18.899999999999999</v>
      </c>
      <c r="E575" s="15">
        <v>103.8</v>
      </c>
    </row>
    <row r="576" spans="1:5">
      <c r="A576">
        <v>2016</v>
      </c>
      <c r="B576" t="s">
        <v>2218</v>
      </c>
      <c r="C576" t="s">
        <v>2226</v>
      </c>
      <c r="D576" s="14">
        <v>20.95</v>
      </c>
      <c r="E576" s="15">
        <v>103.8</v>
      </c>
    </row>
    <row r="577" spans="1:5">
      <c r="A577">
        <v>2016</v>
      </c>
      <c r="B577" t="s">
        <v>2219</v>
      </c>
      <c r="C577" t="s">
        <v>2226</v>
      </c>
      <c r="D577" s="14">
        <v>9.86</v>
      </c>
      <c r="E577" s="15">
        <v>103.8</v>
      </c>
    </row>
    <row r="578" spans="1:5">
      <c r="A578">
        <v>2016</v>
      </c>
      <c r="B578" t="s">
        <v>2220</v>
      </c>
      <c r="C578" t="s">
        <v>2226</v>
      </c>
      <c r="D578" s="14">
        <v>7.55</v>
      </c>
      <c r="E578" s="15">
        <v>103.8</v>
      </c>
    </row>
    <row r="579" spans="1:5">
      <c r="A579">
        <v>2016</v>
      </c>
      <c r="B579" t="s">
        <v>2221</v>
      </c>
      <c r="C579" t="s">
        <v>2226</v>
      </c>
      <c r="D579" s="14">
        <v>20.7</v>
      </c>
      <c r="E579" s="15">
        <v>103.8</v>
      </c>
    </row>
    <row r="580" spans="1:5">
      <c r="A580">
        <v>2016</v>
      </c>
      <c r="B580" t="s">
        <v>2222</v>
      </c>
      <c r="C580" t="s">
        <v>2226</v>
      </c>
      <c r="D580" s="14">
        <v>7.09</v>
      </c>
      <c r="E580" s="15">
        <v>103.8</v>
      </c>
    </row>
    <row r="581" spans="1:5">
      <c r="A581">
        <v>2016</v>
      </c>
      <c r="B581" t="s">
        <v>2223</v>
      </c>
      <c r="C581" t="s">
        <v>2226</v>
      </c>
      <c r="D581" s="14">
        <v>1.04</v>
      </c>
      <c r="E581" s="15">
        <v>103.8</v>
      </c>
    </row>
    <row r="582" spans="1:5">
      <c r="A582">
        <v>2017</v>
      </c>
      <c r="B582" t="s">
        <v>2213</v>
      </c>
      <c r="C582" t="s">
        <v>2226</v>
      </c>
      <c r="D582" s="14">
        <v>4.97</v>
      </c>
      <c r="E582" s="15">
        <v>102.5</v>
      </c>
    </row>
    <row r="583" spans="1:5">
      <c r="A583">
        <v>2017</v>
      </c>
      <c r="B583" t="s">
        <v>2215</v>
      </c>
      <c r="C583" t="s">
        <v>2226</v>
      </c>
      <c r="D583" s="14">
        <v>6.04</v>
      </c>
      <c r="E583" s="15">
        <v>102.5</v>
      </c>
    </row>
    <row r="584" spans="1:5">
      <c r="A584">
        <v>2017</v>
      </c>
      <c r="B584" t="s">
        <v>2216</v>
      </c>
      <c r="C584" t="s">
        <v>2226</v>
      </c>
      <c r="D584" s="14">
        <v>4.41</v>
      </c>
      <c r="E584" s="15">
        <v>102.5</v>
      </c>
    </row>
    <row r="585" spans="1:5">
      <c r="A585">
        <v>2017</v>
      </c>
      <c r="B585" t="s">
        <v>2217</v>
      </c>
      <c r="C585" t="s">
        <v>2226</v>
      </c>
      <c r="D585" s="14">
        <v>19.28</v>
      </c>
      <c r="E585" s="15">
        <v>102.5</v>
      </c>
    </row>
    <row r="586" spans="1:5">
      <c r="A586">
        <v>2017</v>
      </c>
      <c r="B586" t="s">
        <v>2218</v>
      </c>
      <c r="C586" t="s">
        <v>2226</v>
      </c>
      <c r="D586" s="14">
        <v>19.95</v>
      </c>
      <c r="E586" s="15">
        <v>102.5</v>
      </c>
    </row>
    <row r="587" spans="1:5">
      <c r="A587">
        <v>2017</v>
      </c>
      <c r="B587" t="s">
        <v>2219</v>
      </c>
      <c r="C587" t="s">
        <v>2226</v>
      </c>
      <c r="D587" s="14">
        <v>10.06</v>
      </c>
      <c r="E587" s="15">
        <v>102.5</v>
      </c>
    </row>
    <row r="588" spans="1:5">
      <c r="A588">
        <v>2017</v>
      </c>
      <c r="B588" t="s">
        <v>2220</v>
      </c>
      <c r="C588" t="s">
        <v>2226</v>
      </c>
      <c r="D588" s="14">
        <v>6.82</v>
      </c>
      <c r="E588" s="15">
        <v>102.5</v>
      </c>
    </row>
    <row r="589" spans="1:5">
      <c r="A589">
        <v>2017</v>
      </c>
      <c r="B589" t="s">
        <v>2221</v>
      </c>
      <c r="C589" t="s">
        <v>2226</v>
      </c>
      <c r="D589" s="14">
        <v>23.19</v>
      </c>
      <c r="E589" s="15">
        <v>102.5</v>
      </c>
    </row>
    <row r="590" spans="1:5">
      <c r="A590">
        <v>2017</v>
      </c>
      <c r="B590" t="s">
        <v>2222</v>
      </c>
      <c r="C590" t="s">
        <v>2226</v>
      </c>
      <c r="D590" s="14">
        <v>7.1</v>
      </c>
      <c r="E590" s="15">
        <v>102.5</v>
      </c>
    </row>
    <row r="591" spans="1:5">
      <c r="A591">
        <v>2017</v>
      </c>
      <c r="B591" t="s">
        <v>2223</v>
      </c>
      <c r="C591" t="s">
        <v>2226</v>
      </c>
      <c r="D591" s="14">
        <v>0.95</v>
      </c>
      <c r="E591" s="15">
        <v>102.5</v>
      </c>
    </row>
    <row r="592" spans="1:5">
      <c r="A592">
        <v>2018</v>
      </c>
      <c r="B592" t="s">
        <v>2213</v>
      </c>
      <c r="C592" t="s">
        <v>2226</v>
      </c>
      <c r="D592" s="14">
        <v>5.08</v>
      </c>
      <c r="E592" s="15">
        <v>101.2</v>
      </c>
    </row>
    <row r="593" spans="1:5">
      <c r="A593">
        <v>2018</v>
      </c>
      <c r="B593" t="s">
        <v>2215</v>
      </c>
      <c r="C593" t="s">
        <v>2226</v>
      </c>
      <c r="D593" s="14">
        <v>6.18</v>
      </c>
      <c r="E593" s="15">
        <v>101.2</v>
      </c>
    </row>
    <row r="594" spans="1:5">
      <c r="A594">
        <v>2018</v>
      </c>
      <c r="B594" t="s">
        <v>2216</v>
      </c>
      <c r="C594" t="s">
        <v>2226</v>
      </c>
      <c r="D594" s="14">
        <v>4.21</v>
      </c>
      <c r="E594" s="15">
        <v>101.2</v>
      </c>
    </row>
    <row r="595" spans="1:5">
      <c r="A595">
        <v>2018</v>
      </c>
      <c r="B595" t="s">
        <v>2217</v>
      </c>
      <c r="C595" t="s">
        <v>2226</v>
      </c>
      <c r="D595" s="14">
        <v>18.170000000000002</v>
      </c>
      <c r="E595" s="15">
        <v>101.2</v>
      </c>
    </row>
    <row r="596" spans="1:5">
      <c r="A596">
        <v>2018</v>
      </c>
      <c r="B596" t="s">
        <v>2218</v>
      </c>
      <c r="C596" t="s">
        <v>2226</v>
      </c>
      <c r="D596" s="14">
        <v>19.95</v>
      </c>
      <c r="E596" s="15">
        <v>101.2</v>
      </c>
    </row>
    <row r="597" spans="1:5">
      <c r="A597">
        <v>2018</v>
      </c>
      <c r="B597" t="s">
        <v>2219</v>
      </c>
      <c r="C597" t="s">
        <v>2226</v>
      </c>
      <c r="D597" s="14">
        <v>10.96</v>
      </c>
      <c r="E597" s="15">
        <v>101.2</v>
      </c>
    </row>
    <row r="598" spans="1:5">
      <c r="A598">
        <v>2018</v>
      </c>
      <c r="B598" t="s">
        <v>2220</v>
      </c>
      <c r="C598" t="s">
        <v>2226</v>
      </c>
      <c r="D598" s="14">
        <v>7.09</v>
      </c>
      <c r="E598" s="15">
        <v>101.2</v>
      </c>
    </row>
    <row r="599" spans="1:5">
      <c r="A599">
        <v>2018</v>
      </c>
      <c r="B599" t="s">
        <v>2221</v>
      </c>
      <c r="C599" t="s">
        <v>2226</v>
      </c>
      <c r="D599" s="14">
        <v>22.93</v>
      </c>
      <c r="E599" s="15">
        <v>101.2</v>
      </c>
    </row>
    <row r="600" spans="1:5">
      <c r="A600">
        <v>2018</v>
      </c>
      <c r="B600" t="s">
        <v>2222</v>
      </c>
      <c r="C600" t="s">
        <v>2226</v>
      </c>
      <c r="D600" s="14">
        <v>6.94</v>
      </c>
      <c r="E600" s="15">
        <v>101.2</v>
      </c>
    </row>
    <row r="601" spans="1:5">
      <c r="A601">
        <v>2018</v>
      </c>
      <c r="B601" t="s">
        <v>2223</v>
      </c>
      <c r="C601" t="s">
        <v>2226</v>
      </c>
      <c r="D601" s="14">
        <v>1.04</v>
      </c>
      <c r="E601" s="15">
        <v>101.2</v>
      </c>
    </row>
    <row r="602" spans="1:5">
      <c r="A602">
        <v>2019</v>
      </c>
      <c r="B602" t="s">
        <v>2213</v>
      </c>
      <c r="C602" t="s">
        <v>2226</v>
      </c>
      <c r="D602" s="14">
        <v>4.72</v>
      </c>
      <c r="E602" s="15">
        <v>100</v>
      </c>
    </row>
    <row r="603" spans="1:5">
      <c r="A603">
        <v>2019</v>
      </c>
      <c r="B603" t="s">
        <v>2215</v>
      </c>
      <c r="C603" t="s">
        <v>2226</v>
      </c>
      <c r="D603" s="14">
        <v>5.89</v>
      </c>
      <c r="E603" s="15">
        <v>100</v>
      </c>
    </row>
    <row r="604" spans="1:5">
      <c r="A604">
        <v>2019</v>
      </c>
      <c r="B604" t="s">
        <v>2216</v>
      </c>
      <c r="C604" t="s">
        <v>2226</v>
      </c>
      <c r="D604" s="14">
        <v>3.81</v>
      </c>
      <c r="E604" s="15">
        <v>100</v>
      </c>
    </row>
    <row r="605" spans="1:5">
      <c r="A605">
        <v>2019</v>
      </c>
      <c r="B605" t="s">
        <v>2217</v>
      </c>
      <c r="C605" t="s">
        <v>2226</v>
      </c>
      <c r="D605" s="14">
        <v>17.57</v>
      </c>
      <c r="E605" s="15">
        <v>100</v>
      </c>
    </row>
    <row r="606" spans="1:5">
      <c r="A606">
        <v>2019</v>
      </c>
      <c r="B606" t="s">
        <v>2218</v>
      </c>
      <c r="C606" t="s">
        <v>2226</v>
      </c>
      <c r="D606" s="14">
        <v>21.03</v>
      </c>
      <c r="E606" s="15">
        <v>100</v>
      </c>
    </row>
    <row r="607" spans="1:5">
      <c r="A607">
        <v>2019</v>
      </c>
      <c r="B607" t="s">
        <v>2219</v>
      </c>
      <c r="C607" t="s">
        <v>2226</v>
      </c>
      <c r="D607" s="14">
        <v>9.76</v>
      </c>
      <c r="E607" s="15">
        <v>100</v>
      </c>
    </row>
    <row r="608" spans="1:5">
      <c r="A608">
        <v>2019</v>
      </c>
      <c r="B608" t="s">
        <v>2220</v>
      </c>
      <c r="C608" t="s">
        <v>2226</v>
      </c>
      <c r="D608" s="14">
        <v>7.2</v>
      </c>
      <c r="E608" s="15">
        <v>100</v>
      </c>
    </row>
    <row r="609" spans="1:5">
      <c r="A609">
        <v>2019</v>
      </c>
      <c r="B609" t="s">
        <v>2221</v>
      </c>
      <c r="C609" t="s">
        <v>2226</v>
      </c>
      <c r="D609" s="14">
        <v>23.38</v>
      </c>
      <c r="E609" s="15">
        <v>100</v>
      </c>
    </row>
    <row r="610" spans="1:5">
      <c r="A610">
        <v>2019</v>
      </c>
      <c r="B610" t="s">
        <v>2222</v>
      </c>
      <c r="C610" t="s">
        <v>2226</v>
      </c>
      <c r="D610" s="14">
        <v>6.99</v>
      </c>
      <c r="E610" s="15">
        <v>100</v>
      </c>
    </row>
    <row r="611" spans="1:5">
      <c r="A611">
        <v>2019</v>
      </c>
      <c r="B611" t="s">
        <v>2223</v>
      </c>
      <c r="C611" t="s">
        <v>2226</v>
      </c>
      <c r="D611" s="14">
        <v>1.04</v>
      </c>
      <c r="E611" s="15">
        <v>100</v>
      </c>
    </row>
    <row r="612" spans="1:5">
      <c r="A612">
        <v>2020</v>
      </c>
      <c r="B612" t="s">
        <v>2213</v>
      </c>
      <c r="C612" t="s">
        <v>2226</v>
      </c>
      <c r="D612" s="14">
        <v>4.9800000000000004</v>
      </c>
      <c r="E612" s="15">
        <v>97.5</v>
      </c>
    </row>
    <row r="613" spans="1:5">
      <c r="A613">
        <v>2020</v>
      </c>
      <c r="B613" t="s">
        <v>2215</v>
      </c>
      <c r="C613" t="s">
        <v>2226</v>
      </c>
      <c r="D613" s="14">
        <v>5.88</v>
      </c>
      <c r="E613" s="15">
        <v>97.5</v>
      </c>
    </row>
    <row r="614" spans="1:5">
      <c r="A614">
        <v>2020</v>
      </c>
      <c r="B614" t="s">
        <v>2216</v>
      </c>
      <c r="C614" t="s">
        <v>2226</v>
      </c>
      <c r="D614" s="14">
        <v>4.0199999999999996</v>
      </c>
      <c r="E614" s="15">
        <v>97.5</v>
      </c>
    </row>
    <row r="615" spans="1:5">
      <c r="A615">
        <v>2020</v>
      </c>
      <c r="B615" t="s">
        <v>2217</v>
      </c>
      <c r="C615" t="s">
        <v>2226</v>
      </c>
      <c r="D615" s="14">
        <v>18.89</v>
      </c>
      <c r="E615" s="15">
        <v>97.5</v>
      </c>
    </row>
    <row r="616" spans="1:5">
      <c r="A616">
        <v>2020</v>
      </c>
      <c r="B616" t="s">
        <v>2218</v>
      </c>
      <c r="C616" t="s">
        <v>2226</v>
      </c>
      <c r="D616" s="14">
        <v>19.010000000000002</v>
      </c>
      <c r="E616" s="15">
        <v>97.5</v>
      </c>
    </row>
    <row r="617" spans="1:5">
      <c r="A617">
        <v>2020</v>
      </c>
      <c r="B617" t="s">
        <v>2219</v>
      </c>
      <c r="C617" t="s">
        <v>2226</v>
      </c>
      <c r="D617" s="14">
        <v>9.3800000000000008</v>
      </c>
      <c r="E617" s="15">
        <v>97.5</v>
      </c>
    </row>
    <row r="618" spans="1:5">
      <c r="A618">
        <v>2020</v>
      </c>
      <c r="B618" t="s">
        <v>2220</v>
      </c>
      <c r="C618" t="s">
        <v>2226</v>
      </c>
      <c r="D618" s="14">
        <v>6.55</v>
      </c>
      <c r="E618" s="15">
        <v>97.5</v>
      </c>
    </row>
    <row r="619" spans="1:5">
      <c r="A619">
        <v>2020</v>
      </c>
      <c r="B619" t="s">
        <v>2221</v>
      </c>
      <c r="C619" t="s">
        <v>2226</v>
      </c>
      <c r="D619" s="14">
        <v>22.32</v>
      </c>
      <c r="E619" s="15">
        <v>97.5</v>
      </c>
    </row>
    <row r="620" spans="1:5">
      <c r="A620">
        <v>2020</v>
      </c>
      <c r="B620" t="s">
        <v>2222</v>
      </c>
      <c r="C620" t="s">
        <v>2226</v>
      </c>
      <c r="D620" s="14">
        <v>7.14</v>
      </c>
      <c r="E620" s="15">
        <v>97.5</v>
      </c>
    </row>
    <row r="621" spans="1:5">
      <c r="A621">
        <v>2020</v>
      </c>
      <c r="B621" t="s">
        <v>2223</v>
      </c>
      <c r="C621" t="s">
        <v>2226</v>
      </c>
      <c r="D621" s="14">
        <v>0.95</v>
      </c>
      <c r="E621" s="15">
        <v>97.5</v>
      </c>
    </row>
    <row r="622" spans="1:5">
      <c r="A622">
        <v>2021</v>
      </c>
      <c r="B622" t="s">
        <v>2213</v>
      </c>
      <c r="C622" t="s">
        <v>2226</v>
      </c>
      <c r="D622" s="14">
        <v>4.3600000000000003</v>
      </c>
      <c r="E622" s="15">
        <v>95</v>
      </c>
    </row>
    <row r="623" spans="1:5">
      <c r="A623">
        <v>2021</v>
      </c>
      <c r="B623" t="s">
        <v>2215</v>
      </c>
      <c r="C623" t="s">
        <v>2226</v>
      </c>
      <c r="D623" s="14">
        <v>5.55</v>
      </c>
      <c r="E623" s="15">
        <v>95</v>
      </c>
    </row>
    <row r="624" spans="1:5">
      <c r="A624">
        <v>2021</v>
      </c>
      <c r="B624" t="s">
        <v>2216</v>
      </c>
      <c r="C624" t="s">
        <v>2226</v>
      </c>
      <c r="D624" s="14">
        <v>3.88</v>
      </c>
      <c r="E624" s="15">
        <v>95</v>
      </c>
    </row>
    <row r="625" spans="1:5">
      <c r="A625">
        <v>2021</v>
      </c>
      <c r="B625" t="s">
        <v>2217</v>
      </c>
      <c r="C625" t="s">
        <v>2226</v>
      </c>
      <c r="D625" s="14">
        <v>17.05</v>
      </c>
      <c r="E625" s="15">
        <v>95</v>
      </c>
    </row>
    <row r="626" spans="1:5">
      <c r="A626">
        <v>2021</v>
      </c>
      <c r="B626" t="s">
        <v>2218</v>
      </c>
      <c r="C626" t="s">
        <v>2226</v>
      </c>
      <c r="D626" s="14">
        <v>19.14</v>
      </c>
      <c r="E626" s="15">
        <v>95</v>
      </c>
    </row>
    <row r="627" spans="1:5">
      <c r="A627">
        <v>2021</v>
      </c>
      <c r="B627" t="s">
        <v>2219</v>
      </c>
      <c r="C627" t="s">
        <v>2226</v>
      </c>
      <c r="D627" s="14">
        <v>9.3000000000000007</v>
      </c>
      <c r="E627" s="15">
        <v>95</v>
      </c>
    </row>
    <row r="628" spans="1:5">
      <c r="A628">
        <v>2021</v>
      </c>
      <c r="B628" t="s">
        <v>2220</v>
      </c>
      <c r="C628" t="s">
        <v>2226</v>
      </c>
      <c r="D628" s="14">
        <v>6.93</v>
      </c>
      <c r="E628" s="15">
        <v>95</v>
      </c>
    </row>
    <row r="629" spans="1:5">
      <c r="A629">
        <v>2021</v>
      </c>
      <c r="B629" t="s">
        <v>2221</v>
      </c>
      <c r="C629" t="s">
        <v>2226</v>
      </c>
      <c r="D629" s="14">
        <v>21.19</v>
      </c>
      <c r="E629" s="15">
        <v>95</v>
      </c>
    </row>
    <row r="630" spans="1:5">
      <c r="A630">
        <v>2021</v>
      </c>
      <c r="B630" t="s">
        <v>2222</v>
      </c>
      <c r="C630" t="s">
        <v>2226</v>
      </c>
      <c r="D630" s="14">
        <v>6.81</v>
      </c>
      <c r="E630" s="15">
        <v>95</v>
      </c>
    </row>
    <row r="631" spans="1:5">
      <c r="A631">
        <v>2021</v>
      </c>
      <c r="B631" t="s">
        <v>2223</v>
      </c>
      <c r="C631" t="s">
        <v>2226</v>
      </c>
      <c r="D631" s="14">
        <v>0.96</v>
      </c>
      <c r="E631" s="15">
        <v>95</v>
      </c>
    </row>
    <row r="632" spans="1:5">
      <c r="A632">
        <v>2022</v>
      </c>
      <c r="B632" t="s">
        <v>2213</v>
      </c>
      <c r="C632" t="s">
        <v>2226</v>
      </c>
      <c r="D632" s="14">
        <v>4.9000000000000004</v>
      </c>
      <c r="E632" s="15">
        <v>96</v>
      </c>
    </row>
    <row r="633" spans="1:5">
      <c r="A633">
        <v>2022</v>
      </c>
      <c r="B633" t="s">
        <v>2215</v>
      </c>
      <c r="C633" t="s">
        <v>2226</v>
      </c>
      <c r="D633" s="14">
        <v>5.87</v>
      </c>
      <c r="E633" s="15">
        <v>96</v>
      </c>
    </row>
    <row r="634" spans="1:5">
      <c r="A634">
        <v>2022</v>
      </c>
      <c r="B634" t="s">
        <v>2216</v>
      </c>
      <c r="C634" t="s">
        <v>2226</v>
      </c>
      <c r="D634" s="14">
        <v>3.7</v>
      </c>
      <c r="E634" s="15">
        <v>96</v>
      </c>
    </row>
    <row r="635" spans="1:5">
      <c r="A635">
        <v>2022</v>
      </c>
      <c r="B635" t="s">
        <v>2217</v>
      </c>
      <c r="C635" t="s">
        <v>2226</v>
      </c>
      <c r="D635" s="14">
        <v>17.54</v>
      </c>
      <c r="E635" s="15">
        <v>96</v>
      </c>
    </row>
    <row r="636" spans="1:5">
      <c r="A636">
        <v>2022</v>
      </c>
      <c r="B636" t="s">
        <v>2218</v>
      </c>
      <c r="C636" t="s">
        <v>2226</v>
      </c>
      <c r="D636" s="14">
        <v>19.82</v>
      </c>
      <c r="E636" s="15">
        <v>96</v>
      </c>
    </row>
    <row r="637" spans="1:5">
      <c r="A637">
        <v>2022</v>
      </c>
      <c r="B637" t="s">
        <v>2219</v>
      </c>
      <c r="C637" t="s">
        <v>2226</v>
      </c>
      <c r="D637" s="14">
        <v>10.050000000000001</v>
      </c>
      <c r="E637" s="15">
        <v>96</v>
      </c>
    </row>
    <row r="638" spans="1:5">
      <c r="A638">
        <v>2022</v>
      </c>
      <c r="B638" t="s">
        <v>2220</v>
      </c>
      <c r="C638" t="s">
        <v>2226</v>
      </c>
      <c r="D638" s="14">
        <v>6.83</v>
      </c>
      <c r="E638" s="15">
        <v>96</v>
      </c>
    </row>
    <row r="639" spans="1:5">
      <c r="A639">
        <v>2022</v>
      </c>
      <c r="B639" t="s">
        <v>2221</v>
      </c>
      <c r="C639" t="s">
        <v>2226</v>
      </c>
      <c r="D639" s="14">
        <v>20.32</v>
      </c>
      <c r="E639" s="15">
        <v>96</v>
      </c>
    </row>
    <row r="640" spans="1:5">
      <c r="A640">
        <v>2022</v>
      </c>
      <c r="B640" t="s">
        <v>2222</v>
      </c>
      <c r="C640" t="s">
        <v>2226</v>
      </c>
      <c r="D640" s="14">
        <v>6.51</v>
      </c>
      <c r="E640" s="15">
        <v>96</v>
      </c>
    </row>
    <row r="641" spans="1:5">
      <c r="A641">
        <v>2022</v>
      </c>
      <c r="B641" t="s">
        <v>2223</v>
      </c>
      <c r="C641" t="s">
        <v>2226</v>
      </c>
      <c r="D641" s="14">
        <v>0.94</v>
      </c>
      <c r="E641" s="15">
        <v>96</v>
      </c>
    </row>
    <row r="642" spans="1:5">
      <c r="A642">
        <v>2023</v>
      </c>
      <c r="B642" t="s">
        <v>2213</v>
      </c>
      <c r="C642" t="s">
        <v>2226</v>
      </c>
      <c r="D642" s="14">
        <v>4.8899999999999997</v>
      </c>
      <c r="E642" s="15">
        <v>97</v>
      </c>
    </row>
    <row r="643" spans="1:5">
      <c r="A643">
        <v>2023</v>
      </c>
      <c r="B643" t="s">
        <v>2215</v>
      </c>
      <c r="C643" t="s">
        <v>2226</v>
      </c>
      <c r="D643" s="14">
        <v>5.79</v>
      </c>
      <c r="E643" s="15">
        <v>97</v>
      </c>
    </row>
    <row r="644" spans="1:5">
      <c r="A644">
        <v>2023</v>
      </c>
      <c r="B644" t="s">
        <v>2216</v>
      </c>
      <c r="C644" t="s">
        <v>2226</v>
      </c>
      <c r="D644" s="14">
        <v>3.71</v>
      </c>
      <c r="E644" s="15">
        <v>97</v>
      </c>
    </row>
    <row r="645" spans="1:5">
      <c r="A645">
        <v>2023</v>
      </c>
      <c r="B645" t="s">
        <v>2217</v>
      </c>
      <c r="C645" t="s">
        <v>2226</v>
      </c>
      <c r="D645" s="14">
        <v>16.690000000000001</v>
      </c>
      <c r="E645" s="15">
        <v>97</v>
      </c>
    </row>
    <row r="646" spans="1:5">
      <c r="A646">
        <v>2023</v>
      </c>
      <c r="B646" t="s">
        <v>2218</v>
      </c>
      <c r="C646" t="s">
        <v>2226</v>
      </c>
      <c r="D646" s="14">
        <v>17.84</v>
      </c>
      <c r="E646" s="15">
        <v>97</v>
      </c>
    </row>
    <row r="647" spans="1:5">
      <c r="A647">
        <v>2023</v>
      </c>
      <c r="B647" t="s">
        <v>2219</v>
      </c>
      <c r="C647" t="s">
        <v>2226</v>
      </c>
      <c r="D647" s="14">
        <v>8.56</v>
      </c>
      <c r="E647" s="15">
        <v>97</v>
      </c>
    </row>
    <row r="648" spans="1:5">
      <c r="A648">
        <v>2023</v>
      </c>
      <c r="B648" t="s">
        <v>2220</v>
      </c>
      <c r="C648" t="s">
        <v>2226</v>
      </c>
      <c r="D648" s="14">
        <v>6.75</v>
      </c>
      <c r="E648" s="15">
        <v>97</v>
      </c>
    </row>
    <row r="649" spans="1:5">
      <c r="A649">
        <v>2023</v>
      </c>
      <c r="B649" t="s">
        <v>2221</v>
      </c>
      <c r="C649" t="s">
        <v>2226</v>
      </c>
      <c r="D649" s="14">
        <v>23.42</v>
      </c>
      <c r="E649" s="15">
        <v>97</v>
      </c>
    </row>
    <row r="650" spans="1:5">
      <c r="A650">
        <v>2023</v>
      </c>
      <c r="B650" t="s">
        <v>2222</v>
      </c>
      <c r="C650" t="s">
        <v>2226</v>
      </c>
      <c r="D650" s="14">
        <v>7.3</v>
      </c>
      <c r="E650" s="15">
        <v>97</v>
      </c>
    </row>
    <row r="651" spans="1:5">
      <c r="A651">
        <v>2023</v>
      </c>
      <c r="B651" t="s">
        <v>2223</v>
      </c>
      <c r="C651" t="s">
        <v>2226</v>
      </c>
      <c r="D651" s="14">
        <v>0.93</v>
      </c>
      <c r="E651" s="15">
        <v>97</v>
      </c>
    </row>
    <row r="652" spans="1:5">
      <c r="A652">
        <v>2024</v>
      </c>
      <c r="B652" t="s">
        <v>2213</v>
      </c>
      <c r="C652" t="s">
        <v>2226</v>
      </c>
      <c r="D652" s="14">
        <v>4.93</v>
      </c>
      <c r="E652" s="15">
        <v>98</v>
      </c>
    </row>
    <row r="653" spans="1:5">
      <c r="A653">
        <v>2024</v>
      </c>
      <c r="B653" t="s">
        <v>2215</v>
      </c>
      <c r="C653" t="s">
        <v>2226</v>
      </c>
      <c r="D653" s="14">
        <v>5.55</v>
      </c>
      <c r="E653" s="15">
        <v>98</v>
      </c>
    </row>
    <row r="654" spans="1:5">
      <c r="A654">
        <v>2024</v>
      </c>
      <c r="B654" t="s">
        <v>2216</v>
      </c>
      <c r="C654" t="s">
        <v>2226</v>
      </c>
      <c r="D654" s="14">
        <v>3.72</v>
      </c>
      <c r="E654" s="15">
        <v>98</v>
      </c>
    </row>
    <row r="655" spans="1:5">
      <c r="A655">
        <v>2024</v>
      </c>
      <c r="B655" t="s">
        <v>2217</v>
      </c>
      <c r="C655" t="s">
        <v>2226</v>
      </c>
      <c r="D655" s="14">
        <v>16.809999999999999</v>
      </c>
      <c r="E655" s="15">
        <v>98</v>
      </c>
    </row>
    <row r="656" spans="1:5">
      <c r="A656">
        <v>2024</v>
      </c>
      <c r="B656" t="s">
        <v>2218</v>
      </c>
      <c r="C656" t="s">
        <v>2226</v>
      </c>
      <c r="D656" s="14">
        <v>19.420000000000002</v>
      </c>
      <c r="E656" s="15">
        <v>98</v>
      </c>
    </row>
    <row r="657" spans="1:5">
      <c r="A657">
        <v>2024</v>
      </c>
      <c r="B657" t="s">
        <v>2219</v>
      </c>
      <c r="C657" t="s">
        <v>2226</v>
      </c>
      <c r="D657" s="14">
        <v>9.73</v>
      </c>
      <c r="E657" s="15">
        <v>98</v>
      </c>
    </row>
    <row r="658" spans="1:5">
      <c r="A658">
        <v>2024</v>
      </c>
      <c r="B658" t="s">
        <v>2220</v>
      </c>
      <c r="C658" t="s">
        <v>2226</v>
      </c>
      <c r="D658" s="14">
        <v>6.93</v>
      </c>
      <c r="E658" s="15">
        <v>98</v>
      </c>
    </row>
    <row r="659" spans="1:5">
      <c r="A659">
        <v>2024</v>
      </c>
      <c r="B659" t="s">
        <v>2221</v>
      </c>
      <c r="C659" t="s">
        <v>2226</v>
      </c>
      <c r="D659" s="14">
        <v>22.14</v>
      </c>
      <c r="E659" s="15">
        <v>98</v>
      </c>
    </row>
    <row r="660" spans="1:5">
      <c r="A660">
        <v>2024</v>
      </c>
      <c r="B660" t="s">
        <v>2222</v>
      </c>
      <c r="C660" t="s">
        <v>2226</v>
      </c>
      <c r="D660" s="14">
        <v>6.77</v>
      </c>
      <c r="E660" s="15">
        <v>98</v>
      </c>
    </row>
    <row r="661" spans="1:5">
      <c r="A661">
        <v>2024</v>
      </c>
      <c r="B661" t="s">
        <v>2223</v>
      </c>
      <c r="C661" t="s">
        <v>2226</v>
      </c>
      <c r="D661" s="14">
        <v>0.98</v>
      </c>
      <c r="E661" s="15">
        <v>98</v>
      </c>
    </row>
    <row r="662" spans="1:5">
      <c r="A662">
        <v>2025</v>
      </c>
      <c r="B662" t="s">
        <v>2213</v>
      </c>
      <c r="C662" t="s">
        <v>2226</v>
      </c>
      <c r="D662" s="14">
        <v>4.74</v>
      </c>
      <c r="E662" s="15">
        <v>99</v>
      </c>
    </row>
    <row r="663" spans="1:5">
      <c r="A663">
        <v>2025</v>
      </c>
      <c r="B663" t="s">
        <v>2215</v>
      </c>
      <c r="C663" t="s">
        <v>2226</v>
      </c>
      <c r="D663" s="14">
        <v>5.63</v>
      </c>
      <c r="E663" s="15">
        <v>99</v>
      </c>
    </row>
    <row r="664" spans="1:5">
      <c r="A664">
        <v>2025</v>
      </c>
      <c r="B664" t="s">
        <v>2216</v>
      </c>
      <c r="C664" t="s">
        <v>2226</v>
      </c>
      <c r="D664" s="14">
        <v>3.73</v>
      </c>
      <c r="E664" s="15">
        <v>99</v>
      </c>
    </row>
    <row r="665" spans="1:5">
      <c r="A665">
        <v>2025</v>
      </c>
      <c r="B665" t="s">
        <v>2217</v>
      </c>
      <c r="C665" t="s">
        <v>2226</v>
      </c>
      <c r="D665" s="14">
        <v>18.29</v>
      </c>
      <c r="E665" s="15">
        <v>99</v>
      </c>
    </row>
    <row r="666" spans="1:5">
      <c r="A666">
        <v>2025</v>
      </c>
      <c r="B666" t="s">
        <v>2218</v>
      </c>
      <c r="C666" t="s">
        <v>2226</v>
      </c>
      <c r="D666" s="14">
        <v>19.53</v>
      </c>
      <c r="E666" s="15">
        <v>99</v>
      </c>
    </row>
    <row r="667" spans="1:5">
      <c r="A667">
        <v>2025</v>
      </c>
      <c r="B667" t="s">
        <v>2219</v>
      </c>
      <c r="C667" t="s">
        <v>2226</v>
      </c>
      <c r="D667" s="14">
        <v>9.19</v>
      </c>
      <c r="E667" s="15">
        <v>99</v>
      </c>
    </row>
    <row r="668" spans="1:5">
      <c r="A668">
        <v>2025</v>
      </c>
      <c r="B668" t="s">
        <v>2220</v>
      </c>
      <c r="C668" t="s">
        <v>2226</v>
      </c>
      <c r="D668" s="14">
        <v>6.91</v>
      </c>
      <c r="E668" s="15">
        <v>99</v>
      </c>
    </row>
    <row r="669" spans="1:5">
      <c r="A669">
        <v>2025</v>
      </c>
      <c r="B669" t="s">
        <v>2221</v>
      </c>
      <c r="C669" t="s">
        <v>2226</v>
      </c>
      <c r="D669" s="14">
        <v>20.72</v>
      </c>
      <c r="E669" s="15">
        <v>99</v>
      </c>
    </row>
    <row r="670" spans="1:5">
      <c r="A670">
        <v>2025</v>
      </c>
      <c r="B670" t="s">
        <v>2222</v>
      </c>
      <c r="C670" t="s">
        <v>2226</v>
      </c>
      <c r="D670" s="14">
        <v>7.41</v>
      </c>
      <c r="E670" s="15">
        <v>99</v>
      </c>
    </row>
    <row r="671" spans="1:5">
      <c r="A671">
        <v>2025</v>
      </c>
      <c r="B671" t="s">
        <v>2223</v>
      </c>
      <c r="C671" t="s">
        <v>2226</v>
      </c>
      <c r="D671" s="14">
        <v>0.97</v>
      </c>
      <c r="E671" s="15">
        <v>99</v>
      </c>
    </row>
    <row r="672" spans="1:5">
      <c r="A672">
        <v>2026</v>
      </c>
      <c r="B672" t="s">
        <v>2213</v>
      </c>
      <c r="C672" t="s">
        <v>2226</v>
      </c>
      <c r="D672" s="14">
        <v>5.14</v>
      </c>
      <c r="E672" s="15">
        <v>100</v>
      </c>
    </row>
    <row r="673" spans="1:5">
      <c r="A673">
        <v>2026</v>
      </c>
      <c r="B673" t="s">
        <v>2215</v>
      </c>
      <c r="C673" t="s">
        <v>2226</v>
      </c>
      <c r="D673" s="14">
        <v>6.27</v>
      </c>
      <c r="E673" s="15">
        <v>100</v>
      </c>
    </row>
    <row r="674" spans="1:5">
      <c r="A674">
        <v>2026</v>
      </c>
      <c r="B674" t="s">
        <v>2216</v>
      </c>
      <c r="C674" t="s">
        <v>2226</v>
      </c>
      <c r="D674" s="14">
        <v>3.85</v>
      </c>
      <c r="E674" s="15">
        <v>100</v>
      </c>
    </row>
    <row r="675" spans="1:5">
      <c r="A675">
        <v>2026</v>
      </c>
      <c r="B675" t="s">
        <v>2217</v>
      </c>
      <c r="C675" t="s">
        <v>2226</v>
      </c>
      <c r="D675" s="14">
        <v>18.05</v>
      </c>
      <c r="E675" s="15">
        <v>100</v>
      </c>
    </row>
    <row r="676" spans="1:5">
      <c r="A676">
        <v>2026</v>
      </c>
      <c r="B676" t="s">
        <v>2218</v>
      </c>
      <c r="C676" t="s">
        <v>2226</v>
      </c>
      <c r="D676" s="14">
        <v>20.45</v>
      </c>
      <c r="E676" s="15">
        <v>100</v>
      </c>
    </row>
    <row r="677" spans="1:5">
      <c r="A677">
        <v>2026</v>
      </c>
      <c r="B677" t="s">
        <v>2219</v>
      </c>
      <c r="C677" t="s">
        <v>2226</v>
      </c>
      <c r="D677" s="14">
        <v>10.050000000000001</v>
      </c>
      <c r="E677" s="15">
        <v>100</v>
      </c>
    </row>
    <row r="678" spans="1:5">
      <c r="A678">
        <v>2026</v>
      </c>
      <c r="B678" t="s">
        <v>2220</v>
      </c>
      <c r="C678" t="s">
        <v>2226</v>
      </c>
      <c r="D678" s="14">
        <v>7.1</v>
      </c>
      <c r="E678" s="15">
        <v>100</v>
      </c>
    </row>
    <row r="679" spans="1:5">
      <c r="A679">
        <v>2026</v>
      </c>
      <c r="B679" t="s">
        <v>2221</v>
      </c>
      <c r="C679" t="s">
        <v>2226</v>
      </c>
      <c r="D679" s="14">
        <v>20.86</v>
      </c>
      <c r="E679" s="15">
        <v>100</v>
      </c>
    </row>
    <row r="680" spans="1:5">
      <c r="A680">
        <v>2026</v>
      </c>
      <c r="B680" t="s">
        <v>2222</v>
      </c>
      <c r="C680" t="s">
        <v>2226</v>
      </c>
      <c r="D680" s="14">
        <v>7.16</v>
      </c>
      <c r="E680" s="15">
        <v>100</v>
      </c>
    </row>
    <row r="681" spans="1:5">
      <c r="A681">
        <v>2026</v>
      </c>
      <c r="B681" t="s">
        <v>2223</v>
      </c>
      <c r="C681" t="s">
        <v>2226</v>
      </c>
      <c r="D681" s="14">
        <v>0.98</v>
      </c>
      <c r="E681" s="15">
        <v>100</v>
      </c>
    </row>
    <row r="682" spans="1:5">
      <c r="A682">
        <v>2010</v>
      </c>
      <c r="B682" t="s">
        <v>2213</v>
      </c>
      <c r="C682" t="s">
        <v>2227</v>
      </c>
      <c r="D682" s="14">
        <v>11.15</v>
      </c>
      <c r="E682" s="15">
        <v>220</v>
      </c>
    </row>
    <row r="683" spans="1:5">
      <c r="A683">
        <v>2010</v>
      </c>
      <c r="B683" t="s">
        <v>2215</v>
      </c>
      <c r="C683" t="s">
        <v>2227</v>
      </c>
      <c r="D683" s="14">
        <v>13.69</v>
      </c>
      <c r="E683" s="15">
        <v>220</v>
      </c>
    </row>
    <row r="684" spans="1:5">
      <c r="A684">
        <v>2010</v>
      </c>
      <c r="B684" t="s">
        <v>2216</v>
      </c>
      <c r="C684" t="s">
        <v>2227</v>
      </c>
      <c r="D684" s="14">
        <v>9.0399999999999991</v>
      </c>
      <c r="E684" s="15">
        <v>220</v>
      </c>
    </row>
    <row r="685" spans="1:5">
      <c r="A685">
        <v>2010</v>
      </c>
      <c r="B685" t="s">
        <v>2217</v>
      </c>
      <c r="C685" t="s">
        <v>2227</v>
      </c>
      <c r="D685" s="14">
        <v>40.159999999999997</v>
      </c>
      <c r="E685" s="15">
        <v>220</v>
      </c>
    </row>
    <row r="686" spans="1:5">
      <c r="A686">
        <v>2010</v>
      </c>
      <c r="B686" t="s">
        <v>2218</v>
      </c>
      <c r="C686" t="s">
        <v>2227</v>
      </c>
      <c r="D686" s="14">
        <v>45.14</v>
      </c>
      <c r="E686" s="15">
        <v>220</v>
      </c>
    </row>
    <row r="687" spans="1:5">
      <c r="A687">
        <v>2010</v>
      </c>
      <c r="B687" t="s">
        <v>2219</v>
      </c>
      <c r="C687" t="s">
        <v>2227</v>
      </c>
      <c r="D687" s="14">
        <v>22.61</v>
      </c>
      <c r="E687" s="15">
        <v>220</v>
      </c>
    </row>
    <row r="688" spans="1:5">
      <c r="A688">
        <v>2010</v>
      </c>
      <c r="B688" t="s">
        <v>2220</v>
      </c>
      <c r="C688" t="s">
        <v>2227</v>
      </c>
      <c r="D688" s="14">
        <v>16.350000000000001</v>
      </c>
      <c r="E688" s="15">
        <v>220</v>
      </c>
    </row>
    <row r="689" spans="1:5">
      <c r="A689">
        <v>2010</v>
      </c>
      <c r="B689" t="s">
        <v>2221</v>
      </c>
      <c r="C689" t="s">
        <v>2227</v>
      </c>
      <c r="D689" s="14">
        <v>48.33</v>
      </c>
      <c r="E689" s="15">
        <v>220</v>
      </c>
    </row>
    <row r="690" spans="1:5">
      <c r="A690">
        <v>2010</v>
      </c>
      <c r="B690" t="s">
        <v>2222</v>
      </c>
      <c r="C690" t="s">
        <v>2227</v>
      </c>
      <c r="D690" s="14">
        <v>15.5</v>
      </c>
      <c r="E690" s="15">
        <v>220</v>
      </c>
    </row>
    <row r="691" spans="1:5">
      <c r="A691">
        <v>2010</v>
      </c>
      <c r="B691" t="s">
        <v>2223</v>
      </c>
      <c r="C691" t="s">
        <v>2227</v>
      </c>
      <c r="D691" s="14">
        <v>2.2799999999999998</v>
      </c>
      <c r="E691" s="15">
        <v>220</v>
      </c>
    </row>
    <row r="692" spans="1:5">
      <c r="A692">
        <v>2011</v>
      </c>
      <c r="B692" t="s">
        <v>2213</v>
      </c>
      <c r="C692" t="s">
        <v>2227</v>
      </c>
      <c r="D692" s="14">
        <v>10.98</v>
      </c>
      <c r="E692" s="15">
        <v>224</v>
      </c>
    </row>
    <row r="693" spans="1:5">
      <c r="A693">
        <v>2011</v>
      </c>
      <c r="B693" t="s">
        <v>2215</v>
      </c>
      <c r="C693" t="s">
        <v>2227</v>
      </c>
      <c r="D693" s="14">
        <v>12.74</v>
      </c>
      <c r="E693" s="15">
        <v>224</v>
      </c>
    </row>
    <row r="694" spans="1:5">
      <c r="A694">
        <v>2011</v>
      </c>
      <c r="B694" t="s">
        <v>2216</v>
      </c>
      <c r="C694" t="s">
        <v>2227</v>
      </c>
      <c r="D694" s="14">
        <v>9.14</v>
      </c>
      <c r="E694" s="15">
        <v>224</v>
      </c>
    </row>
    <row r="695" spans="1:5">
      <c r="A695">
        <v>2011</v>
      </c>
      <c r="B695" t="s">
        <v>2217</v>
      </c>
      <c r="C695" t="s">
        <v>2227</v>
      </c>
      <c r="D695" s="14">
        <v>39.99</v>
      </c>
      <c r="E695" s="15">
        <v>224</v>
      </c>
    </row>
    <row r="696" spans="1:5">
      <c r="A696">
        <v>2011</v>
      </c>
      <c r="B696" t="s">
        <v>2218</v>
      </c>
      <c r="C696" t="s">
        <v>2227</v>
      </c>
      <c r="D696" s="14">
        <v>42.69</v>
      </c>
      <c r="E696" s="15">
        <v>224</v>
      </c>
    </row>
    <row r="697" spans="1:5">
      <c r="A697">
        <v>2011</v>
      </c>
      <c r="B697" t="s">
        <v>2219</v>
      </c>
      <c r="C697" t="s">
        <v>2227</v>
      </c>
      <c r="D697" s="14">
        <v>22.85</v>
      </c>
      <c r="E697" s="15">
        <v>224</v>
      </c>
    </row>
    <row r="698" spans="1:5">
      <c r="A698">
        <v>2011</v>
      </c>
      <c r="B698" t="s">
        <v>2220</v>
      </c>
      <c r="C698" t="s">
        <v>2227</v>
      </c>
      <c r="D698" s="14">
        <v>16.600000000000001</v>
      </c>
      <c r="E698" s="15">
        <v>224</v>
      </c>
    </row>
    <row r="699" spans="1:5">
      <c r="A699">
        <v>2011</v>
      </c>
      <c r="B699" t="s">
        <v>2221</v>
      </c>
      <c r="C699" t="s">
        <v>2227</v>
      </c>
      <c r="D699" s="14">
        <v>46.17</v>
      </c>
      <c r="E699" s="15">
        <v>224</v>
      </c>
    </row>
    <row r="700" spans="1:5">
      <c r="A700">
        <v>2011</v>
      </c>
      <c r="B700" t="s">
        <v>2222</v>
      </c>
      <c r="C700" t="s">
        <v>2227</v>
      </c>
      <c r="D700" s="14">
        <v>16.329999999999998</v>
      </c>
      <c r="E700" s="15">
        <v>224</v>
      </c>
    </row>
    <row r="701" spans="1:5">
      <c r="A701">
        <v>2011</v>
      </c>
      <c r="B701" t="s">
        <v>2223</v>
      </c>
      <c r="C701" t="s">
        <v>2227</v>
      </c>
      <c r="D701" s="14">
        <v>2.02</v>
      </c>
      <c r="E701" s="15">
        <v>224</v>
      </c>
    </row>
    <row r="702" spans="1:5">
      <c r="A702">
        <v>2012</v>
      </c>
      <c r="B702" t="s">
        <v>2213</v>
      </c>
      <c r="C702" t="s">
        <v>2227</v>
      </c>
      <c r="D702" s="14">
        <v>11.22</v>
      </c>
      <c r="E702" s="15">
        <v>228</v>
      </c>
    </row>
    <row r="703" spans="1:5">
      <c r="A703">
        <v>2012</v>
      </c>
      <c r="B703" t="s">
        <v>2215</v>
      </c>
      <c r="C703" t="s">
        <v>2227</v>
      </c>
      <c r="D703" s="14">
        <v>14.73</v>
      </c>
      <c r="E703" s="15">
        <v>228</v>
      </c>
    </row>
    <row r="704" spans="1:5">
      <c r="A704">
        <v>2012</v>
      </c>
      <c r="B704" t="s">
        <v>2216</v>
      </c>
      <c r="C704" t="s">
        <v>2227</v>
      </c>
      <c r="D704" s="14">
        <v>9</v>
      </c>
      <c r="E704" s="15">
        <v>228</v>
      </c>
    </row>
    <row r="705" spans="1:5">
      <c r="A705">
        <v>2012</v>
      </c>
      <c r="B705" t="s">
        <v>2217</v>
      </c>
      <c r="C705" t="s">
        <v>2227</v>
      </c>
      <c r="D705" s="14">
        <v>41.19</v>
      </c>
      <c r="E705" s="15">
        <v>228</v>
      </c>
    </row>
    <row r="706" spans="1:5">
      <c r="A706">
        <v>2012</v>
      </c>
      <c r="B706" t="s">
        <v>2218</v>
      </c>
      <c r="C706" t="s">
        <v>2227</v>
      </c>
      <c r="D706" s="14">
        <v>47.01</v>
      </c>
      <c r="E706" s="15">
        <v>228</v>
      </c>
    </row>
    <row r="707" spans="1:5">
      <c r="A707">
        <v>2012</v>
      </c>
      <c r="B707" t="s">
        <v>2219</v>
      </c>
      <c r="C707" t="s">
        <v>2227</v>
      </c>
      <c r="D707" s="14">
        <v>21.29</v>
      </c>
      <c r="E707" s="15">
        <v>228</v>
      </c>
    </row>
    <row r="708" spans="1:5">
      <c r="A708">
        <v>2012</v>
      </c>
      <c r="B708" t="s">
        <v>2220</v>
      </c>
      <c r="C708" t="s">
        <v>2227</v>
      </c>
      <c r="D708" s="14">
        <v>16.010000000000002</v>
      </c>
      <c r="E708" s="15">
        <v>228</v>
      </c>
    </row>
    <row r="709" spans="1:5">
      <c r="A709">
        <v>2012</v>
      </c>
      <c r="B709" t="s">
        <v>2221</v>
      </c>
      <c r="C709" t="s">
        <v>2227</v>
      </c>
      <c r="D709" s="14">
        <v>50.29</v>
      </c>
      <c r="E709" s="15">
        <v>228</v>
      </c>
    </row>
    <row r="710" spans="1:5">
      <c r="A710">
        <v>2012</v>
      </c>
      <c r="B710" t="s">
        <v>2222</v>
      </c>
      <c r="C710" t="s">
        <v>2227</v>
      </c>
      <c r="D710" s="14">
        <v>17.190000000000001</v>
      </c>
      <c r="E710" s="15">
        <v>228</v>
      </c>
    </row>
    <row r="711" spans="1:5">
      <c r="A711">
        <v>2012</v>
      </c>
      <c r="B711" t="s">
        <v>2223</v>
      </c>
      <c r="C711" t="s">
        <v>2227</v>
      </c>
      <c r="D711" s="14">
        <v>2.17</v>
      </c>
      <c r="E711" s="15">
        <v>228</v>
      </c>
    </row>
    <row r="712" spans="1:5">
      <c r="A712">
        <v>2013</v>
      </c>
      <c r="B712" t="s">
        <v>2213</v>
      </c>
      <c r="C712" t="s">
        <v>2227</v>
      </c>
      <c r="D712" s="14">
        <v>11.42</v>
      </c>
      <c r="E712" s="15">
        <v>232</v>
      </c>
    </row>
    <row r="713" spans="1:5">
      <c r="A713">
        <v>2013</v>
      </c>
      <c r="B713" t="s">
        <v>2215</v>
      </c>
      <c r="C713" t="s">
        <v>2227</v>
      </c>
      <c r="D713" s="14">
        <v>13.41</v>
      </c>
      <c r="E713" s="15">
        <v>232</v>
      </c>
    </row>
    <row r="714" spans="1:5">
      <c r="A714">
        <v>2013</v>
      </c>
      <c r="B714" t="s">
        <v>2216</v>
      </c>
      <c r="C714" t="s">
        <v>2227</v>
      </c>
      <c r="D714" s="14">
        <v>8.9</v>
      </c>
      <c r="E714" s="15">
        <v>232</v>
      </c>
    </row>
    <row r="715" spans="1:5">
      <c r="A715">
        <v>2013</v>
      </c>
      <c r="B715" t="s">
        <v>2217</v>
      </c>
      <c r="C715" t="s">
        <v>2227</v>
      </c>
      <c r="D715" s="14">
        <v>43.69</v>
      </c>
      <c r="E715" s="15">
        <v>232</v>
      </c>
    </row>
    <row r="716" spans="1:5">
      <c r="A716">
        <v>2013</v>
      </c>
      <c r="B716" t="s">
        <v>2218</v>
      </c>
      <c r="C716" t="s">
        <v>2227</v>
      </c>
      <c r="D716" s="14">
        <v>46.45</v>
      </c>
      <c r="E716" s="15">
        <v>232</v>
      </c>
    </row>
    <row r="717" spans="1:5">
      <c r="A717">
        <v>2013</v>
      </c>
      <c r="B717" t="s">
        <v>2219</v>
      </c>
      <c r="C717" t="s">
        <v>2227</v>
      </c>
      <c r="D717" s="14">
        <v>22.69</v>
      </c>
      <c r="E717" s="15">
        <v>232</v>
      </c>
    </row>
    <row r="718" spans="1:5">
      <c r="A718">
        <v>2013</v>
      </c>
      <c r="B718" t="s">
        <v>2220</v>
      </c>
      <c r="C718" t="s">
        <v>2227</v>
      </c>
      <c r="D718" s="14">
        <v>15.91</v>
      </c>
      <c r="E718" s="15">
        <v>232</v>
      </c>
    </row>
    <row r="719" spans="1:5">
      <c r="A719">
        <v>2013</v>
      </c>
      <c r="B719" t="s">
        <v>2221</v>
      </c>
      <c r="C719" t="s">
        <v>2227</v>
      </c>
      <c r="D719" s="14">
        <v>49.9</v>
      </c>
      <c r="E719" s="15">
        <v>232</v>
      </c>
    </row>
    <row r="720" spans="1:5">
      <c r="A720">
        <v>2013</v>
      </c>
      <c r="B720" t="s">
        <v>2222</v>
      </c>
      <c r="C720" t="s">
        <v>2227</v>
      </c>
      <c r="D720" s="14">
        <v>15.94</v>
      </c>
      <c r="E720" s="15">
        <v>232</v>
      </c>
    </row>
    <row r="721" spans="1:5">
      <c r="A721">
        <v>2013</v>
      </c>
      <c r="B721" t="s">
        <v>2223</v>
      </c>
      <c r="C721" t="s">
        <v>2227</v>
      </c>
      <c r="D721" s="14">
        <v>2.21</v>
      </c>
      <c r="E721" s="15">
        <v>232</v>
      </c>
    </row>
    <row r="722" spans="1:5">
      <c r="A722">
        <v>2014</v>
      </c>
      <c r="B722" t="s">
        <v>2213</v>
      </c>
      <c r="C722" t="s">
        <v>2227</v>
      </c>
      <c r="D722" s="14">
        <v>11.68</v>
      </c>
      <c r="E722" s="15">
        <v>236</v>
      </c>
    </row>
    <row r="723" spans="1:5">
      <c r="A723">
        <v>2014</v>
      </c>
      <c r="B723" t="s">
        <v>2215</v>
      </c>
      <c r="C723" t="s">
        <v>2227</v>
      </c>
      <c r="D723" s="14">
        <v>13.96</v>
      </c>
      <c r="E723" s="15">
        <v>236</v>
      </c>
    </row>
    <row r="724" spans="1:5">
      <c r="A724">
        <v>2014</v>
      </c>
      <c r="B724" t="s">
        <v>2216</v>
      </c>
      <c r="C724" t="s">
        <v>2227</v>
      </c>
      <c r="D724" s="14">
        <v>9.16</v>
      </c>
      <c r="E724" s="15">
        <v>236</v>
      </c>
    </row>
    <row r="725" spans="1:5">
      <c r="A725">
        <v>2014</v>
      </c>
      <c r="B725" t="s">
        <v>2217</v>
      </c>
      <c r="C725" t="s">
        <v>2227</v>
      </c>
      <c r="D725" s="14">
        <v>42.74</v>
      </c>
      <c r="E725" s="15">
        <v>236</v>
      </c>
    </row>
    <row r="726" spans="1:5">
      <c r="A726">
        <v>2014</v>
      </c>
      <c r="B726" t="s">
        <v>2218</v>
      </c>
      <c r="C726" t="s">
        <v>2227</v>
      </c>
      <c r="D726" s="14">
        <v>47.66</v>
      </c>
      <c r="E726" s="15">
        <v>236</v>
      </c>
    </row>
    <row r="727" spans="1:5">
      <c r="A727">
        <v>2014</v>
      </c>
      <c r="B727" t="s">
        <v>2219</v>
      </c>
      <c r="C727" t="s">
        <v>2227</v>
      </c>
      <c r="D727" s="14">
        <v>23.08</v>
      </c>
      <c r="E727" s="15">
        <v>236</v>
      </c>
    </row>
    <row r="728" spans="1:5">
      <c r="A728">
        <v>2014</v>
      </c>
      <c r="B728" t="s">
        <v>2220</v>
      </c>
      <c r="C728" t="s">
        <v>2227</v>
      </c>
      <c r="D728" s="14">
        <v>16.43</v>
      </c>
      <c r="E728" s="15">
        <v>236</v>
      </c>
    </row>
    <row r="729" spans="1:5">
      <c r="A729">
        <v>2014</v>
      </c>
      <c r="B729" t="s">
        <v>2221</v>
      </c>
      <c r="C729" t="s">
        <v>2227</v>
      </c>
      <c r="D729" s="14">
        <v>56.6</v>
      </c>
      <c r="E729" s="15">
        <v>236</v>
      </c>
    </row>
    <row r="730" spans="1:5">
      <c r="A730">
        <v>2014</v>
      </c>
      <c r="B730" t="s">
        <v>2222</v>
      </c>
      <c r="C730" t="s">
        <v>2227</v>
      </c>
      <c r="D730" s="14">
        <v>17.98</v>
      </c>
      <c r="E730" s="15">
        <v>236</v>
      </c>
    </row>
    <row r="731" spans="1:5">
      <c r="A731">
        <v>2014</v>
      </c>
      <c r="B731" t="s">
        <v>2223</v>
      </c>
      <c r="C731" t="s">
        <v>2227</v>
      </c>
      <c r="D731" s="14">
        <v>2.2599999999999998</v>
      </c>
      <c r="E731" s="15">
        <v>236</v>
      </c>
    </row>
    <row r="732" spans="1:5">
      <c r="A732">
        <v>2015</v>
      </c>
      <c r="B732" t="s">
        <v>2213</v>
      </c>
      <c r="C732" t="s">
        <v>2227</v>
      </c>
      <c r="D732" s="14">
        <v>11.57</v>
      </c>
      <c r="E732" s="15">
        <v>240</v>
      </c>
    </row>
    <row r="733" spans="1:5">
      <c r="A733">
        <v>2015</v>
      </c>
      <c r="B733" t="s">
        <v>2215</v>
      </c>
      <c r="C733" t="s">
        <v>2227</v>
      </c>
      <c r="D733" s="14">
        <v>13.8</v>
      </c>
      <c r="E733" s="15">
        <v>240</v>
      </c>
    </row>
    <row r="734" spans="1:5">
      <c r="A734">
        <v>2015</v>
      </c>
      <c r="B734" t="s">
        <v>2216</v>
      </c>
      <c r="C734" t="s">
        <v>2227</v>
      </c>
      <c r="D734" s="14">
        <v>10.01</v>
      </c>
      <c r="E734" s="15">
        <v>240</v>
      </c>
    </row>
    <row r="735" spans="1:5">
      <c r="A735">
        <v>2015</v>
      </c>
      <c r="B735" t="s">
        <v>2217</v>
      </c>
      <c r="C735" t="s">
        <v>2227</v>
      </c>
      <c r="D735" s="14">
        <v>42.52</v>
      </c>
      <c r="E735" s="15">
        <v>240</v>
      </c>
    </row>
    <row r="736" spans="1:5">
      <c r="A736">
        <v>2015</v>
      </c>
      <c r="B736" t="s">
        <v>2218</v>
      </c>
      <c r="C736" t="s">
        <v>2227</v>
      </c>
      <c r="D736" s="14">
        <v>48.46</v>
      </c>
      <c r="E736" s="15">
        <v>240</v>
      </c>
    </row>
    <row r="737" spans="1:5">
      <c r="A737">
        <v>2015</v>
      </c>
      <c r="B737" t="s">
        <v>2219</v>
      </c>
      <c r="C737" t="s">
        <v>2227</v>
      </c>
      <c r="D737" s="14">
        <v>26</v>
      </c>
      <c r="E737" s="15">
        <v>240</v>
      </c>
    </row>
    <row r="738" spans="1:5">
      <c r="A738">
        <v>2015</v>
      </c>
      <c r="B738" t="s">
        <v>2220</v>
      </c>
      <c r="C738" t="s">
        <v>2227</v>
      </c>
      <c r="D738" s="14">
        <v>16.79</v>
      </c>
      <c r="E738" s="15">
        <v>240</v>
      </c>
    </row>
    <row r="739" spans="1:5">
      <c r="A739">
        <v>2015</v>
      </c>
      <c r="B739" t="s">
        <v>2221</v>
      </c>
      <c r="C739" t="s">
        <v>2227</v>
      </c>
      <c r="D739" s="14">
        <v>54.31</v>
      </c>
      <c r="E739" s="15">
        <v>240</v>
      </c>
    </row>
    <row r="740" spans="1:5">
      <c r="A740">
        <v>2015</v>
      </c>
      <c r="B740" t="s">
        <v>2222</v>
      </c>
      <c r="C740" t="s">
        <v>2227</v>
      </c>
      <c r="D740" s="14">
        <v>17.149999999999999</v>
      </c>
      <c r="E740" s="15">
        <v>240</v>
      </c>
    </row>
    <row r="741" spans="1:5">
      <c r="A741">
        <v>2015</v>
      </c>
      <c r="B741" t="s">
        <v>2223</v>
      </c>
      <c r="C741" t="s">
        <v>2227</v>
      </c>
      <c r="D741" s="14">
        <v>2.34</v>
      </c>
      <c r="E741" s="15">
        <v>240</v>
      </c>
    </row>
    <row r="742" spans="1:5">
      <c r="A742">
        <v>2016</v>
      </c>
      <c r="B742" t="s">
        <v>2213</v>
      </c>
      <c r="C742" t="s">
        <v>2227</v>
      </c>
      <c r="D742" s="14">
        <v>12.78</v>
      </c>
      <c r="E742" s="15">
        <v>245</v>
      </c>
    </row>
    <row r="743" spans="1:5">
      <c r="A743">
        <v>2016</v>
      </c>
      <c r="B743" t="s">
        <v>2215</v>
      </c>
      <c r="C743" t="s">
        <v>2227</v>
      </c>
      <c r="D743" s="14">
        <v>14.21</v>
      </c>
      <c r="E743" s="15">
        <v>245</v>
      </c>
    </row>
    <row r="744" spans="1:5">
      <c r="A744">
        <v>2016</v>
      </c>
      <c r="B744" t="s">
        <v>2216</v>
      </c>
      <c r="C744" t="s">
        <v>2227</v>
      </c>
      <c r="D744" s="14">
        <v>10.34</v>
      </c>
      <c r="E744" s="15">
        <v>245</v>
      </c>
    </row>
    <row r="745" spans="1:5">
      <c r="A745">
        <v>2016</v>
      </c>
      <c r="B745" t="s">
        <v>2217</v>
      </c>
      <c r="C745" t="s">
        <v>2227</v>
      </c>
      <c r="D745" s="14">
        <v>43.08</v>
      </c>
      <c r="E745" s="15">
        <v>245</v>
      </c>
    </row>
    <row r="746" spans="1:5">
      <c r="A746">
        <v>2016</v>
      </c>
      <c r="B746" t="s">
        <v>2218</v>
      </c>
      <c r="C746" t="s">
        <v>2227</v>
      </c>
      <c r="D746" s="14">
        <v>48.07</v>
      </c>
      <c r="E746" s="15">
        <v>245</v>
      </c>
    </row>
    <row r="747" spans="1:5">
      <c r="A747">
        <v>2016</v>
      </c>
      <c r="B747" t="s">
        <v>2219</v>
      </c>
      <c r="C747" t="s">
        <v>2227</v>
      </c>
      <c r="D747" s="14">
        <v>23.46</v>
      </c>
      <c r="E747" s="15">
        <v>245</v>
      </c>
    </row>
    <row r="748" spans="1:5">
      <c r="A748">
        <v>2016</v>
      </c>
      <c r="B748" t="s">
        <v>2220</v>
      </c>
      <c r="C748" t="s">
        <v>2227</v>
      </c>
      <c r="D748" s="14">
        <v>16.53</v>
      </c>
      <c r="E748" s="15">
        <v>245</v>
      </c>
    </row>
    <row r="749" spans="1:5">
      <c r="A749">
        <v>2016</v>
      </c>
      <c r="B749" t="s">
        <v>2221</v>
      </c>
      <c r="C749" t="s">
        <v>2227</v>
      </c>
      <c r="D749" s="14">
        <v>52.99</v>
      </c>
      <c r="E749" s="15">
        <v>245</v>
      </c>
    </row>
    <row r="750" spans="1:5">
      <c r="A750">
        <v>2016</v>
      </c>
      <c r="B750" t="s">
        <v>2222</v>
      </c>
      <c r="C750" t="s">
        <v>2227</v>
      </c>
      <c r="D750" s="14">
        <v>15.56</v>
      </c>
      <c r="E750" s="15">
        <v>245</v>
      </c>
    </row>
    <row r="751" spans="1:5">
      <c r="A751">
        <v>2016</v>
      </c>
      <c r="B751" t="s">
        <v>2223</v>
      </c>
      <c r="C751" t="s">
        <v>2227</v>
      </c>
      <c r="D751" s="14">
        <v>2.4300000000000002</v>
      </c>
      <c r="E751" s="15">
        <v>245</v>
      </c>
    </row>
    <row r="752" spans="1:5">
      <c r="A752">
        <v>2017</v>
      </c>
      <c r="B752" t="s">
        <v>2213</v>
      </c>
      <c r="C752" t="s">
        <v>2227</v>
      </c>
      <c r="D752" s="14">
        <v>12.25</v>
      </c>
      <c r="E752" s="15">
        <v>250</v>
      </c>
    </row>
    <row r="753" spans="1:5">
      <c r="A753">
        <v>2017</v>
      </c>
      <c r="B753" t="s">
        <v>2215</v>
      </c>
      <c r="C753" t="s">
        <v>2227</v>
      </c>
      <c r="D753" s="14">
        <v>15.48</v>
      </c>
      <c r="E753" s="15">
        <v>250</v>
      </c>
    </row>
    <row r="754" spans="1:5">
      <c r="A754">
        <v>2017</v>
      </c>
      <c r="B754" t="s">
        <v>2216</v>
      </c>
      <c r="C754" t="s">
        <v>2227</v>
      </c>
      <c r="D754" s="14">
        <v>10.17</v>
      </c>
      <c r="E754" s="15">
        <v>250</v>
      </c>
    </row>
    <row r="755" spans="1:5">
      <c r="A755">
        <v>2017</v>
      </c>
      <c r="B755" t="s">
        <v>2217</v>
      </c>
      <c r="C755" t="s">
        <v>2227</v>
      </c>
      <c r="D755" s="14">
        <v>43.74</v>
      </c>
      <c r="E755" s="15">
        <v>250</v>
      </c>
    </row>
    <row r="756" spans="1:5">
      <c r="A756">
        <v>2017</v>
      </c>
      <c r="B756" t="s">
        <v>2218</v>
      </c>
      <c r="C756" t="s">
        <v>2227</v>
      </c>
      <c r="D756" s="14">
        <v>49.09</v>
      </c>
      <c r="E756" s="15">
        <v>250</v>
      </c>
    </row>
    <row r="757" spans="1:5">
      <c r="A757">
        <v>2017</v>
      </c>
      <c r="B757" t="s">
        <v>2219</v>
      </c>
      <c r="C757" t="s">
        <v>2227</v>
      </c>
      <c r="D757" s="14">
        <v>24.77</v>
      </c>
      <c r="E757" s="15">
        <v>250</v>
      </c>
    </row>
    <row r="758" spans="1:5">
      <c r="A758">
        <v>2017</v>
      </c>
      <c r="B758" t="s">
        <v>2220</v>
      </c>
      <c r="C758" t="s">
        <v>2227</v>
      </c>
      <c r="D758" s="14">
        <v>18.57</v>
      </c>
      <c r="E758" s="15">
        <v>250</v>
      </c>
    </row>
    <row r="759" spans="1:5">
      <c r="A759">
        <v>2017</v>
      </c>
      <c r="B759" t="s">
        <v>2221</v>
      </c>
      <c r="C759" t="s">
        <v>2227</v>
      </c>
      <c r="D759" s="14">
        <v>53.22</v>
      </c>
      <c r="E759" s="15">
        <v>250</v>
      </c>
    </row>
    <row r="760" spans="1:5">
      <c r="A760">
        <v>2017</v>
      </c>
      <c r="B760" t="s">
        <v>2222</v>
      </c>
      <c r="C760" t="s">
        <v>2227</v>
      </c>
      <c r="D760" s="14">
        <v>17</v>
      </c>
      <c r="E760" s="15">
        <v>250</v>
      </c>
    </row>
    <row r="761" spans="1:5">
      <c r="A761">
        <v>2017</v>
      </c>
      <c r="B761" t="s">
        <v>2223</v>
      </c>
      <c r="C761" t="s">
        <v>2227</v>
      </c>
      <c r="D761" s="14">
        <v>2.39</v>
      </c>
      <c r="E761" s="15">
        <v>250</v>
      </c>
    </row>
    <row r="762" spans="1:5">
      <c r="A762">
        <v>2018</v>
      </c>
      <c r="B762" t="s">
        <v>2213</v>
      </c>
      <c r="C762" t="s">
        <v>2227</v>
      </c>
      <c r="D762" s="14">
        <v>12.02</v>
      </c>
      <c r="E762" s="15">
        <v>255</v>
      </c>
    </row>
    <row r="763" spans="1:5">
      <c r="A763">
        <v>2018</v>
      </c>
      <c r="B763" t="s">
        <v>2215</v>
      </c>
      <c r="C763" t="s">
        <v>2227</v>
      </c>
      <c r="D763" s="14">
        <v>15.49</v>
      </c>
      <c r="E763" s="15">
        <v>255</v>
      </c>
    </row>
    <row r="764" spans="1:5">
      <c r="A764">
        <v>2018</v>
      </c>
      <c r="B764" t="s">
        <v>2216</v>
      </c>
      <c r="C764" t="s">
        <v>2227</v>
      </c>
      <c r="D764" s="14">
        <v>10.28</v>
      </c>
      <c r="E764" s="15">
        <v>255</v>
      </c>
    </row>
    <row r="765" spans="1:5">
      <c r="A765">
        <v>2018</v>
      </c>
      <c r="B765" t="s">
        <v>2217</v>
      </c>
      <c r="C765" t="s">
        <v>2227</v>
      </c>
      <c r="D765" s="14">
        <v>48.32</v>
      </c>
      <c r="E765" s="15">
        <v>255</v>
      </c>
    </row>
    <row r="766" spans="1:5">
      <c r="A766">
        <v>2018</v>
      </c>
      <c r="B766" t="s">
        <v>2218</v>
      </c>
      <c r="C766" t="s">
        <v>2227</v>
      </c>
      <c r="D766" s="14">
        <v>53.17</v>
      </c>
      <c r="E766" s="15">
        <v>255</v>
      </c>
    </row>
    <row r="767" spans="1:5">
      <c r="A767">
        <v>2018</v>
      </c>
      <c r="B767" t="s">
        <v>2219</v>
      </c>
      <c r="C767" t="s">
        <v>2227</v>
      </c>
      <c r="D767" s="14">
        <v>28.07</v>
      </c>
      <c r="E767" s="15">
        <v>255</v>
      </c>
    </row>
    <row r="768" spans="1:5">
      <c r="A768">
        <v>2018</v>
      </c>
      <c r="B768" t="s">
        <v>2220</v>
      </c>
      <c r="C768" t="s">
        <v>2227</v>
      </c>
      <c r="D768" s="14">
        <v>17.8</v>
      </c>
      <c r="E768" s="15">
        <v>255</v>
      </c>
    </row>
    <row r="769" spans="1:5">
      <c r="A769">
        <v>2018</v>
      </c>
      <c r="B769" t="s">
        <v>2221</v>
      </c>
      <c r="C769" t="s">
        <v>2227</v>
      </c>
      <c r="D769" s="14">
        <v>55.52</v>
      </c>
      <c r="E769" s="15">
        <v>255</v>
      </c>
    </row>
    <row r="770" spans="1:5">
      <c r="A770">
        <v>2018</v>
      </c>
      <c r="B770" t="s">
        <v>2222</v>
      </c>
      <c r="C770" t="s">
        <v>2227</v>
      </c>
      <c r="D770" s="14">
        <v>16.95</v>
      </c>
      <c r="E770" s="15">
        <v>255</v>
      </c>
    </row>
    <row r="771" spans="1:5">
      <c r="A771">
        <v>2018</v>
      </c>
      <c r="B771" t="s">
        <v>2223</v>
      </c>
      <c r="C771" t="s">
        <v>2227</v>
      </c>
      <c r="D771" s="14">
        <v>2.62</v>
      </c>
      <c r="E771" s="15">
        <v>255</v>
      </c>
    </row>
    <row r="772" spans="1:5">
      <c r="A772">
        <v>2019</v>
      </c>
      <c r="B772" t="s">
        <v>2213</v>
      </c>
      <c r="C772" t="s">
        <v>2227</v>
      </c>
      <c r="D772" s="14">
        <v>13.06</v>
      </c>
      <c r="E772" s="15">
        <v>260</v>
      </c>
    </row>
    <row r="773" spans="1:5">
      <c r="A773">
        <v>2019</v>
      </c>
      <c r="B773" t="s">
        <v>2215</v>
      </c>
      <c r="C773" t="s">
        <v>2227</v>
      </c>
      <c r="D773" s="14">
        <v>16.010000000000002</v>
      </c>
      <c r="E773" s="15">
        <v>260</v>
      </c>
    </row>
    <row r="774" spans="1:5">
      <c r="A774">
        <v>2019</v>
      </c>
      <c r="B774" t="s">
        <v>2216</v>
      </c>
      <c r="C774" t="s">
        <v>2227</v>
      </c>
      <c r="D774" s="14">
        <v>9.94</v>
      </c>
      <c r="E774" s="15">
        <v>260</v>
      </c>
    </row>
    <row r="775" spans="1:5">
      <c r="A775">
        <v>2019</v>
      </c>
      <c r="B775" t="s">
        <v>2217</v>
      </c>
      <c r="C775" t="s">
        <v>2227</v>
      </c>
      <c r="D775" s="14">
        <v>47.46</v>
      </c>
      <c r="E775" s="15">
        <v>260</v>
      </c>
    </row>
    <row r="776" spans="1:5">
      <c r="A776">
        <v>2019</v>
      </c>
      <c r="B776" t="s">
        <v>2218</v>
      </c>
      <c r="C776" t="s">
        <v>2227</v>
      </c>
      <c r="D776" s="14">
        <v>52.43</v>
      </c>
      <c r="E776" s="15">
        <v>260</v>
      </c>
    </row>
    <row r="777" spans="1:5">
      <c r="A777">
        <v>2019</v>
      </c>
      <c r="B777" t="s">
        <v>2219</v>
      </c>
      <c r="C777" t="s">
        <v>2227</v>
      </c>
      <c r="D777" s="14">
        <v>26.14</v>
      </c>
      <c r="E777" s="15">
        <v>260</v>
      </c>
    </row>
    <row r="778" spans="1:5">
      <c r="A778">
        <v>2019</v>
      </c>
      <c r="B778" t="s">
        <v>2220</v>
      </c>
      <c r="C778" t="s">
        <v>2227</v>
      </c>
      <c r="D778" s="14">
        <v>17.71</v>
      </c>
      <c r="E778" s="15">
        <v>260</v>
      </c>
    </row>
    <row r="779" spans="1:5">
      <c r="A779">
        <v>2019</v>
      </c>
      <c r="B779" t="s">
        <v>2221</v>
      </c>
      <c r="C779" t="s">
        <v>2227</v>
      </c>
      <c r="D779" s="14">
        <v>59.99</v>
      </c>
      <c r="E779" s="15">
        <v>260</v>
      </c>
    </row>
    <row r="780" spans="1:5">
      <c r="A780">
        <v>2019</v>
      </c>
      <c r="B780" t="s">
        <v>2222</v>
      </c>
      <c r="C780" t="s">
        <v>2227</v>
      </c>
      <c r="D780" s="14">
        <v>19.760000000000002</v>
      </c>
      <c r="E780" s="15">
        <v>260</v>
      </c>
    </row>
    <row r="781" spans="1:5">
      <c r="A781">
        <v>2019</v>
      </c>
      <c r="B781" t="s">
        <v>2223</v>
      </c>
      <c r="C781" t="s">
        <v>2227</v>
      </c>
      <c r="D781" s="14">
        <v>2.4900000000000002</v>
      </c>
      <c r="E781" s="15">
        <v>260</v>
      </c>
    </row>
    <row r="782" spans="1:5">
      <c r="A782">
        <v>2020</v>
      </c>
      <c r="B782" t="s">
        <v>2213</v>
      </c>
      <c r="C782" t="s">
        <v>2227</v>
      </c>
      <c r="D782" s="14">
        <v>13.79</v>
      </c>
      <c r="E782" s="15">
        <v>268</v>
      </c>
    </row>
    <row r="783" spans="1:5">
      <c r="A783">
        <v>2020</v>
      </c>
      <c r="B783" t="s">
        <v>2215</v>
      </c>
      <c r="C783" t="s">
        <v>2227</v>
      </c>
      <c r="D783" s="14">
        <v>14.33</v>
      </c>
      <c r="E783" s="15">
        <v>268</v>
      </c>
    </row>
    <row r="784" spans="1:5">
      <c r="A784">
        <v>2020</v>
      </c>
      <c r="B784" t="s">
        <v>2216</v>
      </c>
      <c r="C784" t="s">
        <v>2227</v>
      </c>
      <c r="D784" s="14">
        <v>11.01</v>
      </c>
      <c r="E784" s="15">
        <v>268</v>
      </c>
    </row>
    <row r="785" spans="1:5">
      <c r="A785">
        <v>2020</v>
      </c>
      <c r="B785" t="s">
        <v>2217</v>
      </c>
      <c r="C785" t="s">
        <v>2227</v>
      </c>
      <c r="D785" s="14">
        <v>44.76</v>
      </c>
      <c r="E785" s="15">
        <v>268</v>
      </c>
    </row>
    <row r="786" spans="1:5">
      <c r="A786">
        <v>2020</v>
      </c>
      <c r="B786" t="s">
        <v>2218</v>
      </c>
      <c r="C786" t="s">
        <v>2227</v>
      </c>
      <c r="D786" s="14">
        <v>52.49</v>
      </c>
      <c r="E786" s="15">
        <v>268</v>
      </c>
    </row>
    <row r="787" spans="1:5">
      <c r="A787">
        <v>2020</v>
      </c>
      <c r="B787" t="s">
        <v>2219</v>
      </c>
      <c r="C787" t="s">
        <v>2227</v>
      </c>
      <c r="D787" s="14">
        <v>25.43</v>
      </c>
      <c r="E787" s="15">
        <v>268</v>
      </c>
    </row>
    <row r="788" spans="1:5">
      <c r="A788">
        <v>2020</v>
      </c>
      <c r="B788" t="s">
        <v>2220</v>
      </c>
      <c r="C788" t="s">
        <v>2227</v>
      </c>
      <c r="D788" s="14">
        <v>18.600000000000001</v>
      </c>
      <c r="E788" s="15">
        <v>268</v>
      </c>
    </row>
    <row r="789" spans="1:5">
      <c r="A789">
        <v>2020</v>
      </c>
      <c r="B789" t="s">
        <v>2221</v>
      </c>
      <c r="C789" t="s">
        <v>2227</v>
      </c>
      <c r="D789" s="14">
        <v>60.97</v>
      </c>
      <c r="E789" s="15">
        <v>268</v>
      </c>
    </row>
    <row r="790" spans="1:5">
      <c r="A790">
        <v>2020</v>
      </c>
      <c r="B790" t="s">
        <v>2222</v>
      </c>
      <c r="C790" t="s">
        <v>2227</v>
      </c>
      <c r="D790" s="14">
        <v>17.420000000000002</v>
      </c>
      <c r="E790" s="15">
        <v>268</v>
      </c>
    </row>
    <row r="791" spans="1:5">
      <c r="A791">
        <v>2020</v>
      </c>
      <c r="B791" t="s">
        <v>2223</v>
      </c>
      <c r="C791" t="s">
        <v>2227</v>
      </c>
      <c r="D791" s="14">
        <v>2.64</v>
      </c>
      <c r="E791" s="15">
        <v>268</v>
      </c>
    </row>
    <row r="792" spans="1:5">
      <c r="A792">
        <v>2021</v>
      </c>
      <c r="B792" t="s">
        <v>2213</v>
      </c>
      <c r="C792" t="s">
        <v>2227</v>
      </c>
      <c r="D792" s="14">
        <v>13.52</v>
      </c>
      <c r="E792" s="15">
        <v>276</v>
      </c>
    </row>
    <row r="793" spans="1:5">
      <c r="A793">
        <v>2021</v>
      </c>
      <c r="B793" t="s">
        <v>2215</v>
      </c>
      <c r="C793" t="s">
        <v>2227</v>
      </c>
      <c r="D793" s="14">
        <v>17.64</v>
      </c>
      <c r="E793" s="15">
        <v>276</v>
      </c>
    </row>
    <row r="794" spans="1:5">
      <c r="A794">
        <v>2021</v>
      </c>
      <c r="B794" t="s">
        <v>2216</v>
      </c>
      <c r="C794" t="s">
        <v>2227</v>
      </c>
      <c r="D794" s="14">
        <v>11.23</v>
      </c>
      <c r="E794" s="15">
        <v>276</v>
      </c>
    </row>
    <row r="795" spans="1:5">
      <c r="A795">
        <v>2021</v>
      </c>
      <c r="B795" t="s">
        <v>2217</v>
      </c>
      <c r="C795" t="s">
        <v>2227</v>
      </c>
      <c r="D795" s="14">
        <v>47.39</v>
      </c>
      <c r="E795" s="15">
        <v>276</v>
      </c>
    </row>
    <row r="796" spans="1:5">
      <c r="A796">
        <v>2021</v>
      </c>
      <c r="B796" t="s">
        <v>2218</v>
      </c>
      <c r="C796" t="s">
        <v>2227</v>
      </c>
      <c r="D796" s="14">
        <v>54.17</v>
      </c>
      <c r="E796" s="15">
        <v>276</v>
      </c>
    </row>
    <row r="797" spans="1:5">
      <c r="A797">
        <v>2021</v>
      </c>
      <c r="B797" t="s">
        <v>2219</v>
      </c>
      <c r="C797" t="s">
        <v>2227</v>
      </c>
      <c r="D797" s="14">
        <v>29.37</v>
      </c>
      <c r="E797" s="15">
        <v>276</v>
      </c>
    </row>
    <row r="798" spans="1:5">
      <c r="A798">
        <v>2021</v>
      </c>
      <c r="B798" t="s">
        <v>2220</v>
      </c>
      <c r="C798" t="s">
        <v>2227</v>
      </c>
      <c r="D798" s="14">
        <v>19.88</v>
      </c>
      <c r="E798" s="15">
        <v>276</v>
      </c>
    </row>
    <row r="799" spans="1:5">
      <c r="A799">
        <v>2021</v>
      </c>
      <c r="B799" t="s">
        <v>2221</v>
      </c>
      <c r="C799" t="s">
        <v>2227</v>
      </c>
      <c r="D799" s="14">
        <v>58.53</v>
      </c>
      <c r="E799" s="15">
        <v>276</v>
      </c>
    </row>
    <row r="800" spans="1:5">
      <c r="A800">
        <v>2021</v>
      </c>
      <c r="B800" t="s">
        <v>2222</v>
      </c>
      <c r="C800" t="s">
        <v>2227</v>
      </c>
      <c r="D800" s="14">
        <v>19.11</v>
      </c>
      <c r="E800" s="15">
        <v>276</v>
      </c>
    </row>
    <row r="801" spans="1:5">
      <c r="A801">
        <v>2021</v>
      </c>
      <c r="B801" t="s">
        <v>2223</v>
      </c>
      <c r="C801" t="s">
        <v>2227</v>
      </c>
      <c r="D801" s="14">
        <v>2.73</v>
      </c>
      <c r="E801" s="15">
        <v>276</v>
      </c>
    </row>
    <row r="802" spans="1:5">
      <c r="A802">
        <v>2022</v>
      </c>
      <c r="B802" t="s">
        <v>2213</v>
      </c>
      <c r="C802" t="s">
        <v>2227</v>
      </c>
      <c r="D802" s="14">
        <v>13.73</v>
      </c>
      <c r="E802" s="15">
        <v>280.7</v>
      </c>
    </row>
    <row r="803" spans="1:5">
      <c r="A803">
        <v>2022</v>
      </c>
      <c r="B803" t="s">
        <v>2215</v>
      </c>
      <c r="C803" t="s">
        <v>2227</v>
      </c>
      <c r="D803" s="14">
        <v>15.73</v>
      </c>
      <c r="E803" s="15">
        <v>280.7</v>
      </c>
    </row>
    <row r="804" spans="1:5">
      <c r="A804">
        <v>2022</v>
      </c>
      <c r="B804" t="s">
        <v>2216</v>
      </c>
      <c r="C804" t="s">
        <v>2227</v>
      </c>
      <c r="D804" s="14">
        <v>10.93</v>
      </c>
      <c r="E804" s="15">
        <v>280.7</v>
      </c>
    </row>
    <row r="805" spans="1:5">
      <c r="A805">
        <v>2022</v>
      </c>
      <c r="B805" t="s">
        <v>2217</v>
      </c>
      <c r="C805" t="s">
        <v>2227</v>
      </c>
      <c r="D805" s="14">
        <v>53.41</v>
      </c>
      <c r="E805" s="15">
        <v>280.7</v>
      </c>
    </row>
    <row r="806" spans="1:5">
      <c r="A806">
        <v>2022</v>
      </c>
      <c r="B806" t="s">
        <v>2218</v>
      </c>
      <c r="C806" t="s">
        <v>2227</v>
      </c>
      <c r="D806" s="14">
        <v>55.28</v>
      </c>
      <c r="E806" s="15">
        <v>280.7</v>
      </c>
    </row>
    <row r="807" spans="1:5">
      <c r="A807">
        <v>2022</v>
      </c>
      <c r="B807" t="s">
        <v>2219</v>
      </c>
      <c r="C807" t="s">
        <v>2227</v>
      </c>
      <c r="D807" s="14">
        <v>27.95</v>
      </c>
      <c r="E807" s="15">
        <v>280.7</v>
      </c>
    </row>
    <row r="808" spans="1:5">
      <c r="A808">
        <v>2022</v>
      </c>
      <c r="B808" t="s">
        <v>2220</v>
      </c>
      <c r="C808" t="s">
        <v>2227</v>
      </c>
      <c r="D808" s="14">
        <v>19.760000000000002</v>
      </c>
      <c r="E808" s="15">
        <v>280.7</v>
      </c>
    </row>
    <row r="809" spans="1:5">
      <c r="A809">
        <v>2022</v>
      </c>
      <c r="B809" t="s">
        <v>2221</v>
      </c>
      <c r="C809" t="s">
        <v>2227</v>
      </c>
      <c r="D809" s="14">
        <v>67.48</v>
      </c>
      <c r="E809" s="15">
        <v>280.7</v>
      </c>
    </row>
    <row r="810" spans="1:5">
      <c r="A810">
        <v>2022</v>
      </c>
      <c r="B810" t="s">
        <v>2222</v>
      </c>
      <c r="C810" t="s">
        <v>2227</v>
      </c>
      <c r="D810" s="14">
        <v>19.649999999999999</v>
      </c>
      <c r="E810" s="15">
        <v>280.7</v>
      </c>
    </row>
    <row r="811" spans="1:5">
      <c r="A811">
        <v>2022</v>
      </c>
      <c r="B811" t="s">
        <v>2223</v>
      </c>
      <c r="C811" t="s">
        <v>2227</v>
      </c>
      <c r="D811" s="14">
        <v>2.93</v>
      </c>
      <c r="E811" s="15">
        <v>280.7</v>
      </c>
    </row>
    <row r="812" spans="1:5">
      <c r="A812">
        <v>2023</v>
      </c>
      <c r="B812" t="s">
        <v>2213</v>
      </c>
      <c r="C812" t="s">
        <v>2227</v>
      </c>
      <c r="D812" s="14">
        <v>13.93</v>
      </c>
      <c r="E812" s="15">
        <v>285.3</v>
      </c>
    </row>
    <row r="813" spans="1:5">
      <c r="A813">
        <v>2023</v>
      </c>
      <c r="B813" t="s">
        <v>2215</v>
      </c>
      <c r="C813" t="s">
        <v>2227</v>
      </c>
      <c r="D813" s="14">
        <v>16.940000000000001</v>
      </c>
      <c r="E813" s="15">
        <v>285.3</v>
      </c>
    </row>
    <row r="814" spans="1:5">
      <c r="A814">
        <v>2023</v>
      </c>
      <c r="B814" t="s">
        <v>2216</v>
      </c>
      <c r="C814" t="s">
        <v>2227</v>
      </c>
      <c r="D814" s="14">
        <v>11.42</v>
      </c>
      <c r="E814" s="15">
        <v>285.3</v>
      </c>
    </row>
    <row r="815" spans="1:5">
      <c r="A815">
        <v>2023</v>
      </c>
      <c r="B815" t="s">
        <v>2217</v>
      </c>
      <c r="C815" t="s">
        <v>2227</v>
      </c>
      <c r="D815" s="14">
        <v>49.79</v>
      </c>
      <c r="E815" s="15">
        <v>285.3</v>
      </c>
    </row>
    <row r="816" spans="1:5">
      <c r="A816">
        <v>2023</v>
      </c>
      <c r="B816" t="s">
        <v>2218</v>
      </c>
      <c r="C816" t="s">
        <v>2227</v>
      </c>
      <c r="D816" s="14">
        <v>56.6</v>
      </c>
      <c r="E816" s="15">
        <v>285.3</v>
      </c>
    </row>
    <row r="817" spans="1:5">
      <c r="A817">
        <v>2023</v>
      </c>
      <c r="B817" t="s">
        <v>2219</v>
      </c>
      <c r="C817" t="s">
        <v>2227</v>
      </c>
      <c r="D817" s="14">
        <v>29.57</v>
      </c>
      <c r="E817" s="15">
        <v>285.3</v>
      </c>
    </row>
    <row r="818" spans="1:5">
      <c r="A818">
        <v>2023</v>
      </c>
      <c r="B818" t="s">
        <v>2220</v>
      </c>
      <c r="C818" t="s">
        <v>2227</v>
      </c>
      <c r="D818" s="14">
        <v>19.34</v>
      </c>
      <c r="E818" s="15">
        <v>285.3</v>
      </c>
    </row>
    <row r="819" spans="1:5">
      <c r="A819">
        <v>2023</v>
      </c>
      <c r="B819" t="s">
        <v>2221</v>
      </c>
      <c r="C819" t="s">
        <v>2227</v>
      </c>
      <c r="D819" s="14">
        <v>62.77</v>
      </c>
      <c r="E819" s="15">
        <v>285.3</v>
      </c>
    </row>
    <row r="820" spans="1:5">
      <c r="A820">
        <v>2023</v>
      </c>
      <c r="B820" t="s">
        <v>2222</v>
      </c>
      <c r="C820" t="s">
        <v>2227</v>
      </c>
      <c r="D820" s="14">
        <v>20.55</v>
      </c>
      <c r="E820" s="15">
        <v>285.3</v>
      </c>
    </row>
    <row r="821" spans="1:5">
      <c r="A821">
        <v>2023</v>
      </c>
      <c r="B821" t="s">
        <v>2223</v>
      </c>
      <c r="C821" t="s">
        <v>2227</v>
      </c>
      <c r="D821" s="14">
        <v>2.76</v>
      </c>
      <c r="E821" s="15">
        <v>285.3</v>
      </c>
    </row>
    <row r="822" spans="1:5">
      <c r="A822">
        <v>2024</v>
      </c>
      <c r="B822" t="s">
        <v>2213</v>
      </c>
      <c r="C822" t="s">
        <v>2227</v>
      </c>
      <c r="D822" s="14">
        <v>15.15</v>
      </c>
      <c r="E822" s="15">
        <v>290</v>
      </c>
    </row>
    <row r="823" spans="1:5">
      <c r="A823">
        <v>2024</v>
      </c>
      <c r="B823" t="s">
        <v>2215</v>
      </c>
      <c r="C823" t="s">
        <v>2227</v>
      </c>
      <c r="D823" s="14">
        <v>17.45</v>
      </c>
      <c r="E823" s="15">
        <v>290</v>
      </c>
    </row>
    <row r="824" spans="1:5">
      <c r="A824">
        <v>2024</v>
      </c>
      <c r="B824" t="s">
        <v>2216</v>
      </c>
      <c r="C824" t="s">
        <v>2227</v>
      </c>
      <c r="D824" s="14">
        <v>11.52</v>
      </c>
      <c r="E824" s="15">
        <v>290</v>
      </c>
    </row>
    <row r="825" spans="1:5">
      <c r="A825">
        <v>2024</v>
      </c>
      <c r="B825" t="s">
        <v>2217</v>
      </c>
      <c r="C825" t="s">
        <v>2227</v>
      </c>
      <c r="D825" s="14">
        <v>48.17</v>
      </c>
      <c r="E825" s="15">
        <v>290</v>
      </c>
    </row>
    <row r="826" spans="1:5">
      <c r="A826">
        <v>2024</v>
      </c>
      <c r="B826" t="s">
        <v>2218</v>
      </c>
      <c r="C826" t="s">
        <v>2227</v>
      </c>
      <c r="D826" s="14">
        <v>57.14</v>
      </c>
      <c r="E826" s="15">
        <v>290</v>
      </c>
    </row>
    <row r="827" spans="1:5">
      <c r="A827">
        <v>2024</v>
      </c>
      <c r="B827" t="s">
        <v>2219</v>
      </c>
      <c r="C827" t="s">
        <v>2227</v>
      </c>
      <c r="D827" s="14">
        <v>29.43</v>
      </c>
      <c r="E827" s="15">
        <v>290</v>
      </c>
    </row>
    <row r="828" spans="1:5">
      <c r="A828">
        <v>2024</v>
      </c>
      <c r="B828" t="s">
        <v>2220</v>
      </c>
      <c r="C828" t="s">
        <v>2227</v>
      </c>
      <c r="D828" s="14">
        <v>21.77</v>
      </c>
      <c r="E828" s="15">
        <v>290</v>
      </c>
    </row>
    <row r="829" spans="1:5">
      <c r="A829">
        <v>2024</v>
      </c>
      <c r="B829" t="s">
        <v>2221</v>
      </c>
      <c r="C829" t="s">
        <v>2227</v>
      </c>
      <c r="D829" s="14">
        <v>65.27</v>
      </c>
      <c r="E829" s="15">
        <v>290</v>
      </c>
    </row>
    <row r="830" spans="1:5">
      <c r="A830">
        <v>2024</v>
      </c>
      <c r="B830" t="s">
        <v>2222</v>
      </c>
      <c r="C830" t="s">
        <v>2227</v>
      </c>
      <c r="D830" s="14">
        <v>21.24</v>
      </c>
      <c r="E830" s="15">
        <v>290</v>
      </c>
    </row>
    <row r="831" spans="1:5">
      <c r="A831">
        <v>2024</v>
      </c>
      <c r="B831" t="s">
        <v>2223</v>
      </c>
      <c r="C831" t="s">
        <v>2227</v>
      </c>
      <c r="D831" s="14">
        <v>2.76</v>
      </c>
      <c r="E831" s="15">
        <v>290</v>
      </c>
    </row>
    <row r="832" spans="1:5">
      <c r="A832">
        <v>2025</v>
      </c>
      <c r="B832" t="s">
        <v>2213</v>
      </c>
      <c r="C832" t="s">
        <v>2227</v>
      </c>
      <c r="D832" s="14">
        <v>14.68</v>
      </c>
      <c r="E832" s="15">
        <v>295</v>
      </c>
    </row>
    <row r="833" spans="1:5">
      <c r="A833">
        <v>2025</v>
      </c>
      <c r="B833" t="s">
        <v>2215</v>
      </c>
      <c r="C833" t="s">
        <v>2227</v>
      </c>
      <c r="D833" s="14">
        <v>18.59</v>
      </c>
      <c r="E833" s="15">
        <v>295</v>
      </c>
    </row>
    <row r="834" spans="1:5">
      <c r="A834">
        <v>2025</v>
      </c>
      <c r="B834" t="s">
        <v>2216</v>
      </c>
      <c r="C834" t="s">
        <v>2227</v>
      </c>
      <c r="D834" s="14">
        <v>11.39</v>
      </c>
      <c r="E834" s="15">
        <v>295</v>
      </c>
    </row>
    <row r="835" spans="1:5">
      <c r="A835">
        <v>2025</v>
      </c>
      <c r="B835" t="s">
        <v>2217</v>
      </c>
      <c r="C835" t="s">
        <v>2227</v>
      </c>
      <c r="D835" s="14">
        <v>55.19</v>
      </c>
      <c r="E835" s="15">
        <v>295</v>
      </c>
    </row>
    <row r="836" spans="1:5">
      <c r="A836">
        <v>2025</v>
      </c>
      <c r="B836" t="s">
        <v>2218</v>
      </c>
      <c r="C836" t="s">
        <v>2227</v>
      </c>
      <c r="D836" s="14">
        <v>60.76</v>
      </c>
      <c r="E836" s="15">
        <v>295</v>
      </c>
    </row>
    <row r="837" spans="1:5">
      <c r="A837">
        <v>2025</v>
      </c>
      <c r="B837" t="s">
        <v>2219</v>
      </c>
      <c r="C837" t="s">
        <v>2227</v>
      </c>
      <c r="D837" s="14">
        <v>29.83</v>
      </c>
      <c r="E837" s="15">
        <v>295</v>
      </c>
    </row>
    <row r="838" spans="1:5">
      <c r="A838">
        <v>2025</v>
      </c>
      <c r="B838" t="s">
        <v>2220</v>
      </c>
      <c r="C838" t="s">
        <v>2227</v>
      </c>
      <c r="D838" s="14">
        <v>20.38</v>
      </c>
      <c r="E838" s="15">
        <v>295</v>
      </c>
    </row>
    <row r="839" spans="1:5">
      <c r="A839">
        <v>2025</v>
      </c>
      <c r="B839" t="s">
        <v>2221</v>
      </c>
      <c r="C839" t="s">
        <v>2227</v>
      </c>
      <c r="D839" s="14">
        <v>62.39</v>
      </c>
      <c r="E839" s="15">
        <v>295</v>
      </c>
    </row>
    <row r="840" spans="1:5">
      <c r="A840">
        <v>2025</v>
      </c>
      <c r="B840" t="s">
        <v>2222</v>
      </c>
      <c r="C840" t="s">
        <v>2227</v>
      </c>
      <c r="D840" s="14">
        <v>22.17</v>
      </c>
      <c r="E840" s="15">
        <v>295</v>
      </c>
    </row>
    <row r="841" spans="1:5">
      <c r="A841">
        <v>2025</v>
      </c>
      <c r="B841" t="s">
        <v>2223</v>
      </c>
      <c r="C841" t="s">
        <v>2227</v>
      </c>
      <c r="D841" s="14">
        <v>3.03</v>
      </c>
      <c r="E841" s="15">
        <v>295</v>
      </c>
    </row>
    <row r="842" spans="1:5">
      <c r="A842">
        <v>2026</v>
      </c>
      <c r="B842" t="s">
        <v>2213</v>
      </c>
      <c r="C842" t="s">
        <v>2227</v>
      </c>
      <c r="D842" s="14">
        <v>15.21</v>
      </c>
      <c r="E842" s="15">
        <v>300</v>
      </c>
    </row>
    <row r="843" spans="1:5">
      <c r="A843">
        <v>2026</v>
      </c>
      <c r="B843" t="s">
        <v>2215</v>
      </c>
      <c r="C843" t="s">
        <v>2227</v>
      </c>
      <c r="D843" s="14">
        <v>17.71</v>
      </c>
      <c r="E843" s="15">
        <v>300</v>
      </c>
    </row>
    <row r="844" spans="1:5">
      <c r="A844">
        <v>2026</v>
      </c>
      <c r="B844" t="s">
        <v>2216</v>
      </c>
      <c r="C844" t="s">
        <v>2227</v>
      </c>
      <c r="D844" s="14">
        <v>12.02</v>
      </c>
      <c r="E844" s="15">
        <v>300</v>
      </c>
    </row>
    <row r="845" spans="1:5">
      <c r="A845">
        <v>2026</v>
      </c>
      <c r="B845" t="s">
        <v>2217</v>
      </c>
      <c r="C845" t="s">
        <v>2227</v>
      </c>
      <c r="D845" s="14">
        <v>54.36</v>
      </c>
      <c r="E845" s="15">
        <v>300</v>
      </c>
    </row>
    <row r="846" spans="1:5">
      <c r="A846">
        <v>2026</v>
      </c>
      <c r="B846" t="s">
        <v>2218</v>
      </c>
      <c r="C846" t="s">
        <v>2227</v>
      </c>
      <c r="D846" s="14">
        <v>60.97</v>
      </c>
      <c r="E846" s="15">
        <v>300</v>
      </c>
    </row>
    <row r="847" spans="1:5">
      <c r="A847">
        <v>2026</v>
      </c>
      <c r="B847" t="s">
        <v>2219</v>
      </c>
      <c r="C847" t="s">
        <v>2227</v>
      </c>
      <c r="D847" s="14">
        <v>30.89</v>
      </c>
      <c r="E847" s="15">
        <v>300</v>
      </c>
    </row>
    <row r="848" spans="1:5">
      <c r="A848">
        <v>2026</v>
      </c>
      <c r="B848" t="s">
        <v>2220</v>
      </c>
      <c r="C848" t="s">
        <v>2227</v>
      </c>
      <c r="D848" s="14">
        <v>20.350000000000001</v>
      </c>
      <c r="E848" s="15">
        <v>300</v>
      </c>
    </row>
    <row r="849" spans="1:5">
      <c r="A849">
        <v>2026</v>
      </c>
      <c r="B849" t="s">
        <v>2221</v>
      </c>
      <c r="C849" t="s">
        <v>2227</v>
      </c>
      <c r="D849" s="14">
        <v>62.24</v>
      </c>
      <c r="E849" s="15">
        <v>300</v>
      </c>
    </row>
    <row r="850" spans="1:5">
      <c r="A850">
        <v>2026</v>
      </c>
      <c r="B850" t="s">
        <v>2222</v>
      </c>
      <c r="C850" t="s">
        <v>2227</v>
      </c>
      <c r="D850" s="14">
        <v>21.07</v>
      </c>
      <c r="E850" s="15">
        <v>300</v>
      </c>
    </row>
    <row r="851" spans="1:5">
      <c r="A851">
        <v>2026</v>
      </c>
      <c r="B851" t="s">
        <v>2223</v>
      </c>
      <c r="C851" t="s">
        <v>2227</v>
      </c>
      <c r="D851" s="14">
        <v>2.8</v>
      </c>
      <c r="E851" s="15">
        <v>300</v>
      </c>
    </row>
    <row r="852" spans="1:5">
      <c r="A852">
        <v>2010</v>
      </c>
      <c r="B852" t="s">
        <v>2213</v>
      </c>
      <c r="C852" t="s">
        <v>2228</v>
      </c>
      <c r="D852" s="14">
        <v>7.16</v>
      </c>
      <c r="E852" s="15">
        <v>145</v>
      </c>
    </row>
    <row r="853" spans="1:5">
      <c r="A853">
        <v>2010</v>
      </c>
      <c r="B853" t="s">
        <v>2215</v>
      </c>
      <c r="C853" t="s">
        <v>2228</v>
      </c>
      <c r="D853" s="14">
        <v>8.52</v>
      </c>
      <c r="E853" s="15">
        <v>145</v>
      </c>
    </row>
    <row r="854" spans="1:5">
      <c r="A854">
        <v>2010</v>
      </c>
      <c r="B854" t="s">
        <v>2216</v>
      </c>
      <c r="C854" t="s">
        <v>2228</v>
      </c>
      <c r="D854" s="14">
        <v>5.92</v>
      </c>
      <c r="E854" s="15">
        <v>145</v>
      </c>
    </row>
    <row r="855" spans="1:5">
      <c r="A855">
        <v>2010</v>
      </c>
      <c r="B855" t="s">
        <v>2217</v>
      </c>
      <c r="C855" t="s">
        <v>2228</v>
      </c>
      <c r="D855" s="14">
        <v>28.25</v>
      </c>
      <c r="E855" s="15">
        <v>145</v>
      </c>
    </row>
    <row r="856" spans="1:5">
      <c r="A856">
        <v>2010</v>
      </c>
      <c r="B856" t="s">
        <v>2218</v>
      </c>
      <c r="C856" t="s">
        <v>2228</v>
      </c>
      <c r="D856" s="14">
        <v>26.83</v>
      </c>
      <c r="E856" s="15">
        <v>145</v>
      </c>
    </row>
    <row r="857" spans="1:5">
      <c r="A857">
        <v>2010</v>
      </c>
      <c r="B857" t="s">
        <v>2219</v>
      </c>
      <c r="C857" t="s">
        <v>2228</v>
      </c>
      <c r="D857" s="14">
        <v>15.88</v>
      </c>
      <c r="E857" s="15">
        <v>145</v>
      </c>
    </row>
    <row r="858" spans="1:5">
      <c r="A858">
        <v>2010</v>
      </c>
      <c r="B858" t="s">
        <v>2220</v>
      </c>
      <c r="C858" t="s">
        <v>2228</v>
      </c>
      <c r="D858" s="14">
        <v>10.06</v>
      </c>
      <c r="E858" s="15">
        <v>145</v>
      </c>
    </row>
    <row r="859" spans="1:5">
      <c r="A859">
        <v>2010</v>
      </c>
      <c r="B859" t="s">
        <v>2221</v>
      </c>
      <c r="C859" t="s">
        <v>2228</v>
      </c>
      <c r="D859" s="14">
        <v>32.35</v>
      </c>
      <c r="E859" s="15">
        <v>145</v>
      </c>
    </row>
    <row r="860" spans="1:5">
      <c r="A860">
        <v>2010</v>
      </c>
      <c r="B860" t="s">
        <v>2222</v>
      </c>
      <c r="C860" t="s">
        <v>2228</v>
      </c>
      <c r="D860" s="14">
        <v>9.59</v>
      </c>
      <c r="E860" s="15">
        <v>145</v>
      </c>
    </row>
    <row r="861" spans="1:5">
      <c r="A861">
        <v>2010</v>
      </c>
      <c r="B861" t="s">
        <v>2223</v>
      </c>
      <c r="C861" t="s">
        <v>2228</v>
      </c>
      <c r="D861" s="14">
        <v>1.51</v>
      </c>
      <c r="E861" s="15">
        <v>145</v>
      </c>
    </row>
    <row r="862" spans="1:5">
      <c r="A862">
        <v>2011</v>
      </c>
      <c r="B862" t="s">
        <v>2213</v>
      </c>
      <c r="C862" t="s">
        <v>2228</v>
      </c>
      <c r="D862" s="14">
        <v>7.36</v>
      </c>
      <c r="E862" s="15">
        <v>147</v>
      </c>
    </row>
    <row r="863" spans="1:5">
      <c r="A863">
        <v>2011</v>
      </c>
      <c r="B863" t="s">
        <v>2215</v>
      </c>
      <c r="C863" t="s">
        <v>2228</v>
      </c>
      <c r="D863" s="14">
        <v>8.8000000000000007</v>
      </c>
      <c r="E863" s="15">
        <v>147</v>
      </c>
    </row>
    <row r="864" spans="1:5">
      <c r="A864">
        <v>2011</v>
      </c>
      <c r="B864" t="s">
        <v>2216</v>
      </c>
      <c r="C864" t="s">
        <v>2228</v>
      </c>
      <c r="D864" s="14">
        <v>5.44</v>
      </c>
      <c r="E864" s="15">
        <v>147</v>
      </c>
    </row>
    <row r="865" spans="1:5">
      <c r="A865">
        <v>2011</v>
      </c>
      <c r="B865" t="s">
        <v>2217</v>
      </c>
      <c r="C865" t="s">
        <v>2228</v>
      </c>
      <c r="D865" s="14">
        <v>26.54</v>
      </c>
      <c r="E865" s="15">
        <v>147</v>
      </c>
    </row>
    <row r="866" spans="1:5">
      <c r="A866">
        <v>2011</v>
      </c>
      <c r="B866" t="s">
        <v>2218</v>
      </c>
      <c r="C866" t="s">
        <v>2228</v>
      </c>
      <c r="D866" s="14">
        <v>30.41</v>
      </c>
      <c r="E866" s="15">
        <v>147</v>
      </c>
    </row>
    <row r="867" spans="1:5">
      <c r="A867">
        <v>2011</v>
      </c>
      <c r="B867" t="s">
        <v>2219</v>
      </c>
      <c r="C867" t="s">
        <v>2228</v>
      </c>
      <c r="D867" s="14">
        <v>14.56</v>
      </c>
      <c r="E867" s="15">
        <v>147</v>
      </c>
    </row>
    <row r="868" spans="1:5">
      <c r="A868">
        <v>2011</v>
      </c>
      <c r="B868" t="s">
        <v>2220</v>
      </c>
      <c r="C868" t="s">
        <v>2228</v>
      </c>
      <c r="D868" s="14">
        <v>10.78</v>
      </c>
      <c r="E868" s="15">
        <v>147</v>
      </c>
    </row>
    <row r="869" spans="1:5">
      <c r="A869">
        <v>2011</v>
      </c>
      <c r="B869" t="s">
        <v>2221</v>
      </c>
      <c r="C869" t="s">
        <v>2228</v>
      </c>
      <c r="D869" s="14">
        <v>33.840000000000003</v>
      </c>
      <c r="E869" s="15">
        <v>147</v>
      </c>
    </row>
    <row r="870" spans="1:5">
      <c r="A870">
        <v>2011</v>
      </c>
      <c r="B870" t="s">
        <v>2222</v>
      </c>
      <c r="C870" t="s">
        <v>2228</v>
      </c>
      <c r="D870" s="14">
        <v>10.029999999999999</v>
      </c>
      <c r="E870" s="15">
        <v>147</v>
      </c>
    </row>
    <row r="871" spans="1:5">
      <c r="A871">
        <v>2011</v>
      </c>
      <c r="B871" t="s">
        <v>2223</v>
      </c>
      <c r="C871" t="s">
        <v>2228</v>
      </c>
      <c r="D871" s="14">
        <v>1.57</v>
      </c>
      <c r="E871" s="15">
        <v>147</v>
      </c>
    </row>
    <row r="872" spans="1:5">
      <c r="A872">
        <v>2012</v>
      </c>
      <c r="B872" t="s">
        <v>2213</v>
      </c>
      <c r="C872" t="s">
        <v>2228</v>
      </c>
      <c r="D872" s="14">
        <v>7.46</v>
      </c>
      <c r="E872" s="15">
        <v>149</v>
      </c>
    </row>
    <row r="873" spans="1:5">
      <c r="A873">
        <v>2012</v>
      </c>
      <c r="B873" t="s">
        <v>2215</v>
      </c>
      <c r="C873" t="s">
        <v>2228</v>
      </c>
      <c r="D873" s="14">
        <v>8.9600000000000009</v>
      </c>
      <c r="E873" s="15">
        <v>149</v>
      </c>
    </row>
    <row r="874" spans="1:5">
      <c r="A874">
        <v>2012</v>
      </c>
      <c r="B874" t="s">
        <v>2216</v>
      </c>
      <c r="C874" t="s">
        <v>2228</v>
      </c>
      <c r="D874" s="14">
        <v>5.98</v>
      </c>
      <c r="E874" s="15">
        <v>149</v>
      </c>
    </row>
    <row r="875" spans="1:5">
      <c r="A875">
        <v>2012</v>
      </c>
      <c r="B875" t="s">
        <v>2217</v>
      </c>
      <c r="C875" t="s">
        <v>2228</v>
      </c>
      <c r="D875" s="14">
        <v>26.89</v>
      </c>
      <c r="E875" s="15">
        <v>149</v>
      </c>
    </row>
    <row r="876" spans="1:5">
      <c r="A876">
        <v>2012</v>
      </c>
      <c r="B876" t="s">
        <v>2218</v>
      </c>
      <c r="C876" t="s">
        <v>2228</v>
      </c>
      <c r="D876" s="14">
        <v>26.82</v>
      </c>
      <c r="E876" s="15">
        <v>149</v>
      </c>
    </row>
    <row r="877" spans="1:5">
      <c r="A877">
        <v>2012</v>
      </c>
      <c r="B877" t="s">
        <v>2219</v>
      </c>
      <c r="C877" t="s">
        <v>2228</v>
      </c>
      <c r="D877" s="14">
        <v>14.79</v>
      </c>
      <c r="E877" s="15">
        <v>149</v>
      </c>
    </row>
    <row r="878" spans="1:5">
      <c r="A878">
        <v>2012</v>
      </c>
      <c r="B878" t="s">
        <v>2220</v>
      </c>
      <c r="C878" t="s">
        <v>2228</v>
      </c>
      <c r="D878" s="14">
        <v>9.8800000000000008</v>
      </c>
      <c r="E878" s="15">
        <v>149</v>
      </c>
    </row>
    <row r="879" spans="1:5">
      <c r="A879">
        <v>2012</v>
      </c>
      <c r="B879" t="s">
        <v>2221</v>
      </c>
      <c r="C879" t="s">
        <v>2228</v>
      </c>
      <c r="D879" s="14">
        <v>34.979999999999997</v>
      </c>
      <c r="E879" s="15">
        <v>149</v>
      </c>
    </row>
    <row r="880" spans="1:5">
      <c r="A880">
        <v>2012</v>
      </c>
      <c r="B880" t="s">
        <v>2222</v>
      </c>
      <c r="C880" t="s">
        <v>2228</v>
      </c>
      <c r="D880" s="14">
        <v>11.11</v>
      </c>
      <c r="E880" s="15">
        <v>149</v>
      </c>
    </row>
    <row r="881" spans="1:5">
      <c r="A881">
        <v>2012</v>
      </c>
      <c r="B881" t="s">
        <v>2223</v>
      </c>
      <c r="C881" t="s">
        <v>2228</v>
      </c>
      <c r="D881" s="14">
        <v>1.54</v>
      </c>
      <c r="E881" s="15">
        <v>149</v>
      </c>
    </row>
    <row r="882" spans="1:5">
      <c r="A882">
        <v>2013</v>
      </c>
      <c r="B882" t="s">
        <v>2213</v>
      </c>
      <c r="C882" t="s">
        <v>2228</v>
      </c>
      <c r="D882" s="14">
        <v>7.48</v>
      </c>
      <c r="E882" s="15">
        <v>151</v>
      </c>
    </row>
    <row r="883" spans="1:5">
      <c r="A883">
        <v>2013</v>
      </c>
      <c r="B883" t="s">
        <v>2215</v>
      </c>
      <c r="C883" t="s">
        <v>2228</v>
      </c>
      <c r="D883" s="14">
        <v>8.6999999999999993</v>
      </c>
      <c r="E883" s="15">
        <v>151</v>
      </c>
    </row>
    <row r="884" spans="1:5">
      <c r="A884">
        <v>2013</v>
      </c>
      <c r="B884" t="s">
        <v>2216</v>
      </c>
      <c r="C884" t="s">
        <v>2228</v>
      </c>
      <c r="D884" s="14">
        <v>5.88</v>
      </c>
      <c r="E884" s="15">
        <v>151</v>
      </c>
    </row>
    <row r="885" spans="1:5">
      <c r="A885">
        <v>2013</v>
      </c>
      <c r="B885" t="s">
        <v>2217</v>
      </c>
      <c r="C885" t="s">
        <v>2228</v>
      </c>
      <c r="D885" s="14">
        <v>29.38</v>
      </c>
      <c r="E885" s="15">
        <v>151</v>
      </c>
    </row>
    <row r="886" spans="1:5">
      <c r="A886">
        <v>2013</v>
      </c>
      <c r="B886" t="s">
        <v>2218</v>
      </c>
      <c r="C886" t="s">
        <v>2228</v>
      </c>
      <c r="D886" s="14">
        <v>29.38</v>
      </c>
      <c r="E886" s="15">
        <v>151</v>
      </c>
    </row>
    <row r="887" spans="1:5">
      <c r="A887">
        <v>2013</v>
      </c>
      <c r="B887" t="s">
        <v>2219</v>
      </c>
      <c r="C887" t="s">
        <v>2228</v>
      </c>
      <c r="D887" s="14">
        <v>13.74</v>
      </c>
      <c r="E887" s="15">
        <v>151</v>
      </c>
    </row>
    <row r="888" spans="1:5">
      <c r="A888">
        <v>2013</v>
      </c>
      <c r="B888" t="s">
        <v>2220</v>
      </c>
      <c r="C888" t="s">
        <v>2228</v>
      </c>
      <c r="D888" s="14">
        <v>11.01</v>
      </c>
      <c r="E888" s="15">
        <v>151</v>
      </c>
    </row>
    <row r="889" spans="1:5">
      <c r="A889">
        <v>2013</v>
      </c>
      <c r="B889" t="s">
        <v>2221</v>
      </c>
      <c r="C889" t="s">
        <v>2228</v>
      </c>
      <c r="D889" s="14">
        <v>35.270000000000003</v>
      </c>
      <c r="E889" s="15">
        <v>151</v>
      </c>
    </row>
    <row r="890" spans="1:5">
      <c r="A890">
        <v>2013</v>
      </c>
      <c r="B890" t="s">
        <v>2222</v>
      </c>
      <c r="C890" t="s">
        <v>2228</v>
      </c>
      <c r="D890" s="14">
        <v>11.3</v>
      </c>
      <c r="E890" s="15">
        <v>151</v>
      </c>
    </row>
    <row r="891" spans="1:5">
      <c r="A891">
        <v>2013</v>
      </c>
      <c r="B891" t="s">
        <v>2223</v>
      </c>
      <c r="C891" t="s">
        <v>2228</v>
      </c>
      <c r="D891" s="14">
        <v>1.57</v>
      </c>
      <c r="E891" s="15">
        <v>151</v>
      </c>
    </row>
    <row r="892" spans="1:5">
      <c r="A892">
        <v>2014</v>
      </c>
      <c r="B892" t="s">
        <v>2213</v>
      </c>
      <c r="C892" t="s">
        <v>2228</v>
      </c>
      <c r="D892" s="14">
        <v>8.0299999999999994</v>
      </c>
      <c r="E892" s="15">
        <v>153</v>
      </c>
    </row>
    <row r="893" spans="1:5">
      <c r="A893">
        <v>2014</v>
      </c>
      <c r="B893" t="s">
        <v>2215</v>
      </c>
      <c r="C893" t="s">
        <v>2228</v>
      </c>
      <c r="D893" s="14">
        <v>9.1999999999999993</v>
      </c>
      <c r="E893" s="15">
        <v>153</v>
      </c>
    </row>
    <row r="894" spans="1:5">
      <c r="A894">
        <v>2014</v>
      </c>
      <c r="B894" t="s">
        <v>2216</v>
      </c>
      <c r="C894" t="s">
        <v>2228</v>
      </c>
      <c r="D894" s="14">
        <v>5.63</v>
      </c>
      <c r="E894" s="15">
        <v>153</v>
      </c>
    </row>
    <row r="895" spans="1:5">
      <c r="A895">
        <v>2014</v>
      </c>
      <c r="B895" t="s">
        <v>2217</v>
      </c>
      <c r="C895" t="s">
        <v>2228</v>
      </c>
      <c r="D895" s="14">
        <v>27.57</v>
      </c>
      <c r="E895" s="15">
        <v>153</v>
      </c>
    </row>
    <row r="896" spans="1:5">
      <c r="A896">
        <v>2014</v>
      </c>
      <c r="B896" t="s">
        <v>2218</v>
      </c>
      <c r="C896" t="s">
        <v>2228</v>
      </c>
      <c r="D896" s="14">
        <v>31.37</v>
      </c>
      <c r="E896" s="15">
        <v>153</v>
      </c>
    </row>
    <row r="897" spans="1:5">
      <c r="A897">
        <v>2014</v>
      </c>
      <c r="B897" t="s">
        <v>2219</v>
      </c>
      <c r="C897" t="s">
        <v>2228</v>
      </c>
      <c r="D897" s="14">
        <v>15.22</v>
      </c>
      <c r="E897" s="15">
        <v>153</v>
      </c>
    </row>
    <row r="898" spans="1:5">
      <c r="A898">
        <v>2014</v>
      </c>
      <c r="B898" t="s">
        <v>2220</v>
      </c>
      <c r="C898" t="s">
        <v>2228</v>
      </c>
      <c r="D898" s="14">
        <v>10.63</v>
      </c>
      <c r="E898" s="15">
        <v>153</v>
      </c>
    </row>
    <row r="899" spans="1:5">
      <c r="A899">
        <v>2014</v>
      </c>
      <c r="B899" t="s">
        <v>2221</v>
      </c>
      <c r="C899" t="s">
        <v>2228</v>
      </c>
      <c r="D899" s="14">
        <v>32.39</v>
      </c>
      <c r="E899" s="15">
        <v>153</v>
      </c>
    </row>
    <row r="900" spans="1:5">
      <c r="A900">
        <v>2014</v>
      </c>
      <c r="B900" t="s">
        <v>2222</v>
      </c>
      <c r="C900" t="s">
        <v>2228</v>
      </c>
      <c r="D900" s="14">
        <v>10.29</v>
      </c>
      <c r="E900" s="15">
        <v>153</v>
      </c>
    </row>
    <row r="901" spans="1:5">
      <c r="A901">
        <v>2014</v>
      </c>
      <c r="B901" t="s">
        <v>2223</v>
      </c>
      <c r="C901" t="s">
        <v>2228</v>
      </c>
      <c r="D901" s="14">
        <v>1.65</v>
      </c>
      <c r="E901" s="15">
        <v>153</v>
      </c>
    </row>
    <row r="902" spans="1:5">
      <c r="A902">
        <v>2015</v>
      </c>
      <c r="B902" t="s">
        <v>2213</v>
      </c>
      <c r="C902" t="s">
        <v>2228</v>
      </c>
      <c r="D902" s="14">
        <v>8.35</v>
      </c>
      <c r="E902" s="15">
        <v>155</v>
      </c>
    </row>
    <row r="903" spans="1:5">
      <c r="A903">
        <v>2015</v>
      </c>
      <c r="B903" t="s">
        <v>2215</v>
      </c>
      <c r="C903" t="s">
        <v>2228</v>
      </c>
      <c r="D903" s="14">
        <v>9.3000000000000007</v>
      </c>
      <c r="E903" s="15">
        <v>155</v>
      </c>
    </row>
    <row r="904" spans="1:5">
      <c r="A904">
        <v>2015</v>
      </c>
      <c r="B904" t="s">
        <v>2216</v>
      </c>
      <c r="C904" t="s">
        <v>2228</v>
      </c>
      <c r="D904" s="14">
        <v>6.27</v>
      </c>
      <c r="E904" s="15">
        <v>155</v>
      </c>
    </row>
    <row r="905" spans="1:5">
      <c r="A905">
        <v>2015</v>
      </c>
      <c r="B905" t="s">
        <v>2217</v>
      </c>
      <c r="C905" t="s">
        <v>2228</v>
      </c>
      <c r="D905" s="14">
        <v>26.83</v>
      </c>
      <c r="E905" s="15">
        <v>155</v>
      </c>
    </row>
    <row r="906" spans="1:5">
      <c r="A906">
        <v>2015</v>
      </c>
      <c r="B906" t="s">
        <v>2218</v>
      </c>
      <c r="C906" t="s">
        <v>2228</v>
      </c>
      <c r="D906" s="14">
        <v>31.81</v>
      </c>
      <c r="E906" s="15">
        <v>155</v>
      </c>
    </row>
    <row r="907" spans="1:5">
      <c r="A907">
        <v>2015</v>
      </c>
      <c r="B907" t="s">
        <v>2219</v>
      </c>
      <c r="C907" t="s">
        <v>2228</v>
      </c>
      <c r="D907" s="14">
        <v>16.63</v>
      </c>
      <c r="E907" s="15">
        <v>155</v>
      </c>
    </row>
    <row r="908" spans="1:5">
      <c r="A908">
        <v>2015</v>
      </c>
      <c r="B908" t="s">
        <v>2220</v>
      </c>
      <c r="C908" t="s">
        <v>2228</v>
      </c>
      <c r="D908" s="14">
        <v>10.210000000000001</v>
      </c>
      <c r="E908" s="15">
        <v>155</v>
      </c>
    </row>
    <row r="909" spans="1:5">
      <c r="A909">
        <v>2015</v>
      </c>
      <c r="B909" t="s">
        <v>2221</v>
      </c>
      <c r="C909" t="s">
        <v>2228</v>
      </c>
      <c r="D909" s="14">
        <v>34.74</v>
      </c>
      <c r="E909" s="15">
        <v>155</v>
      </c>
    </row>
    <row r="910" spans="1:5">
      <c r="A910">
        <v>2015</v>
      </c>
      <c r="B910" t="s">
        <v>2222</v>
      </c>
      <c r="C910" t="s">
        <v>2228</v>
      </c>
      <c r="D910" s="14">
        <v>11.09</v>
      </c>
      <c r="E910" s="15">
        <v>155</v>
      </c>
    </row>
    <row r="911" spans="1:5">
      <c r="A911">
        <v>2015</v>
      </c>
      <c r="B911" t="s">
        <v>2223</v>
      </c>
      <c r="C911" t="s">
        <v>2228</v>
      </c>
      <c r="D911" s="14">
        <v>1.58</v>
      </c>
      <c r="E911" s="15">
        <v>155</v>
      </c>
    </row>
    <row r="912" spans="1:5">
      <c r="A912">
        <v>2016</v>
      </c>
      <c r="B912" t="s">
        <v>2213</v>
      </c>
      <c r="C912" t="s">
        <v>2228</v>
      </c>
      <c r="D912" s="14">
        <v>8.3699999999999992</v>
      </c>
      <c r="E912" s="15">
        <v>156.80000000000001</v>
      </c>
    </row>
    <row r="913" spans="1:5">
      <c r="A913">
        <v>2016</v>
      </c>
      <c r="B913" t="s">
        <v>2215</v>
      </c>
      <c r="C913" t="s">
        <v>2228</v>
      </c>
      <c r="D913" s="14">
        <v>10.199999999999999</v>
      </c>
      <c r="E913" s="15">
        <v>156.80000000000001</v>
      </c>
    </row>
    <row r="914" spans="1:5">
      <c r="A914">
        <v>2016</v>
      </c>
      <c r="B914" t="s">
        <v>2216</v>
      </c>
      <c r="C914" t="s">
        <v>2228</v>
      </c>
      <c r="D914" s="14">
        <v>6.21</v>
      </c>
      <c r="E914" s="15">
        <v>156.80000000000001</v>
      </c>
    </row>
    <row r="915" spans="1:5">
      <c r="A915">
        <v>2016</v>
      </c>
      <c r="B915" t="s">
        <v>2217</v>
      </c>
      <c r="C915" t="s">
        <v>2228</v>
      </c>
      <c r="D915" s="14">
        <v>28.99</v>
      </c>
      <c r="E915" s="15">
        <v>156.80000000000001</v>
      </c>
    </row>
    <row r="916" spans="1:5">
      <c r="A916">
        <v>2016</v>
      </c>
      <c r="B916" t="s">
        <v>2218</v>
      </c>
      <c r="C916" t="s">
        <v>2228</v>
      </c>
      <c r="D916" s="14">
        <v>31.46</v>
      </c>
      <c r="E916" s="15">
        <v>156.80000000000001</v>
      </c>
    </row>
    <row r="917" spans="1:5">
      <c r="A917">
        <v>2016</v>
      </c>
      <c r="B917" t="s">
        <v>2219</v>
      </c>
      <c r="C917" t="s">
        <v>2228</v>
      </c>
      <c r="D917" s="14">
        <v>15.28</v>
      </c>
      <c r="E917" s="15">
        <v>156.80000000000001</v>
      </c>
    </row>
    <row r="918" spans="1:5">
      <c r="A918">
        <v>2016</v>
      </c>
      <c r="B918" t="s">
        <v>2220</v>
      </c>
      <c r="C918" t="s">
        <v>2228</v>
      </c>
      <c r="D918" s="14">
        <v>11.09</v>
      </c>
      <c r="E918" s="15">
        <v>156.80000000000001</v>
      </c>
    </row>
    <row r="919" spans="1:5">
      <c r="A919">
        <v>2016</v>
      </c>
      <c r="B919" t="s">
        <v>2221</v>
      </c>
      <c r="C919" t="s">
        <v>2228</v>
      </c>
      <c r="D919" s="14">
        <v>35.42</v>
      </c>
      <c r="E919" s="15">
        <v>156.80000000000001</v>
      </c>
    </row>
    <row r="920" spans="1:5">
      <c r="A920">
        <v>2016</v>
      </c>
      <c r="B920" t="s">
        <v>2222</v>
      </c>
      <c r="C920" t="s">
        <v>2228</v>
      </c>
      <c r="D920" s="14">
        <v>11.07</v>
      </c>
      <c r="E920" s="15">
        <v>156.80000000000001</v>
      </c>
    </row>
    <row r="921" spans="1:5">
      <c r="A921">
        <v>2016</v>
      </c>
      <c r="B921" t="s">
        <v>2223</v>
      </c>
      <c r="C921" t="s">
        <v>2228</v>
      </c>
      <c r="D921" s="14">
        <v>1.51</v>
      </c>
      <c r="E921" s="15">
        <v>156.80000000000001</v>
      </c>
    </row>
    <row r="922" spans="1:5">
      <c r="A922">
        <v>2017</v>
      </c>
      <c r="B922" t="s">
        <v>2213</v>
      </c>
      <c r="C922" t="s">
        <v>2228</v>
      </c>
      <c r="D922" s="14">
        <v>7.78</v>
      </c>
      <c r="E922" s="15">
        <v>158.5</v>
      </c>
    </row>
    <row r="923" spans="1:5">
      <c r="A923">
        <v>2017</v>
      </c>
      <c r="B923" t="s">
        <v>2215</v>
      </c>
      <c r="C923" t="s">
        <v>2228</v>
      </c>
      <c r="D923" s="14">
        <v>9.34</v>
      </c>
      <c r="E923" s="15">
        <v>158.5</v>
      </c>
    </row>
    <row r="924" spans="1:5">
      <c r="A924">
        <v>2017</v>
      </c>
      <c r="B924" t="s">
        <v>2216</v>
      </c>
      <c r="C924" t="s">
        <v>2228</v>
      </c>
      <c r="D924" s="14">
        <v>6.13</v>
      </c>
      <c r="E924" s="15">
        <v>158.5</v>
      </c>
    </row>
    <row r="925" spans="1:5">
      <c r="A925">
        <v>2017</v>
      </c>
      <c r="B925" t="s">
        <v>2217</v>
      </c>
      <c r="C925" t="s">
        <v>2228</v>
      </c>
      <c r="D925" s="14">
        <v>28.89</v>
      </c>
      <c r="E925" s="15">
        <v>158.5</v>
      </c>
    </row>
    <row r="926" spans="1:5">
      <c r="A926">
        <v>2017</v>
      </c>
      <c r="B926" t="s">
        <v>2218</v>
      </c>
      <c r="C926" t="s">
        <v>2228</v>
      </c>
      <c r="D926" s="14">
        <v>32.229999999999997</v>
      </c>
      <c r="E926" s="15">
        <v>158.5</v>
      </c>
    </row>
    <row r="927" spans="1:5">
      <c r="A927">
        <v>2017</v>
      </c>
      <c r="B927" t="s">
        <v>2219</v>
      </c>
      <c r="C927" t="s">
        <v>2228</v>
      </c>
      <c r="D927" s="14">
        <v>16.48</v>
      </c>
      <c r="E927" s="15">
        <v>158.5</v>
      </c>
    </row>
    <row r="928" spans="1:5">
      <c r="A928">
        <v>2017</v>
      </c>
      <c r="B928" t="s">
        <v>2220</v>
      </c>
      <c r="C928" t="s">
        <v>2228</v>
      </c>
      <c r="D928" s="14">
        <v>10.72</v>
      </c>
      <c r="E928" s="15">
        <v>158.5</v>
      </c>
    </row>
    <row r="929" spans="1:5">
      <c r="A929">
        <v>2017</v>
      </c>
      <c r="B929" t="s">
        <v>2221</v>
      </c>
      <c r="C929" t="s">
        <v>2228</v>
      </c>
      <c r="D929" s="14">
        <v>34.07</v>
      </c>
      <c r="E929" s="15">
        <v>158.5</v>
      </c>
    </row>
    <row r="930" spans="1:5">
      <c r="A930">
        <v>2017</v>
      </c>
      <c r="B930" t="s">
        <v>2222</v>
      </c>
      <c r="C930" t="s">
        <v>2228</v>
      </c>
      <c r="D930" s="14">
        <v>11.81</v>
      </c>
      <c r="E930" s="15">
        <v>158.5</v>
      </c>
    </row>
    <row r="931" spans="1:5">
      <c r="A931">
        <v>2017</v>
      </c>
      <c r="B931" t="s">
        <v>2223</v>
      </c>
      <c r="C931" t="s">
        <v>2228</v>
      </c>
      <c r="D931" s="14">
        <v>1.57</v>
      </c>
      <c r="E931" s="15">
        <v>158.5</v>
      </c>
    </row>
    <row r="932" spans="1:5">
      <c r="A932">
        <v>2018</v>
      </c>
      <c r="B932" t="s">
        <v>2213</v>
      </c>
      <c r="C932" t="s">
        <v>2228</v>
      </c>
      <c r="D932" s="14">
        <v>8.02</v>
      </c>
      <c r="E932" s="15">
        <v>160.19999999999999</v>
      </c>
    </row>
    <row r="933" spans="1:5">
      <c r="A933">
        <v>2018</v>
      </c>
      <c r="B933" t="s">
        <v>2215</v>
      </c>
      <c r="C933" t="s">
        <v>2228</v>
      </c>
      <c r="D933" s="14">
        <v>9.5500000000000007</v>
      </c>
      <c r="E933" s="15">
        <v>160.19999999999999</v>
      </c>
    </row>
    <row r="934" spans="1:5">
      <c r="A934">
        <v>2018</v>
      </c>
      <c r="B934" t="s">
        <v>2216</v>
      </c>
      <c r="C934" t="s">
        <v>2228</v>
      </c>
      <c r="D934" s="14">
        <v>6.71</v>
      </c>
      <c r="E934" s="15">
        <v>160.19999999999999</v>
      </c>
    </row>
    <row r="935" spans="1:5">
      <c r="A935">
        <v>2018</v>
      </c>
      <c r="B935" t="s">
        <v>2217</v>
      </c>
      <c r="C935" t="s">
        <v>2228</v>
      </c>
      <c r="D935" s="14">
        <v>30.23</v>
      </c>
      <c r="E935" s="15">
        <v>160.19999999999999</v>
      </c>
    </row>
    <row r="936" spans="1:5">
      <c r="A936">
        <v>2018</v>
      </c>
      <c r="B936" t="s">
        <v>2218</v>
      </c>
      <c r="C936" t="s">
        <v>2228</v>
      </c>
      <c r="D936" s="14">
        <v>33.51</v>
      </c>
      <c r="E936" s="15">
        <v>160.19999999999999</v>
      </c>
    </row>
    <row r="937" spans="1:5">
      <c r="A937">
        <v>2018</v>
      </c>
      <c r="B937" t="s">
        <v>2219</v>
      </c>
      <c r="C937" t="s">
        <v>2228</v>
      </c>
      <c r="D937" s="14">
        <v>16.04</v>
      </c>
      <c r="E937" s="15">
        <v>160.19999999999999</v>
      </c>
    </row>
    <row r="938" spans="1:5">
      <c r="A938">
        <v>2018</v>
      </c>
      <c r="B938" t="s">
        <v>2220</v>
      </c>
      <c r="C938" t="s">
        <v>2228</v>
      </c>
      <c r="D938" s="14">
        <v>10.83</v>
      </c>
      <c r="E938" s="15">
        <v>160.19999999999999</v>
      </c>
    </row>
    <row r="939" spans="1:5">
      <c r="A939">
        <v>2018</v>
      </c>
      <c r="B939" t="s">
        <v>2221</v>
      </c>
      <c r="C939" t="s">
        <v>2228</v>
      </c>
      <c r="D939" s="14">
        <v>38.08</v>
      </c>
      <c r="E939" s="15">
        <v>160.19999999999999</v>
      </c>
    </row>
    <row r="940" spans="1:5">
      <c r="A940">
        <v>2018</v>
      </c>
      <c r="B940" t="s">
        <v>2222</v>
      </c>
      <c r="C940" t="s">
        <v>2228</v>
      </c>
      <c r="D940" s="14">
        <v>11.61</v>
      </c>
      <c r="E940" s="15">
        <v>160.19999999999999</v>
      </c>
    </row>
    <row r="941" spans="1:5">
      <c r="A941">
        <v>2018</v>
      </c>
      <c r="B941" t="s">
        <v>2223</v>
      </c>
      <c r="C941" t="s">
        <v>2228</v>
      </c>
      <c r="D941" s="14">
        <v>1.57</v>
      </c>
      <c r="E941" s="15">
        <v>160.19999999999999</v>
      </c>
    </row>
    <row r="942" spans="1:5">
      <c r="A942">
        <v>2019</v>
      </c>
      <c r="B942" t="s">
        <v>2213</v>
      </c>
      <c r="C942" t="s">
        <v>2228</v>
      </c>
      <c r="D942" s="14">
        <v>8.57</v>
      </c>
      <c r="E942" s="15">
        <v>162</v>
      </c>
    </row>
    <row r="943" spans="1:5">
      <c r="A943">
        <v>2019</v>
      </c>
      <c r="B943" t="s">
        <v>2215</v>
      </c>
      <c r="C943" t="s">
        <v>2228</v>
      </c>
      <c r="D943" s="14">
        <v>9.51</v>
      </c>
      <c r="E943" s="15">
        <v>162</v>
      </c>
    </row>
    <row r="944" spans="1:5">
      <c r="A944">
        <v>2019</v>
      </c>
      <c r="B944" t="s">
        <v>2216</v>
      </c>
      <c r="C944" t="s">
        <v>2228</v>
      </c>
      <c r="D944" s="14">
        <v>6.86</v>
      </c>
      <c r="E944" s="15">
        <v>162</v>
      </c>
    </row>
    <row r="945" spans="1:5">
      <c r="A945">
        <v>2019</v>
      </c>
      <c r="B945" t="s">
        <v>2217</v>
      </c>
      <c r="C945" t="s">
        <v>2228</v>
      </c>
      <c r="D945" s="14">
        <v>30.94</v>
      </c>
      <c r="E945" s="15">
        <v>162</v>
      </c>
    </row>
    <row r="946" spans="1:5">
      <c r="A946">
        <v>2019</v>
      </c>
      <c r="B946" t="s">
        <v>2218</v>
      </c>
      <c r="C946" t="s">
        <v>2228</v>
      </c>
      <c r="D946" s="14">
        <v>31.23</v>
      </c>
      <c r="E946" s="15">
        <v>162</v>
      </c>
    </row>
    <row r="947" spans="1:5">
      <c r="A947">
        <v>2019</v>
      </c>
      <c r="B947" t="s">
        <v>2219</v>
      </c>
      <c r="C947" t="s">
        <v>2228</v>
      </c>
      <c r="D947" s="14">
        <v>16.579999999999998</v>
      </c>
      <c r="E947" s="15">
        <v>162</v>
      </c>
    </row>
    <row r="948" spans="1:5">
      <c r="A948">
        <v>2019</v>
      </c>
      <c r="B948" t="s">
        <v>2220</v>
      </c>
      <c r="C948" t="s">
        <v>2228</v>
      </c>
      <c r="D948" s="14">
        <v>11.7</v>
      </c>
      <c r="E948" s="15">
        <v>162</v>
      </c>
    </row>
    <row r="949" spans="1:5">
      <c r="A949">
        <v>2019</v>
      </c>
      <c r="B949" t="s">
        <v>2221</v>
      </c>
      <c r="C949" t="s">
        <v>2228</v>
      </c>
      <c r="D949" s="14">
        <v>39.57</v>
      </c>
      <c r="E949" s="15">
        <v>162</v>
      </c>
    </row>
    <row r="950" spans="1:5">
      <c r="A950">
        <v>2019</v>
      </c>
      <c r="B950" t="s">
        <v>2222</v>
      </c>
      <c r="C950" t="s">
        <v>2228</v>
      </c>
      <c r="D950" s="14">
        <v>11.01</v>
      </c>
      <c r="E950" s="15">
        <v>162</v>
      </c>
    </row>
    <row r="951" spans="1:5">
      <c r="A951">
        <v>2019</v>
      </c>
      <c r="B951" t="s">
        <v>2223</v>
      </c>
      <c r="C951" t="s">
        <v>2228</v>
      </c>
      <c r="D951" s="14">
        <v>1.72</v>
      </c>
      <c r="E951" s="15">
        <v>162</v>
      </c>
    </row>
    <row r="952" spans="1:5">
      <c r="A952">
        <v>2020</v>
      </c>
      <c r="B952" t="s">
        <v>2213</v>
      </c>
      <c r="C952" t="s">
        <v>2228</v>
      </c>
      <c r="D952" s="14">
        <v>8.66</v>
      </c>
      <c r="E952" s="15">
        <v>173</v>
      </c>
    </row>
    <row r="953" spans="1:5">
      <c r="A953">
        <v>2020</v>
      </c>
      <c r="B953" t="s">
        <v>2215</v>
      </c>
      <c r="C953" t="s">
        <v>2228</v>
      </c>
      <c r="D953" s="14">
        <v>9.8800000000000008</v>
      </c>
      <c r="E953" s="15">
        <v>173</v>
      </c>
    </row>
    <row r="954" spans="1:5">
      <c r="A954">
        <v>2020</v>
      </c>
      <c r="B954" t="s">
        <v>2216</v>
      </c>
      <c r="C954" t="s">
        <v>2228</v>
      </c>
      <c r="D954" s="14">
        <v>6.89</v>
      </c>
      <c r="E954" s="15">
        <v>173</v>
      </c>
    </row>
    <row r="955" spans="1:5">
      <c r="A955">
        <v>2020</v>
      </c>
      <c r="B955" t="s">
        <v>2217</v>
      </c>
      <c r="C955" t="s">
        <v>2228</v>
      </c>
      <c r="D955" s="14">
        <v>31.14</v>
      </c>
      <c r="E955" s="15">
        <v>173</v>
      </c>
    </row>
    <row r="956" spans="1:5">
      <c r="A956">
        <v>2020</v>
      </c>
      <c r="B956" t="s">
        <v>2218</v>
      </c>
      <c r="C956" t="s">
        <v>2228</v>
      </c>
      <c r="D956" s="14">
        <v>33.17</v>
      </c>
      <c r="E956" s="15">
        <v>173</v>
      </c>
    </row>
    <row r="957" spans="1:5">
      <c r="A957">
        <v>2020</v>
      </c>
      <c r="B957" t="s">
        <v>2219</v>
      </c>
      <c r="C957" t="s">
        <v>2228</v>
      </c>
      <c r="D957" s="14">
        <v>17.52</v>
      </c>
      <c r="E957" s="15">
        <v>173</v>
      </c>
    </row>
    <row r="958" spans="1:5">
      <c r="A958">
        <v>2020</v>
      </c>
      <c r="B958" t="s">
        <v>2220</v>
      </c>
      <c r="C958" t="s">
        <v>2228</v>
      </c>
      <c r="D958" s="14">
        <v>12.58</v>
      </c>
      <c r="E958" s="15">
        <v>173</v>
      </c>
    </row>
    <row r="959" spans="1:5">
      <c r="A959">
        <v>2020</v>
      </c>
      <c r="B959" t="s">
        <v>2221</v>
      </c>
      <c r="C959" t="s">
        <v>2228</v>
      </c>
      <c r="D959" s="14">
        <v>38.42</v>
      </c>
      <c r="E959" s="15">
        <v>173</v>
      </c>
    </row>
    <row r="960" spans="1:5">
      <c r="A960">
        <v>2020</v>
      </c>
      <c r="B960" t="s">
        <v>2222</v>
      </c>
      <c r="C960" t="s">
        <v>2228</v>
      </c>
      <c r="D960" s="14">
        <v>11.85</v>
      </c>
      <c r="E960" s="15">
        <v>173</v>
      </c>
    </row>
    <row r="961" spans="1:5">
      <c r="A961">
        <v>2020</v>
      </c>
      <c r="B961" t="s">
        <v>2223</v>
      </c>
      <c r="C961" t="s">
        <v>2228</v>
      </c>
      <c r="D961" s="14">
        <v>1.72</v>
      </c>
      <c r="E961" s="15">
        <v>173</v>
      </c>
    </row>
    <row r="962" spans="1:5">
      <c r="A962">
        <v>2021</v>
      </c>
      <c r="B962" t="s">
        <v>2213</v>
      </c>
      <c r="C962" t="s">
        <v>2228</v>
      </c>
      <c r="D962" s="14">
        <v>9.1999999999999993</v>
      </c>
      <c r="E962" s="15">
        <v>184</v>
      </c>
    </row>
    <row r="963" spans="1:5">
      <c r="A963">
        <v>2021</v>
      </c>
      <c r="B963" t="s">
        <v>2215</v>
      </c>
      <c r="C963" t="s">
        <v>2228</v>
      </c>
      <c r="D963" s="14">
        <v>11.14</v>
      </c>
      <c r="E963" s="15">
        <v>184</v>
      </c>
    </row>
    <row r="964" spans="1:5">
      <c r="A964">
        <v>2021</v>
      </c>
      <c r="B964" t="s">
        <v>2216</v>
      </c>
      <c r="C964" t="s">
        <v>2228</v>
      </c>
      <c r="D964" s="14">
        <v>7.69</v>
      </c>
      <c r="E964" s="15">
        <v>184</v>
      </c>
    </row>
    <row r="965" spans="1:5">
      <c r="A965">
        <v>2021</v>
      </c>
      <c r="B965" t="s">
        <v>2217</v>
      </c>
      <c r="C965" t="s">
        <v>2228</v>
      </c>
      <c r="D965" s="14">
        <v>33.479999999999997</v>
      </c>
      <c r="E965" s="15">
        <v>184</v>
      </c>
    </row>
    <row r="966" spans="1:5">
      <c r="A966">
        <v>2021</v>
      </c>
      <c r="B966" t="s">
        <v>2218</v>
      </c>
      <c r="C966" t="s">
        <v>2228</v>
      </c>
      <c r="D966" s="14">
        <v>34.79</v>
      </c>
      <c r="E966" s="15">
        <v>184</v>
      </c>
    </row>
    <row r="967" spans="1:5">
      <c r="A967">
        <v>2021</v>
      </c>
      <c r="B967" t="s">
        <v>2219</v>
      </c>
      <c r="C967" t="s">
        <v>2228</v>
      </c>
      <c r="D967" s="14">
        <v>17.989999999999998</v>
      </c>
      <c r="E967" s="15">
        <v>184</v>
      </c>
    </row>
    <row r="968" spans="1:5">
      <c r="A968">
        <v>2021</v>
      </c>
      <c r="B968" t="s">
        <v>2220</v>
      </c>
      <c r="C968" t="s">
        <v>2228</v>
      </c>
      <c r="D968" s="14">
        <v>12.97</v>
      </c>
      <c r="E968" s="15">
        <v>184</v>
      </c>
    </row>
    <row r="969" spans="1:5">
      <c r="A969">
        <v>2021</v>
      </c>
      <c r="B969" t="s">
        <v>2221</v>
      </c>
      <c r="C969" t="s">
        <v>2228</v>
      </c>
      <c r="D969" s="14">
        <v>42.34</v>
      </c>
      <c r="E969" s="15">
        <v>184</v>
      </c>
    </row>
    <row r="970" spans="1:5">
      <c r="A970">
        <v>2021</v>
      </c>
      <c r="B970" t="s">
        <v>2222</v>
      </c>
      <c r="C970" t="s">
        <v>2228</v>
      </c>
      <c r="D970" s="14">
        <v>13.57</v>
      </c>
      <c r="E970" s="15">
        <v>184</v>
      </c>
    </row>
    <row r="971" spans="1:5">
      <c r="A971">
        <v>2021</v>
      </c>
      <c r="B971" t="s">
        <v>2223</v>
      </c>
      <c r="C971" t="s">
        <v>2228</v>
      </c>
      <c r="D971" s="14">
        <v>1.98</v>
      </c>
      <c r="E971" s="15">
        <v>184</v>
      </c>
    </row>
    <row r="972" spans="1:5">
      <c r="A972">
        <v>2022</v>
      </c>
      <c r="B972" t="s">
        <v>2213</v>
      </c>
      <c r="C972" t="s">
        <v>2228</v>
      </c>
      <c r="D972" s="14">
        <v>9.35</v>
      </c>
      <c r="E972" s="15">
        <v>186</v>
      </c>
    </row>
    <row r="973" spans="1:5">
      <c r="A973">
        <v>2022</v>
      </c>
      <c r="B973" t="s">
        <v>2215</v>
      </c>
      <c r="C973" t="s">
        <v>2228</v>
      </c>
      <c r="D973" s="14">
        <v>11.51</v>
      </c>
      <c r="E973" s="15">
        <v>186</v>
      </c>
    </row>
    <row r="974" spans="1:5">
      <c r="A974">
        <v>2022</v>
      </c>
      <c r="B974" t="s">
        <v>2216</v>
      </c>
      <c r="C974" t="s">
        <v>2228</v>
      </c>
      <c r="D974" s="14">
        <v>7.02</v>
      </c>
      <c r="E974" s="15">
        <v>186</v>
      </c>
    </row>
    <row r="975" spans="1:5">
      <c r="A975">
        <v>2022</v>
      </c>
      <c r="B975" t="s">
        <v>2217</v>
      </c>
      <c r="C975" t="s">
        <v>2228</v>
      </c>
      <c r="D975" s="14">
        <v>34.06</v>
      </c>
      <c r="E975" s="15">
        <v>186</v>
      </c>
    </row>
    <row r="976" spans="1:5">
      <c r="A976">
        <v>2022</v>
      </c>
      <c r="B976" t="s">
        <v>2218</v>
      </c>
      <c r="C976" t="s">
        <v>2228</v>
      </c>
      <c r="D976" s="14">
        <v>35.630000000000003</v>
      </c>
      <c r="E976" s="15">
        <v>186</v>
      </c>
    </row>
    <row r="977" spans="1:5">
      <c r="A977">
        <v>2022</v>
      </c>
      <c r="B977" t="s">
        <v>2219</v>
      </c>
      <c r="C977" t="s">
        <v>2228</v>
      </c>
      <c r="D977" s="14">
        <v>18.55</v>
      </c>
      <c r="E977" s="15">
        <v>186</v>
      </c>
    </row>
    <row r="978" spans="1:5">
      <c r="A978">
        <v>2022</v>
      </c>
      <c r="B978" t="s">
        <v>2220</v>
      </c>
      <c r="C978" t="s">
        <v>2228</v>
      </c>
      <c r="D978" s="14">
        <v>14.7</v>
      </c>
      <c r="E978" s="15">
        <v>186</v>
      </c>
    </row>
    <row r="979" spans="1:5">
      <c r="A979">
        <v>2022</v>
      </c>
      <c r="B979" t="s">
        <v>2221</v>
      </c>
      <c r="C979" t="s">
        <v>2228</v>
      </c>
      <c r="D979" s="14">
        <v>41.42</v>
      </c>
      <c r="E979" s="15">
        <v>186</v>
      </c>
    </row>
    <row r="980" spans="1:5">
      <c r="A980">
        <v>2022</v>
      </c>
      <c r="B980" t="s">
        <v>2222</v>
      </c>
      <c r="C980" t="s">
        <v>2228</v>
      </c>
      <c r="D980" s="14">
        <v>12.58</v>
      </c>
      <c r="E980" s="15">
        <v>186</v>
      </c>
    </row>
    <row r="981" spans="1:5">
      <c r="A981">
        <v>2022</v>
      </c>
      <c r="B981" t="s">
        <v>2223</v>
      </c>
      <c r="C981" t="s">
        <v>2228</v>
      </c>
      <c r="D981" s="14">
        <v>1.89</v>
      </c>
      <c r="E981" s="15">
        <v>186</v>
      </c>
    </row>
    <row r="982" spans="1:5">
      <c r="A982">
        <v>2023</v>
      </c>
      <c r="B982" t="s">
        <v>2213</v>
      </c>
      <c r="C982" t="s">
        <v>2228</v>
      </c>
      <c r="D982" s="14">
        <v>9.2100000000000009</v>
      </c>
      <c r="E982" s="15">
        <v>188</v>
      </c>
    </row>
    <row r="983" spans="1:5">
      <c r="A983">
        <v>2023</v>
      </c>
      <c r="B983" t="s">
        <v>2215</v>
      </c>
      <c r="C983" t="s">
        <v>2228</v>
      </c>
      <c r="D983" s="14">
        <v>10.85</v>
      </c>
      <c r="E983" s="15">
        <v>188</v>
      </c>
    </row>
    <row r="984" spans="1:5">
      <c r="A984">
        <v>2023</v>
      </c>
      <c r="B984" t="s">
        <v>2216</v>
      </c>
      <c r="C984" t="s">
        <v>2228</v>
      </c>
      <c r="D984" s="14">
        <v>8.18</v>
      </c>
      <c r="E984" s="15">
        <v>188</v>
      </c>
    </row>
    <row r="985" spans="1:5">
      <c r="A985">
        <v>2023</v>
      </c>
      <c r="B985" t="s">
        <v>2217</v>
      </c>
      <c r="C985" t="s">
        <v>2228</v>
      </c>
      <c r="D985" s="14">
        <v>35.32</v>
      </c>
      <c r="E985" s="15">
        <v>188</v>
      </c>
    </row>
    <row r="986" spans="1:5">
      <c r="A986">
        <v>2023</v>
      </c>
      <c r="B986" t="s">
        <v>2218</v>
      </c>
      <c r="C986" t="s">
        <v>2228</v>
      </c>
      <c r="D986" s="14">
        <v>38.119999999999997</v>
      </c>
      <c r="E986" s="15">
        <v>188</v>
      </c>
    </row>
    <row r="987" spans="1:5">
      <c r="A987">
        <v>2023</v>
      </c>
      <c r="B987" t="s">
        <v>2219</v>
      </c>
      <c r="C987" t="s">
        <v>2228</v>
      </c>
      <c r="D987" s="14">
        <v>18.510000000000002</v>
      </c>
      <c r="E987" s="15">
        <v>188</v>
      </c>
    </row>
    <row r="988" spans="1:5">
      <c r="A988">
        <v>2023</v>
      </c>
      <c r="B988" t="s">
        <v>2220</v>
      </c>
      <c r="C988" t="s">
        <v>2228</v>
      </c>
      <c r="D988" s="14">
        <v>13</v>
      </c>
      <c r="E988" s="15">
        <v>188</v>
      </c>
    </row>
    <row r="989" spans="1:5">
      <c r="A989">
        <v>2023</v>
      </c>
      <c r="B989" t="s">
        <v>2221</v>
      </c>
      <c r="C989" t="s">
        <v>2228</v>
      </c>
      <c r="D989" s="14">
        <v>43.99</v>
      </c>
      <c r="E989" s="15">
        <v>188</v>
      </c>
    </row>
    <row r="990" spans="1:5">
      <c r="A990">
        <v>2023</v>
      </c>
      <c r="B990" t="s">
        <v>2222</v>
      </c>
      <c r="C990" t="s">
        <v>2228</v>
      </c>
      <c r="D990" s="14">
        <v>13.32</v>
      </c>
      <c r="E990" s="15">
        <v>188</v>
      </c>
    </row>
    <row r="991" spans="1:5">
      <c r="A991">
        <v>2023</v>
      </c>
      <c r="B991" t="s">
        <v>2223</v>
      </c>
      <c r="C991" t="s">
        <v>2228</v>
      </c>
      <c r="D991" s="14">
        <v>1.66</v>
      </c>
      <c r="E991" s="15">
        <v>188</v>
      </c>
    </row>
    <row r="992" spans="1:5">
      <c r="A992">
        <v>2024</v>
      </c>
      <c r="B992" t="s">
        <v>2213</v>
      </c>
      <c r="C992" t="s">
        <v>2228</v>
      </c>
      <c r="D992" s="14">
        <v>10.47</v>
      </c>
      <c r="E992" s="15">
        <v>190</v>
      </c>
    </row>
    <row r="993" spans="1:5">
      <c r="A993">
        <v>2024</v>
      </c>
      <c r="B993" t="s">
        <v>2215</v>
      </c>
      <c r="C993" t="s">
        <v>2228</v>
      </c>
      <c r="D993" s="14">
        <v>11.48</v>
      </c>
      <c r="E993" s="15">
        <v>190</v>
      </c>
    </row>
    <row r="994" spans="1:5">
      <c r="A994">
        <v>2024</v>
      </c>
      <c r="B994" t="s">
        <v>2216</v>
      </c>
      <c r="C994" t="s">
        <v>2228</v>
      </c>
      <c r="D994" s="14">
        <v>7.71</v>
      </c>
      <c r="E994" s="15">
        <v>190</v>
      </c>
    </row>
    <row r="995" spans="1:5">
      <c r="A995">
        <v>2024</v>
      </c>
      <c r="B995" t="s">
        <v>2217</v>
      </c>
      <c r="C995" t="s">
        <v>2228</v>
      </c>
      <c r="D995" s="14">
        <v>35.72</v>
      </c>
      <c r="E995" s="15">
        <v>190</v>
      </c>
    </row>
    <row r="996" spans="1:5">
      <c r="A996">
        <v>2024</v>
      </c>
      <c r="B996" t="s">
        <v>2218</v>
      </c>
      <c r="C996" t="s">
        <v>2228</v>
      </c>
      <c r="D996" s="14">
        <v>38.71</v>
      </c>
      <c r="E996" s="15">
        <v>190</v>
      </c>
    </row>
    <row r="997" spans="1:5">
      <c r="A997">
        <v>2024</v>
      </c>
      <c r="B997" t="s">
        <v>2219</v>
      </c>
      <c r="C997" t="s">
        <v>2228</v>
      </c>
      <c r="D997" s="14">
        <v>19.579999999999998</v>
      </c>
      <c r="E997" s="15">
        <v>190</v>
      </c>
    </row>
    <row r="998" spans="1:5">
      <c r="A998">
        <v>2024</v>
      </c>
      <c r="B998" t="s">
        <v>2220</v>
      </c>
      <c r="C998" t="s">
        <v>2228</v>
      </c>
      <c r="D998" s="14">
        <v>13.08</v>
      </c>
      <c r="E998" s="15">
        <v>190</v>
      </c>
    </row>
    <row r="999" spans="1:5">
      <c r="A999">
        <v>2024</v>
      </c>
      <c r="B999" t="s">
        <v>2221</v>
      </c>
      <c r="C999" t="s">
        <v>2228</v>
      </c>
      <c r="D999" s="14">
        <v>39.79</v>
      </c>
      <c r="E999" s="15">
        <v>190</v>
      </c>
    </row>
    <row r="1000" spans="1:5">
      <c r="A1000">
        <v>2024</v>
      </c>
      <c r="B1000" t="s">
        <v>2222</v>
      </c>
      <c r="C1000" t="s">
        <v>2228</v>
      </c>
      <c r="D1000" s="14">
        <v>13.45</v>
      </c>
      <c r="E1000" s="15">
        <v>190</v>
      </c>
    </row>
    <row r="1001" spans="1:5">
      <c r="A1001">
        <v>2024</v>
      </c>
      <c r="B1001" t="s">
        <v>2223</v>
      </c>
      <c r="C1001" t="s">
        <v>2228</v>
      </c>
      <c r="D1001" s="14">
        <v>2.0099999999999998</v>
      </c>
      <c r="E1001" s="15">
        <v>190</v>
      </c>
    </row>
    <row r="1002" spans="1:5">
      <c r="A1002">
        <v>2025</v>
      </c>
      <c r="B1002" t="s">
        <v>2213</v>
      </c>
      <c r="C1002" t="s">
        <v>2228</v>
      </c>
      <c r="D1002" s="14">
        <v>9.3800000000000008</v>
      </c>
      <c r="E1002" s="15">
        <v>192.5</v>
      </c>
    </row>
    <row r="1003" spans="1:5">
      <c r="A1003">
        <v>2025</v>
      </c>
      <c r="B1003" t="s">
        <v>2215</v>
      </c>
      <c r="C1003" t="s">
        <v>2228</v>
      </c>
      <c r="D1003" s="14">
        <v>11.22</v>
      </c>
      <c r="E1003" s="15">
        <v>192.5</v>
      </c>
    </row>
    <row r="1004" spans="1:5">
      <c r="A1004">
        <v>2025</v>
      </c>
      <c r="B1004" t="s">
        <v>2216</v>
      </c>
      <c r="C1004" t="s">
        <v>2228</v>
      </c>
      <c r="D1004" s="14">
        <v>8.09</v>
      </c>
      <c r="E1004" s="15">
        <v>192.5</v>
      </c>
    </row>
    <row r="1005" spans="1:5">
      <c r="A1005">
        <v>2025</v>
      </c>
      <c r="B1005" t="s">
        <v>2217</v>
      </c>
      <c r="C1005" t="s">
        <v>2228</v>
      </c>
      <c r="D1005" s="14">
        <v>34.020000000000003</v>
      </c>
      <c r="E1005" s="15">
        <v>192.5</v>
      </c>
    </row>
    <row r="1006" spans="1:5">
      <c r="A1006">
        <v>2025</v>
      </c>
      <c r="B1006" t="s">
        <v>2218</v>
      </c>
      <c r="C1006" t="s">
        <v>2228</v>
      </c>
      <c r="D1006" s="14">
        <v>37.869999999999997</v>
      </c>
      <c r="E1006" s="15">
        <v>192.5</v>
      </c>
    </row>
    <row r="1007" spans="1:5">
      <c r="A1007">
        <v>2025</v>
      </c>
      <c r="B1007" t="s">
        <v>2219</v>
      </c>
      <c r="C1007" t="s">
        <v>2228</v>
      </c>
      <c r="D1007" s="14">
        <v>18.96</v>
      </c>
      <c r="E1007" s="15">
        <v>192.5</v>
      </c>
    </row>
    <row r="1008" spans="1:5">
      <c r="A1008">
        <v>2025</v>
      </c>
      <c r="B1008" t="s">
        <v>2220</v>
      </c>
      <c r="C1008" t="s">
        <v>2228</v>
      </c>
      <c r="D1008" s="14">
        <v>13.44</v>
      </c>
      <c r="E1008" s="15">
        <v>192.5</v>
      </c>
    </row>
    <row r="1009" spans="1:5">
      <c r="A1009">
        <v>2025</v>
      </c>
      <c r="B1009" t="s">
        <v>2221</v>
      </c>
      <c r="C1009" t="s">
        <v>2228</v>
      </c>
      <c r="D1009" s="14">
        <v>39.770000000000003</v>
      </c>
      <c r="E1009" s="15">
        <v>192.5</v>
      </c>
    </row>
    <row r="1010" spans="1:5">
      <c r="A1010">
        <v>2025</v>
      </c>
      <c r="B1010" t="s">
        <v>2222</v>
      </c>
      <c r="C1010" t="s">
        <v>2228</v>
      </c>
      <c r="D1010" s="14">
        <v>13.19</v>
      </c>
      <c r="E1010" s="15">
        <v>192.5</v>
      </c>
    </row>
    <row r="1011" spans="1:5">
      <c r="A1011">
        <v>2025</v>
      </c>
      <c r="B1011" t="s">
        <v>2223</v>
      </c>
      <c r="C1011" t="s">
        <v>2228</v>
      </c>
      <c r="D1011" s="14">
        <v>1.94</v>
      </c>
      <c r="E1011" s="15">
        <v>192.5</v>
      </c>
    </row>
    <row r="1012" spans="1:5">
      <c r="A1012">
        <v>2026</v>
      </c>
      <c r="B1012" t="s">
        <v>2213</v>
      </c>
      <c r="C1012" t="s">
        <v>2228</v>
      </c>
      <c r="D1012" s="14">
        <v>9.84</v>
      </c>
      <c r="E1012" s="15">
        <v>195</v>
      </c>
    </row>
    <row r="1013" spans="1:5">
      <c r="A1013">
        <v>2026</v>
      </c>
      <c r="B1013" t="s">
        <v>2215</v>
      </c>
      <c r="C1013" t="s">
        <v>2228</v>
      </c>
      <c r="D1013" s="14">
        <v>12.25</v>
      </c>
      <c r="E1013" s="15">
        <v>195</v>
      </c>
    </row>
    <row r="1014" spans="1:5">
      <c r="A1014">
        <v>2026</v>
      </c>
      <c r="B1014" t="s">
        <v>2216</v>
      </c>
      <c r="C1014" t="s">
        <v>2228</v>
      </c>
      <c r="D1014" s="14">
        <v>8.4</v>
      </c>
      <c r="E1014" s="15">
        <v>195</v>
      </c>
    </row>
    <row r="1015" spans="1:5">
      <c r="A1015">
        <v>2026</v>
      </c>
      <c r="B1015" t="s">
        <v>2217</v>
      </c>
      <c r="C1015" t="s">
        <v>2228</v>
      </c>
      <c r="D1015" s="14">
        <v>37.29</v>
      </c>
      <c r="E1015" s="15">
        <v>195</v>
      </c>
    </row>
    <row r="1016" spans="1:5">
      <c r="A1016">
        <v>2026</v>
      </c>
      <c r="B1016" t="s">
        <v>2218</v>
      </c>
      <c r="C1016" t="s">
        <v>2228</v>
      </c>
      <c r="D1016" s="14">
        <v>40.450000000000003</v>
      </c>
      <c r="E1016" s="15">
        <v>195</v>
      </c>
    </row>
    <row r="1017" spans="1:5">
      <c r="A1017">
        <v>2026</v>
      </c>
      <c r="B1017" t="s">
        <v>2219</v>
      </c>
      <c r="C1017" t="s">
        <v>2228</v>
      </c>
      <c r="D1017" s="14">
        <v>19.38</v>
      </c>
      <c r="E1017" s="15">
        <v>195</v>
      </c>
    </row>
    <row r="1018" spans="1:5">
      <c r="A1018">
        <v>2026</v>
      </c>
      <c r="B1018" t="s">
        <v>2220</v>
      </c>
      <c r="C1018" t="s">
        <v>2228</v>
      </c>
      <c r="D1018" s="14">
        <v>13.31</v>
      </c>
      <c r="E1018" s="15">
        <v>195</v>
      </c>
    </row>
    <row r="1019" spans="1:5">
      <c r="A1019">
        <v>2026</v>
      </c>
      <c r="B1019" t="s">
        <v>2221</v>
      </c>
      <c r="C1019" t="s">
        <v>2228</v>
      </c>
      <c r="D1019" s="14">
        <v>42.93</v>
      </c>
      <c r="E1019" s="15">
        <v>195</v>
      </c>
    </row>
    <row r="1020" spans="1:5">
      <c r="A1020">
        <v>2026</v>
      </c>
      <c r="B1020" t="s">
        <v>2222</v>
      </c>
      <c r="C1020" t="s">
        <v>2228</v>
      </c>
      <c r="D1020" s="14">
        <v>13.97</v>
      </c>
      <c r="E1020" s="15">
        <v>195</v>
      </c>
    </row>
    <row r="1021" spans="1:5">
      <c r="A1021">
        <v>2026</v>
      </c>
      <c r="B1021" t="s">
        <v>2223</v>
      </c>
      <c r="C1021" t="s">
        <v>2228</v>
      </c>
      <c r="D1021" s="14">
        <v>2.02</v>
      </c>
      <c r="E1021" s="15">
        <v>195</v>
      </c>
    </row>
    <row r="1022" spans="1:5">
      <c r="A1022">
        <v>2010</v>
      </c>
      <c r="B1022" t="s">
        <v>2213</v>
      </c>
      <c r="C1022" t="s">
        <v>2229</v>
      </c>
      <c r="D1022" s="14">
        <v>0.67</v>
      </c>
      <c r="E1022" s="15">
        <v>65</v>
      </c>
    </row>
    <row r="1023" spans="1:5">
      <c r="A1023">
        <v>2010</v>
      </c>
      <c r="B1023" t="s">
        <v>2215</v>
      </c>
      <c r="C1023" t="s">
        <v>2229</v>
      </c>
      <c r="D1023" s="14">
        <v>3.88</v>
      </c>
      <c r="E1023" s="15">
        <v>65</v>
      </c>
    </row>
    <row r="1024" spans="1:5">
      <c r="A1024">
        <v>2010</v>
      </c>
      <c r="B1024" t="s">
        <v>2216</v>
      </c>
      <c r="C1024" t="s">
        <v>2229</v>
      </c>
      <c r="D1024" s="14">
        <v>2.68</v>
      </c>
      <c r="E1024" s="15">
        <v>65</v>
      </c>
    </row>
    <row r="1025" spans="1:5">
      <c r="A1025">
        <v>2010</v>
      </c>
      <c r="B1025" t="s">
        <v>2217</v>
      </c>
      <c r="C1025" t="s">
        <v>2229</v>
      </c>
      <c r="D1025" s="14">
        <v>12.31</v>
      </c>
      <c r="E1025" s="15">
        <v>65</v>
      </c>
    </row>
    <row r="1026" spans="1:5">
      <c r="A1026">
        <v>2010</v>
      </c>
      <c r="B1026" t="s">
        <v>2218</v>
      </c>
      <c r="C1026" t="s">
        <v>2229</v>
      </c>
      <c r="D1026" s="14">
        <v>13.47</v>
      </c>
      <c r="E1026" s="15">
        <v>65</v>
      </c>
    </row>
    <row r="1027" spans="1:5">
      <c r="A1027">
        <v>2010</v>
      </c>
      <c r="B1027" t="s">
        <v>2219</v>
      </c>
      <c r="C1027" t="s">
        <v>2229</v>
      </c>
      <c r="D1027" s="14">
        <v>6.49</v>
      </c>
      <c r="E1027" s="15">
        <v>65</v>
      </c>
    </row>
    <row r="1028" spans="1:5">
      <c r="A1028">
        <v>2010</v>
      </c>
      <c r="B1028" t="s">
        <v>2220</v>
      </c>
      <c r="C1028" t="s">
        <v>2229</v>
      </c>
      <c r="D1028" s="14">
        <v>4.4000000000000004</v>
      </c>
      <c r="E1028" s="15">
        <v>65</v>
      </c>
    </row>
    <row r="1029" spans="1:5">
      <c r="A1029">
        <v>2010</v>
      </c>
      <c r="B1029" t="s">
        <v>2221</v>
      </c>
      <c r="C1029" t="s">
        <v>2229</v>
      </c>
      <c r="D1029" s="14">
        <v>34.54</v>
      </c>
      <c r="E1029" s="15">
        <v>65</v>
      </c>
    </row>
    <row r="1030" spans="1:5">
      <c r="A1030">
        <v>2010</v>
      </c>
      <c r="B1030" t="s">
        <v>2222</v>
      </c>
      <c r="C1030" t="s">
        <v>2229</v>
      </c>
      <c r="D1030" s="14">
        <v>4.43</v>
      </c>
      <c r="E1030" s="15">
        <v>65</v>
      </c>
    </row>
    <row r="1031" spans="1:5">
      <c r="A1031">
        <v>2010</v>
      </c>
      <c r="B1031" t="s">
        <v>2223</v>
      </c>
      <c r="C1031" t="s">
        <v>2229</v>
      </c>
      <c r="D1031" s="14">
        <v>0.66</v>
      </c>
      <c r="E1031" s="15">
        <v>65</v>
      </c>
    </row>
    <row r="1032" spans="1:5">
      <c r="A1032">
        <v>2011</v>
      </c>
      <c r="B1032" t="s">
        <v>2213</v>
      </c>
      <c r="C1032" t="s">
        <v>2229</v>
      </c>
      <c r="D1032" s="14">
        <v>0.63</v>
      </c>
      <c r="E1032" s="15">
        <v>62</v>
      </c>
    </row>
    <row r="1033" spans="1:5">
      <c r="A1033">
        <v>2011</v>
      </c>
      <c r="B1033" t="s">
        <v>2215</v>
      </c>
      <c r="C1033" t="s">
        <v>2229</v>
      </c>
      <c r="D1033" s="14">
        <v>3.52</v>
      </c>
      <c r="E1033" s="15">
        <v>62</v>
      </c>
    </row>
    <row r="1034" spans="1:5">
      <c r="A1034">
        <v>2011</v>
      </c>
      <c r="B1034" t="s">
        <v>2216</v>
      </c>
      <c r="C1034" t="s">
        <v>2229</v>
      </c>
      <c r="D1034" s="14">
        <v>2.4300000000000002</v>
      </c>
      <c r="E1034" s="15">
        <v>62</v>
      </c>
    </row>
    <row r="1035" spans="1:5">
      <c r="A1035">
        <v>2011</v>
      </c>
      <c r="B1035" t="s">
        <v>2217</v>
      </c>
      <c r="C1035" t="s">
        <v>2229</v>
      </c>
      <c r="D1035" s="14">
        <v>11.27</v>
      </c>
      <c r="E1035" s="15">
        <v>62</v>
      </c>
    </row>
    <row r="1036" spans="1:5">
      <c r="A1036">
        <v>2011</v>
      </c>
      <c r="B1036" t="s">
        <v>2218</v>
      </c>
      <c r="C1036" t="s">
        <v>2229</v>
      </c>
      <c r="D1036" s="14">
        <v>11.96</v>
      </c>
      <c r="E1036" s="15">
        <v>62</v>
      </c>
    </row>
    <row r="1037" spans="1:5">
      <c r="A1037">
        <v>2011</v>
      </c>
      <c r="B1037" t="s">
        <v>2219</v>
      </c>
      <c r="C1037" t="s">
        <v>2229</v>
      </c>
      <c r="D1037" s="14">
        <v>6.31</v>
      </c>
      <c r="E1037" s="15">
        <v>62</v>
      </c>
    </row>
    <row r="1038" spans="1:5">
      <c r="A1038">
        <v>2011</v>
      </c>
      <c r="B1038" t="s">
        <v>2220</v>
      </c>
      <c r="C1038" t="s">
        <v>2229</v>
      </c>
      <c r="D1038" s="14">
        <v>4.29</v>
      </c>
      <c r="E1038" s="15">
        <v>62</v>
      </c>
    </row>
    <row r="1039" spans="1:5">
      <c r="A1039">
        <v>2011</v>
      </c>
      <c r="B1039" t="s">
        <v>2221</v>
      </c>
      <c r="C1039" t="s">
        <v>2229</v>
      </c>
      <c r="D1039" s="14">
        <v>33.130000000000003</v>
      </c>
      <c r="E1039" s="15">
        <v>62</v>
      </c>
    </row>
    <row r="1040" spans="1:5">
      <c r="A1040">
        <v>2011</v>
      </c>
      <c r="B1040" t="s">
        <v>2222</v>
      </c>
      <c r="C1040" t="s">
        <v>2229</v>
      </c>
      <c r="D1040" s="14">
        <v>4.3499999999999996</v>
      </c>
      <c r="E1040" s="15">
        <v>62</v>
      </c>
    </row>
    <row r="1041" spans="1:5">
      <c r="A1041">
        <v>2011</v>
      </c>
      <c r="B1041" t="s">
        <v>2223</v>
      </c>
      <c r="C1041" t="s">
        <v>2229</v>
      </c>
      <c r="D1041" s="14">
        <v>0.63</v>
      </c>
      <c r="E1041" s="15">
        <v>62</v>
      </c>
    </row>
    <row r="1042" spans="1:5">
      <c r="A1042">
        <v>2012</v>
      </c>
      <c r="B1042" t="s">
        <v>2213</v>
      </c>
      <c r="C1042" t="s">
        <v>2229</v>
      </c>
      <c r="D1042" s="14">
        <v>0.56999999999999995</v>
      </c>
      <c r="E1042" s="15">
        <v>59</v>
      </c>
    </row>
    <row r="1043" spans="1:5">
      <c r="A1043">
        <v>2012</v>
      </c>
      <c r="B1043" t="s">
        <v>2215</v>
      </c>
      <c r="C1043" t="s">
        <v>2229</v>
      </c>
      <c r="D1043" s="14">
        <v>3.51</v>
      </c>
      <c r="E1043" s="15">
        <v>59</v>
      </c>
    </row>
    <row r="1044" spans="1:5">
      <c r="A1044">
        <v>2012</v>
      </c>
      <c r="B1044" t="s">
        <v>2216</v>
      </c>
      <c r="C1044" t="s">
        <v>2229</v>
      </c>
      <c r="D1044" s="14">
        <v>2.4</v>
      </c>
      <c r="E1044" s="15">
        <v>59</v>
      </c>
    </row>
    <row r="1045" spans="1:5">
      <c r="A1045">
        <v>2012</v>
      </c>
      <c r="B1045" t="s">
        <v>2217</v>
      </c>
      <c r="C1045" t="s">
        <v>2229</v>
      </c>
      <c r="D1045" s="14">
        <v>10.3</v>
      </c>
      <c r="E1045" s="15">
        <v>59</v>
      </c>
    </row>
    <row r="1046" spans="1:5">
      <c r="A1046">
        <v>2012</v>
      </c>
      <c r="B1046" t="s">
        <v>2218</v>
      </c>
      <c r="C1046" t="s">
        <v>2229</v>
      </c>
      <c r="D1046" s="14">
        <v>11.04</v>
      </c>
      <c r="E1046" s="15">
        <v>59</v>
      </c>
    </row>
    <row r="1047" spans="1:5">
      <c r="A1047">
        <v>2012</v>
      </c>
      <c r="B1047" t="s">
        <v>2219</v>
      </c>
      <c r="C1047" t="s">
        <v>2229</v>
      </c>
      <c r="D1047" s="14">
        <v>5.55</v>
      </c>
      <c r="E1047" s="15">
        <v>59</v>
      </c>
    </row>
    <row r="1048" spans="1:5">
      <c r="A1048">
        <v>2012</v>
      </c>
      <c r="B1048" t="s">
        <v>2220</v>
      </c>
      <c r="C1048" t="s">
        <v>2229</v>
      </c>
      <c r="D1048" s="14">
        <v>4.0599999999999996</v>
      </c>
      <c r="E1048" s="15">
        <v>59</v>
      </c>
    </row>
    <row r="1049" spans="1:5">
      <c r="A1049">
        <v>2012</v>
      </c>
      <c r="B1049" t="s">
        <v>2221</v>
      </c>
      <c r="C1049" t="s">
        <v>2229</v>
      </c>
      <c r="D1049" s="14">
        <v>30.78</v>
      </c>
      <c r="E1049" s="15">
        <v>59</v>
      </c>
    </row>
    <row r="1050" spans="1:5">
      <c r="A1050">
        <v>2012</v>
      </c>
      <c r="B1050" t="s">
        <v>2222</v>
      </c>
      <c r="C1050" t="s">
        <v>2229</v>
      </c>
      <c r="D1050" s="14">
        <v>4.07</v>
      </c>
      <c r="E1050" s="15">
        <v>59</v>
      </c>
    </row>
    <row r="1051" spans="1:5">
      <c r="A1051">
        <v>2012</v>
      </c>
      <c r="B1051" t="s">
        <v>2223</v>
      </c>
      <c r="C1051" t="s">
        <v>2229</v>
      </c>
      <c r="D1051" s="14">
        <v>0.63</v>
      </c>
      <c r="E1051" s="15">
        <v>59</v>
      </c>
    </row>
    <row r="1052" spans="1:5">
      <c r="A1052">
        <v>2013</v>
      </c>
      <c r="B1052" t="s">
        <v>2213</v>
      </c>
      <c r="C1052" t="s">
        <v>2229</v>
      </c>
      <c r="D1052" s="14">
        <v>0.53</v>
      </c>
      <c r="E1052" s="15">
        <v>56</v>
      </c>
    </row>
    <row r="1053" spans="1:5">
      <c r="A1053">
        <v>2013</v>
      </c>
      <c r="B1053" t="s">
        <v>2215</v>
      </c>
      <c r="C1053" t="s">
        <v>2229</v>
      </c>
      <c r="D1053" s="14">
        <v>3.32</v>
      </c>
      <c r="E1053" s="15">
        <v>56</v>
      </c>
    </row>
    <row r="1054" spans="1:5">
      <c r="A1054">
        <v>2013</v>
      </c>
      <c r="B1054" t="s">
        <v>2216</v>
      </c>
      <c r="C1054" t="s">
        <v>2229</v>
      </c>
      <c r="D1054" s="14">
        <v>2.44</v>
      </c>
      <c r="E1054" s="15">
        <v>56</v>
      </c>
    </row>
    <row r="1055" spans="1:5">
      <c r="A1055">
        <v>2013</v>
      </c>
      <c r="B1055" t="s">
        <v>2217</v>
      </c>
      <c r="C1055" t="s">
        <v>2229</v>
      </c>
      <c r="D1055" s="14">
        <v>10.25</v>
      </c>
      <c r="E1055" s="15">
        <v>56</v>
      </c>
    </row>
    <row r="1056" spans="1:5">
      <c r="A1056">
        <v>2013</v>
      </c>
      <c r="B1056" t="s">
        <v>2218</v>
      </c>
      <c r="C1056" t="s">
        <v>2229</v>
      </c>
      <c r="D1056" s="14">
        <v>11.04</v>
      </c>
      <c r="E1056" s="15">
        <v>56</v>
      </c>
    </row>
    <row r="1057" spans="1:5">
      <c r="A1057">
        <v>2013</v>
      </c>
      <c r="B1057" t="s">
        <v>2219</v>
      </c>
      <c r="C1057" t="s">
        <v>2229</v>
      </c>
      <c r="D1057" s="14">
        <v>5.56</v>
      </c>
      <c r="E1057" s="15">
        <v>56</v>
      </c>
    </row>
    <row r="1058" spans="1:5">
      <c r="A1058">
        <v>2013</v>
      </c>
      <c r="B1058" t="s">
        <v>2220</v>
      </c>
      <c r="C1058" t="s">
        <v>2229</v>
      </c>
      <c r="D1058" s="14">
        <v>3.99</v>
      </c>
      <c r="E1058" s="15">
        <v>56</v>
      </c>
    </row>
    <row r="1059" spans="1:5">
      <c r="A1059">
        <v>2013</v>
      </c>
      <c r="B1059" t="s">
        <v>2221</v>
      </c>
      <c r="C1059" t="s">
        <v>2229</v>
      </c>
      <c r="D1059" s="14">
        <v>32.96</v>
      </c>
      <c r="E1059" s="15">
        <v>56</v>
      </c>
    </row>
    <row r="1060" spans="1:5">
      <c r="A1060">
        <v>2013</v>
      </c>
      <c r="B1060" t="s">
        <v>2222</v>
      </c>
      <c r="C1060" t="s">
        <v>2229</v>
      </c>
      <c r="D1060" s="14">
        <v>3.84</v>
      </c>
      <c r="E1060" s="15">
        <v>56</v>
      </c>
    </row>
    <row r="1061" spans="1:5">
      <c r="A1061">
        <v>2013</v>
      </c>
      <c r="B1061" t="s">
        <v>2223</v>
      </c>
      <c r="C1061" t="s">
        <v>2229</v>
      </c>
      <c r="D1061" s="14">
        <v>0.54</v>
      </c>
      <c r="E1061" s="15">
        <v>56</v>
      </c>
    </row>
    <row r="1062" spans="1:5">
      <c r="A1062">
        <v>2014</v>
      </c>
      <c r="B1062" t="s">
        <v>2213</v>
      </c>
      <c r="C1062" t="s">
        <v>2229</v>
      </c>
      <c r="D1062" s="14">
        <v>0.5</v>
      </c>
      <c r="E1062" s="15">
        <v>53</v>
      </c>
    </row>
    <row r="1063" spans="1:5">
      <c r="A1063">
        <v>2014</v>
      </c>
      <c r="B1063" t="s">
        <v>2215</v>
      </c>
      <c r="C1063" t="s">
        <v>2229</v>
      </c>
      <c r="D1063" s="14">
        <v>3.19</v>
      </c>
      <c r="E1063" s="15">
        <v>53</v>
      </c>
    </row>
    <row r="1064" spans="1:5">
      <c r="A1064">
        <v>2014</v>
      </c>
      <c r="B1064" t="s">
        <v>2216</v>
      </c>
      <c r="C1064" t="s">
        <v>2229</v>
      </c>
      <c r="D1064" s="14">
        <v>2</v>
      </c>
      <c r="E1064" s="15">
        <v>53</v>
      </c>
    </row>
    <row r="1065" spans="1:5">
      <c r="A1065">
        <v>2014</v>
      </c>
      <c r="B1065" t="s">
        <v>2217</v>
      </c>
      <c r="C1065" t="s">
        <v>2229</v>
      </c>
      <c r="D1065" s="14">
        <v>9.36</v>
      </c>
      <c r="E1065" s="15">
        <v>53</v>
      </c>
    </row>
    <row r="1066" spans="1:5">
      <c r="A1066">
        <v>2014</v>
      </c>
      <c r="B1066" t="s">
        <v>2218</v>
      </c>
      <c r="C1066" t="s">
        <v>2229</v>
      </c>
      <c r="D1066" s="14">
        <v>10.220000000000001</v>
      </c>
      <c r="E1066" s="15">
        <v>53</v>
      </c>
    </row>
    <row r="1067" spans="1:5">
      <c r="A1067">
        <v>2014</v>
      </c>
      <c r="B1067" t="s">
        <v>2219</v>
      </c>
      <c r="C1067" t="s">
        <v>2229</v>
      </c>
      <c r="D1067" s="14">
        <v>5.53</v>
      </c>
      <c r="E1067" s="15">
        <v>53</v>
      </c>
    </row>
    <row r="1068" spans="1:5">
      <c r="A1068">
        <v>2014</v>
      </c>
      <c r="B1068" t="s">
        <v>2220</v>
      </c>
      <c r="C1068" t="s">
        <v>2229</v>
      </c>
      <c r="D1068" s="14">
        <v>3.64</v>
      </c>
      <c r="E1068" s="15">
        <v>53</v>
      </c>
    </row>
    <row r="1069" spans="1:5">
      <c r="A1069">
        <v>2014</v>
      </c>
      <c r="B1069" t="s">
        <v>2221</v>
      </c>
      <c r="C1069" t="s">
        <v>2229</v>
      </c>
      <c r="D1069" s="14">
        <v>29.62</v>
      </c>
      <c r="E1069" s="15">
        <v>53</v>
      </c>
    </row>
    <row r="1070" spans="1:5">
      <c r="A1070">
        <v>2014</v>
      </c>
      <c r="B1070" t="s">
        <v>2222</v>
      </c>
      <c r="C1070" t="s">
        <v>2229</v>
      </c>
      <c r="D1070" s="14">
        <v>3.48</v>
      </c>
      <c r="E1070" s="15">
        <v>53</v>
      </c>
    </row>
    <row r="1071" spans="1:5">
      <c r="A1071">
        <v>2014</v>
      </c>
      <c r="B1071" t="s">
        <v>2223</v>
      </c>
      <c r="C1071" t="s">
        <v>2229</v>
      </c>
      <c r="D1071" s="14">
        <v>0.53</v>
      </c>
      <c r="E1071" s="15">
        <v>53</v>
      </c>
    </row>
    <row r="1072" spans="1:5">
      <c r="A1072">
        <v>2015</v>
      </c>
      <c r="B1072" t="s">
        <v>2213</v>
      </c>
      <c r="C1072" t="s">
        <v>2229</v>
      </c>
      <c r="D1072" s="14">
        <v>0.48</v>
      </c>
      <c r="E1072" s="15">
        <v>50</v>
      </c>
    </row>
    <row r="1073" spans="1:5">
      <c r="A1073">
        <v>2015</v>
      </c>
      <c r="B1073" t="s">
        <v>2215</v>
      </c>
      <c r="C1073" t="s">
        <v>2229</v>
      </c>
      <c r="D1073" s="14">
        <v>2.95</v>
      </c>
      <c r="E1073" s="15">
        <v>50</v>
      </c>
    </row>
    <row r="1074" spans="1:5">
      <c r="A1074">
        <v>2015</v>
      </c>
      <c r="B1074" t="s">
        <v>2216</v>
      </c>
      <c r="C1074" t="s">
        <v>2229</v>
      </c>
      <c r="D1074" s="14">
        <v>2.1800000000000002</v>
      </c>
      <c r="E1074" s="15">
        <v>50</v>
      </c>
    </row>
    <row r="1075" spans="1:5">
      <c r="A1075">
        <v>2015</v>
      </c>
      <c r="B1075" t="s">
        <v>2217</v>
      </c>
      <c r="C1075" t="s">
        <v>2229</v>
      </c>
      <c r="D1075" s="14">
        <v>9.34</v>
      </c>
      <c r="E1075" s="15">
        <v>50</v>
      </c>
    </row>
    <row r="1076" spans="1:5">
      <c r="A1076">
        <v>2015</v>
      </c>
      <c r="B1076" t="s">
        <v>2218</v>
      </c>
      <c r="C1076" t="s">
        <v>2229</v>
      </c>
      <c r="D1076" s="14">
        <v>9.9499999999999993</v>
      </c>
      <c r="E1076" s="15">
        <v>50</v>
      </c>
    </row>
    <row r="1077" spans="1:5">
      <c r="A1077">
        <v>2015</v>
      </c>
      <c r="B1077" t="s">
        <v>2219</v>
      </c>
      <c r="C1077" t="s">
        <v>2229</v>
      </c>
      <c r="D1077" s="14">
        <v>5.68</v>
      </c>
      <c r="E1077" s="15">
        <v>50</v>
      </c>
    </row>
    <row r="1078" spans="1:5">
      <c r="A1078">
        <v>2015</v>
      </c>
      <c r="B1078" t="s">
        <v>2220</v>
      </c>
      <c r="C1078" t="s">
        <v>2229</v>
      </c>
      <c r="D1078" s="14">
        <v>3.37</v>
      </c>
      <c r="E1078" s="15">
        <v>50</v>
      </c>
    </row>
    <row r="1079" spans="1:5">
      <c r="A1079">
        <v>2015</v>
      </c>
      <c r="B1079" t="s">
        <v>2221</v>
      </c>
      <c r="C1079" t="s">
        <v>2229</v>
      </c>
      <c r="D1079" s="14">
        <v>28.81</v>
      </c>
      <c r="E1079" s="15">
        <v>50</v>
      </c>
    </row>
    <row r="1080" spans="1:5">
      <c r="A1080">
        <v>2015</v>
      </c>
      <c r="B1080" t="s">
        <v>2222</v>
      </c>
      <c r="C1080" t="s">
        <v>2229</v>
      </c>
      <c r="D1080" s="14">
        <v>3.29</v>
      </c>
      <c r="E1080" s="15">
        <v>50</v>
      </c>
    </row>
    <row r="1081" spans="1:5">
      <c r="A1081">
        <v>2015</v>
      </c>
      <c r="B1081" t="s">
        <v>2223</v>
      </c>
      <c r="C1081" t="s">
        <v>2229</v>
      </c>
      <c r="D1081" s="14">
        <v>0.5</v>
      </c>
      <c r="E1081" s="15">
        <v>50</v>
      </c>
    </row>
    <row r="1082" spans="1:5">
      <c r="A1082">
        <v>2016</v>
      </c>
      <c r="B1082" t="s">
        <v>2213</v>
      </c>
      <c r="C1082" t="s">
        <v>2229</v>
      </c>
      <c r="D1082" s="14">
        <v>0.45</v>
      </c>
      <c r="E1082" s="15">
        <v>47.2</v>
      </c>
    </row>
    <row r="1083" spans="1:5">
      <c r="A1083">
        <v>2016</v>
      </c>
      <c r="B1083" t="s">
        <v>2215</v>
      </c>
      <c r="C1083" t="s">
        <v>2229</v>
      </c>
      <c r="D1083" s="14">
        <v>2.86</v>
      </c>
      <c r="E1083" s="15">
        <v>47.2</v>
      </c>
    </row>
    <row r="1084" spans="1:5">
      <c r="A1084">
        <v>2016</v>
      </c>
      <c r="B1084" t="s">
        <v>2216</v>
      </c>
      <c r="C1084" t="s">
        <v>2229</v>
      </c>
      <c r="D1084" s="14">
        <v>1.89</v>
      </c>
      <c r="E1084" s="15">
        <v>47.2</v>
      </c>
    </row>
    <row r="1085" spans="1:5">
      <c r="A1085">
        <v>2016</v>
      </c>
      <c r="B1085" t="s">
        <v>2217</v>
      </c>
      <c r="C1085" t="s">
        <v>2229</v>
      </c>
      <c r="D1085" s="14">
        <v>8.4</v>
      </c>
      <c r="E1085" s="15">
        <v>47.2</v>
      </c>
    </row>
    <row r="1086" spans="1:5">
      <c r="A1086">
        <v>2016</v>
      </c>
      <c r="B1086" t="s">
        <v>2218</v>
      </c>
      <c r="C1086" t="s">
        <v>2229</v>
      </c>
      <c r="D1086" s="14">
        <v>9.8699999999999992</v>
      </c>
      <c r="E1086" s="15">
        <v>47.2</v>
      </c>
    </row>
    <row r="1087" spans="1:5">
      <c r="A1087">
        <v>2016</v>
      </c>
      <c r="B1087" t="s">
        <v>2219</v>
      </c>
      <c r="C1087" t="s">
        <v>2229</v>
      </c>
      <c r="D1087" s="14">
        <v>4.62</v>
      </c>
      <c r="E1087" s="15">
        <v>47.2</v>
      </c>
    </row>
    <row r="1088" spans="1:5">
      <c r="A1088">
        <v>2016</v>
      </c>
      <c r="B1088" t="s">
        <v>2220</v>
      </c>
      <c r="C1088" t="s">
        <v>2229</v>
      </c>
      <c r="D1088" s="14">
        <v>3.35</v>
      </c>
      <c r="E1088" s="15">
        <v>47.2</v>
      </c>
    </row>
    <row r="1089" spans="1:5">
      <c r="A1089">
        <v>2016</v>
      </c>
      <c r="B1089" t="s">
        <v>2221</v>
      </c>
      <c r="C1089" t="s">
        <v>2229</v>
      </c>
      <c r="D1089" s="14">
        <v>26.85</v>
      </c>
      <c r="E1089" s="15">
        <v>47.2</v>
      </c>
    </row>
    <row r="1090" spans="1:5">
      <c r="A1090">
        <v>2016</v>
      </c>
      <c r="B1090" t="s">
        <v>2222</v>
      </c>
      <c r="C1090" t="s">
        <v>2229</v>
      </c>
      <c r="D1090" s="14">
        <v>3.12</v>
      </c>
      <c r="E1090" s="15">
        <v>47.2</v>
      </c>
    </row>
    <row r="1091" spans="1:5">
      <c r="A1091">
        <v>2016</v>
      </c>
      <c r="B1091" t="s">
        <v>2223</v>
      </c>
      <c r="C1091" t="s">
        <v>2229</v>
      </c>
      <c r="D1091" s="14">
        <v>0.46</v>
      </c>
      <c r="E1091" s="15">
        <v>47.2</v>
      </c>
    </row>
    <row r="1092" spans="1:5">
      <c r="A1092">
        <v>2017</v>
      </c>
      <c r="B1092" t="s">
        <v>2213</v>
      </c>
      <c r="C1092" t="s">
        <v>2229</v>
      </c>
      <c r="D1092" s="14">
        <v>0.45</v>
      </c>
      <c r="E1092" s="15">
        <v>44.5</v>
      </c>
    </row>
    <row r="1093" spans="1:5">
      <c r="A1093">
        <v>2017</v>
      </c>
      <c r="B1093" t="s">
        <v>2215</v>
      </c>
      <c r="C1093" t="s">
        <v>2229</v>
      </c>
      <c r="D1093" s="14">
        <v>2.74</v>
      </c>
      <c r="E1093" s="15">
        <v>44.5</v>
      </c>
    </row>
    <row r="1094" spans="1:5">
      <c r="A1094">
        <v>2017</v>
      </c>
      <c r="B1094" t="s">
        <v>2216</v>
      </c>
      <c r="C1094" t="s">
        <v>2229</v>
      </c>
      <c r="D1094" s="14">
        <v>1.88</v>
      </c>
      <c r="E1094" s="15">
        <v>44.5</v>
      </c>
    </row>
    <row r="1095" spans="1:5">
      <c r="A1095">
        <v>2017</v>
      </c>
      <c r="B1095" t="s">
        <v>2217</v>
      </c>
      <c r="C1095" t="s">
        <v>2229</v>
      </c>
      <c r="D1095" s="14">
        <v>7.94</v>
      </c>
      <c r="E1095" s="15">
        <v>44.5</v>
      </c>
    </row>
    <row r="1096" spans="1:5">
      <c r="A1096">
        <v>2017</v>
      </c>
      <c r="B1096" t="s">
        <v>2218</v>
      </c>
      <c r="C1096" t="s">
        <v>2229</v>
      </c>
      <c r="D1096" s="14">
        <v>8.7899999999999991</v>
      </c>
      <c r="E1096" s="15">
        <v>44.5</v>
      </c>
    </row>
    <row r="1097" spans="1:5">
      <c r="A1097">
        <v>2017</v>
      </c>
      <c r="B1097" t="s">
        <v>2219</v>
      </c>
      <c r="C1097" t="s">
        <v>2229</v>
      </c>
      <c r="D1097" s="14">
        <v>4.3</v>
      </c>
      <c r="E1097" s="15">
        <v>44.5</v>
      </c>
    </row>
    <row r="1098" spans="1:5">
      <c r="A1098">
        <v>2017</v>
      </c>
      <c r="B1098" t="s">
        <v>2220</v>
      </c>
      <c r="C1098" t="s">
        <v>2229</v>
      </c>
      <c r="D1098" s="14">
        <v>3.16</v>
      </c>
      <c r="E1098" s="15">
        <v>44.5</v>
      </c>
    </row>
    <row r="1099" spans="1:5">
      <c r="A1099">
        <v>2017</v>
      </c>
      <c r="B1099" t="s">
        <v>2221</v>
      </c>
      <c r="C1099" t="s">
        <v>2229</v>
      </c>
      <c r="D1099" s="14">
        <v>24.19</v>
      </c>
      <c r="E1099" s="15">
        <v>44.5</v>
      </c>
    </row>
    <row r="1100" spans="1:5">
      <c r="A1100">
        <v>2017</v>
      </c>
      <c r="B1100" t="s">
        <v>2222</v>
      </c>
      <c r="C1100" t="s">
        <v>2229</v>
      </c>
      <c r="D1100" s="14">
        <v>3.08</v>
      </c>
      <c r="E1100" s="15">
        <v>44.5</v>
      </c>
    </row>
    <row r="1101" spans="1:5">
      <c r="A1101">
        <v>2017</v>
      </c>
      <c r="B1101" t="s">
        <v>2223</v>
      </c>
      <c r="C1101" t="s">
        <v>2229</v>
      </c>
      <c r="D1101" s="14">
        <v>0.44</v>
      </c>
      <c r="E1101" s="15">
        <v>44.5</v>
      </c>
    </row>
    <row r="1102" spans="1:5">
      <c r="A1102">
        <v>2018</v>
      </c>
      <c r="B1102" t="s">
        <v>2213</v>
      </c>
      <c r="C1102" t="s">
        <v>2229</v>
      </c>
      <c r="D1102" s="14">
        <v>0.43</v>
      </c>
      <c r="E1102" s="15">
        <v>41.8</v>
      </c>
    </row>
    <row r="1103" spans="1:5">
      <c r="A1103">
        <v>2018</v>
      </c>
      <c r="B1103" t="s">
        <v>2215</v>
      </c>
      <c r="C1103" t="s">
        <v>2229</v>
      </c>
      <c r="D1103" s="14">
        <v>2.4500000000000002</v>
      </c>
      <c r="E1103" s="15">
        <v>41.8</v>
      </c>
    </row>
    <row r="1104" spans="1:5">
      <c r="A1104">
        <v>2018</v>
      </c>
      <c r="B1104" t="s">
        <v>2216</v>
      </c>
      <c r="C1104" t="s">
        <v>2229</v>
      </c>
      <c r="D1104" s="14">
        <v>1.62</v>
      </c>
      <c r="E1104" s="15">
        <v>41.8</v>
      </c>
    </row>
    <row r="1105" spans="1:5">
      <c r="A1105">
        <v>2018</v>
      </c>
      <c r="B1105" t="s">
        <v>2217</v>
      </c>
      <c r="C1105" t="s">
        <v>2229</v>
      </c>
      <c r="D1105" s="14">
        <v>7.65</v>
      </c>
      <c r="E1105" s="15">
        <v>41.8</v>
      </c>
    </row>
    <row r="1106" spans="1:5">
      <c r="A1106">
        <v>2018</v>
      </c>
      <c r="B1106" t="s">
        <v>2218</v>
      </c>
      <c r="C1106" t="s">
        <v>2229</v>
      </c>
      <c r="D1106" s="14">
        <v>7.4</v>
      </c>
      <c r="E1106" s="15">
        <v>41.8</v>
      </c>
    </row>
    <row r="1107" spans="1:5">
      <c r="A1107">
        <v>2018</v>
      </c>
      <c r="B1107" t="s">
        <v>2219</v>
      </c>
      <c r="C1107" t="s">
        <v>2229</v>
      </c>
      <c r="D1107" s="14">
        <v>4.08</v>
      </c>
      <c r="E1107" s="15">
        <v>41.8</v>
      </c>
    </row>
    <row r="1108" spans="1:5">
      <c r="A1108">
        <v>2018</v>
      </c>
      <c r="B1108" t="s">
        <v>2220</v>
      </c>
      <c r="C1108" t="s">
        <v>2229</v>
      </c>
      <c r="D1108" s="14">
        <v>2.79</v>
      </c>
      <c r="E1108" s="15">
        <v>41.8</v>
      </c>
    </row>
    <row r="1109" spans="1:5">
      <c r="A1109">
        <v>2018</v>
      </c>
      <c r="B1109" t="s">
        <v>2221</v>
      </c>
      <c r="C1109" t="s">
        <v>2229</v>
      </c>
      <c r="D1109" s="14">
        <v>24.09</v>
      </c>
      <c r="E1109" s="15">
        <v>41.8</v>
      </c>
    </row>
    <row r="1110" spans="1:5">
      <c r="A1110">
        <v>2018</v>
      </c>
      <c r="B1110" t="s">
        <v>2222</v>
      </c>
      <c r="C1110" t="s">
        <v>2229</v>
      </c>
      <c r="D1110" s="14">
        <v>2.87</v>
      </c>
      <c r="E1110" s="15">
        <v>41.8</v>
      </c>
    </row>
    <row r="1111" spans="1:5">
      <c r="A1111">
        <v>2018</v>
      </c>
      <c r="B1111" t="s">
        <v>2223</v>
      </c>
      <c r="C1111" t="s">
        <v>2229</v>
      </c>
      <c r="D1111" s="14">
        <v>0.41</v>
      </c>
      <c r="E1111" s="15">
        <v>41.8</v>
      </c>
    </row>
    <row r="1112" spans="1:5">
      <c r="A1112">
        <v>2019</v>
      </c>
      <c r="B1112" t="s">
        <v>2213</v>
      </c>
      <c r="C1112" t="s">
        <v>2229</v>
      </c>
      <c r="D1112" s="14">
        <v>0.39</v>
      </c>
      <c r="E1112" s="15">
        <v>39</v>
      </c>
    </row>
    <row r="1113" spans="1:5">
      <c r="A1113">
        <v>2019</v>
      </c>
      <c r="B1113" t="s">
        <v>2215</v>
      </c>
      <c r="C1113" t="s">
        <v>2229</v>
      </c>
      <c r="D1113" s="14">
        <v>2.2799999999999998</v>
      </c>
      <c r="E1113" s="15">
        <v>39</v>
      </c>
    </row>
    <row r="1114" spans="1:5">
      <c r="A1114">
        <v>2019</v>
      </c>
      <c r="B1114" t="s">
        <v>2216</v>
      </c>
      <c r="C1114" t="s">
        <v>2229</v>
      </c>
      <c r="D1114" s="14">
        <v>1.54</v>
      </c>
      <c r="E1114" s="15">
        <v>39</v>
      </c>
    </row>
    <row r="1115" spans="1:5">
      <c r="A1115">
        <v>2019</v>
      </c>
      <c r="B1115" t="s">
        <v>2217</v>
      </c>
      <c r="C1115" t="s">
        <v>2229</v>
      </c>
      <c r="D1115" s="14">
        <v>7.05</v>
      </c>
      <c r="E1115" s="15">
        <v>39</v>
      </c>
    </row>
    <row r="1116" spans="1:5">
      <c r="A1116">
        <v>2019</v>
      </c>
      <c r="B1116" t="s">
        <v>2218</v>
      </c>
      <c r="C1116" t="s">
        <v>2229</v>
      </c>
      <c r="D1116" s="14">
        <v>7.67</v>
      </c>
      <c r="E1116" s="15">
        <v>39</v>
      </c>
    </row>
    <row r="1117" spans="1:5">
      <c r="A1117">
        <v>2019</v>
      </c>
      <c r="B1117" t="s">
        <v>2219</v>
      </c>
      <c r="C1117" t="s">
        <v>2229</v>
      </c>
      <c r="D1117" s="14">
        <v>3.83</v>
      </c>
      <c r="E1117" s="15">
        <v>39</v>
      </c>
    </row>
    <row r="1118" spans="1:5">
      <c r="A1118">
        <v>2019</v>
      </c>
      <c r="B1118" t="s">
        <v>2220</v>
      </c>
      <c r="C1118" t="s">
        <v>2229</v>
      </c>
      <c r="D1118" s="14">
        <v>2.62</v>
      </c>
      <c r="E1118" s="15">
        <v>39</v>
      </c>
    </row>
    <row r="1119" spans="1:5">
      <c r="A1119">
        <v>2019</v>
      </c>
      <c r="B1119" t="s">
        <v>2221</v>
      </c>
      <c r="C1119" t="s">
        <v>2229</v>
      </c>
      <c r="D1119" s="14">
        <v>20.48</v>
      </c>
      <c r="E1119" s="15">
        <v>39</v>
      </c>
    </row>
    <row r="1120" spans="1:5">
      <c r="A1120">
        <v>2019</v>
      </c>
      <c r="B1120" t="s">
        <v>2222</v>
      </c>
      <c r="C1120" t="s">
        <v>2229</v>
      </c>
      <c r="D1120" s="14">
        <v>2.74</v>
      </c>
      <c r="E1120" s="15">
        <v>39</v>
      </c>
    </row>
    <row r="1121" spans="1:5">
      <c r="A1121">
        <v>2019</v>
      </c>
      <c r="B1121" t="s">
        <v>2223</v>
      </c>
      <c r="C1121" t="s">
        <v>2229</v>
      </c>
      <c r="D1121" s="14">
        <v>0.39</v>
      </c>
      <c r="E1121" s="15">
        <v>39</v>
      </c>
    </row>
    <row r="1122" spans="1:5">
      <c r="A1122">
        <v>2020</v>
      </c>
      <c r="B1122" t="s">
        <v>2213</v>
      </c>
      <c r="C1122" t="s">
        <v>2229</v>
      </c>
      <c r="D1122" s="14">
        <v>0.35</v>
      </c>
      <c r="E1122" s="15">
        <v>37.5</v>
      </c>
    </row>
    <row r="1123" spans="1:5">
      <c r="A1123">
        <v>2020</v>
      </c>
      <c r="B1123" t="s">
        <v>2215</v>
      </c>
      <c r="C1123" t="s">
        <v>2229</v>
      </c>
      <c r="D1123" s="14">
        <v>2.3199999999999998</v>
      </c>
      <c r="E1123" s="15">
        <v>37.5</v>
      </c>
    </row>
    <row r="1124" spans="1:5">
      <c r="A1124">
        <v>2020</v>
      </c>
      <c r="B1124" t="s">
        <v>2216</v>
      </c>
      <c r="C1124" t="s">
        <v>2229</v>
      </c>
      <c r="D1124" s="14">
        <v>1.55</v>
      </c>
      <c r="E1124" s="15">
        <v>37.5</v>
      </c>
    </row>
    <row r="1125" spans="1:5">
      <c r="A1125">
        <v>2020</v>
      </c>
      <c r="B1125" t="s">
        <v>2217</v>
      </c>
      <c r="C1125" t="s">
        <v>2229</v>
      </c>
      <c r="D1125" s="14">
        <v>7.02</v>
      </c>
      <c r="E1125" s="15">
        <v>37.5</v>
      </c>
    </row>
    <row r="1126" spans="1:5">
      <c r="A1126">
        <v>2020</v>
      </c>
      <c r="B1126" t="s">
        <v>2218</v>
      </c>
      <c r="C1126" t="s">
        <v>2229</v>
      </c>
      <c r="D1126" s="14">
        <v>7.59</v>
      </c>
      <c r="E1126" s="15">
        <v>37.5</v>
      </c>
    </row>
    <row r="1127" spans="1:5">
      <c r="A1127">
        <v>2020</v>
      </c>
      <c r="B1127" t="s">
        <v>2219</v>
      </c>
      <c r="C1127" t="s">
        <v>2229</v>
      </c>
      <c r="D1127" s="14">
        <v>3.85</v>
      </c>
      <c r="E1127" s="15">
        <v>37.5</v>
      </c>
    </row>
    <row r="1128" spans="1:5">
      <c r="A1128">
        <v>2020</v>
      </c>
      <c r="B1128" t="s">
        <v>2220</v>
      </c>
      <c r="C1128" t="s">
        <v>2229</v>
      </c>
      <c r="D1128" s="14">
        <v>2.86</v>
      </c>
      <c r="E1128" s="15">
        <v>37.5</v>
      </c>
    </row>
    <row r="1129" spans="1:5">
      <c r="A1129">
        <v>2020</v>
      </c>
      <c r="B1129" t="s">
        <v>2221</v>
      </c>
      <c r="C1129" t="s">
        <v>2229</v>
      </c>
      <c r="D1129" s="14">
        <v>20.38</v>
      </c>
      <c r="E1129" s="15">
        <v>37.5</v>
      </c>
    </row>
    <row r="1130" spans="1:5">
      <c r="A1130">
        <v>2020</v>
      </c>
      <c r="B1130" t="s">
        <v>2222</v>
      </c>
      <c r="C1130" t="s">
        <v>2229</v>
      </c>
      <c r="D1130" s="14">
        <v>2.52</v>
      </c>
      <c r="E1130" s="15">
        <v>37.5</v>
      </c>
    </row>
    <row r="1131" spans="1:5">
      <c r="A1131">
        <v>2020</v>
      </c>
      <c r="B1131" t="s">
        <v>2223</v>
      </c>
      <c r="C1131" t="s">
        <v>2229</v>
      </c>
      <c r="D1131" s="14">
        <v>0.35</v>
      </c>
      <c r="E1131" s="15">
        <v>37.5</v>
      </c>
    </row>
    <row r="1132" spans="1:5">
      <c r="A1132">
        <v>2021</v>
      </c>
      <c r="B1132" t="s">
        <v>2213</v>
      </c>
      <c r="C1132" t="s">
        <v>2229</v>
      </c>
      <c r="D1132" s="14">
        <v>0.39</v>
      </c>
      <c r="E1132" s="15">
        <v>36</v>
      </c>
    </row>
    <row r="1133" spans="1:5">
      <c r="A1133">
        <v>2021</v>
      </c>
      <c r="B1133" t="s">
        <v>2215</v>
      </c>
      <c r="C1133" t="s">
        <v>2229</v>
      </c>
      <c r="D1133" s="14">
        <v>2.3199999999999998</v>
      </c>
      <c r="E1133" s="15">
        <v>36</v>
      </c>
    </row>
    <row r="1134" spans="1:5">
      <c r="A1134">
        <v>2021</v>
      </c>
      <c r="B1134" t="s">
        <v>2216</v>
      </c>
      <c r="C1134" t="s">
        <v>2229</v>
      </c>
      <c r="D1134" s="14">
        <v>1.39</v>
      </c>
      <c r="E1134" s="15">
        <v>36</v>
      </c>
    </row>
    <row r="1135" spans="1:5">
      <c r="A1135">
        <v>2021</v>
      </c>
      <c r="B1135" t="s">
        <v>2217</v>
      </c>
      <c r="C1135" t="s">
        <v>2229</v>
      </c>
      <c r="D1135" s="14">
        <v>6.29</v>
      </c>
      <c r="E1135" s="15">
        <v>36</v>
      </c>
    </row>
    <row r="1136" spans="1:5">
      <c r="A1136">
        <v>2021</v>
      </c>
      <c r="B1136" t="s">
        <v>2218</v>
      </c>
      <c r="C1136" t="s">
        <v>2229</v>
      </c>
      <c r="D1136" s="14">
        <v>7.11</v>
      </c>
      <c r="E1136" s="15">
        <v>36</v>
      </c>
    </row>
    <row r="1137" spans="1:5">
      <c r="A1137">
        <v>2021</v>
      </c>
      <c r="B1137" t="s">
        <v>2219</v>
      </c>
      <c r="C1137" t="s">
        <v>2229</v>
      </c>
      <c r="D1137" s="14">
        <v>3.78</v>
      </c>
      <c r="E1137" s="15">
        <v>36</v>
      </c>
    </row>
    <row r="1138" spans="1:5">
      <c r="A1138">
        <v>2021</v>
      </c>
      <c r="B1138" t="s">
        <v>2220</v>
      </c>
      <c r="C1138" t="s">
        <v>2229</v>
      </c>
      <c r="D1138" s="14">
        <v>2.39</v>
      </c>
      <c r="E1138" s="15">
        <v>36</v>
      </c>
    </row>
    <row r="1139" spans="1:5">
      <c r="A1139">
        <v>2021</v>
      </c>
      <c r="B1139" t="s">
        <v>2221</v>
      </c>
      <c r="C1139" t="s">
        <v>2229</v>
      </c>
      <c r="D1139" s="14">
        <v>18.3</v>
      </c>
      <c r="E1139" s="15">
        <v>36</v>
      </c>
    </row>
    <row r="1140" spans="1:5">
      <c r="A1140">
        <v>2021</v>
      </c>
      <c r="B1140" t="s">
        <v>2222</v>
      </c>
      <c r="C1140" t="s">
        <v>2229</v>
      </c>
      <c r="D1140" s="14">
        <v>2.75</v>
      </c>
      <c r="E1140" s="15">
        <v>36</v>
      </c>
    </row>
    <row r="1141" spans="1:5">
      <c r="A1141">
        <v>2021</v>
      </c>
      <c r="B1141" t="s">
        <v>2223</v>
      </c>
      <c r="C1141" t="s">
        <v>2229</v>
      </c>
      <c r="D1141" s="14">
        <v>0.36</v>
      </c>
      <c r="E1141" s="15">
        <v>36</v>
      </c>
    </row>
    <row r="1142" spans="1:5">
      <c r="A1142">
        <v>2022</v>
      </c>
      <c r="B1142" t="s">
        <v>2213</v>
      </c>
      <c r="C1142" t="s">
        <v>2229</v>
      </c>
      <c r="D1142" s="14">
        <v>0.35</v>
      </c>
      <c r="E1142" s="15">
        <v>34.700000000000003</v>
      </c>
    </row>
    <row r="1143" spans="1:5">
      <c r="A1143">
        <v>2022</v>
      </c>
      <c r="B1143" t="s">
        <v>2215</v>
      </c>
      <c r="C1143" t="s">
        <v>2229</v>
      </c>
      <c r="D1143" s="14">
        <v>2.06</v>
      </c>
      <c r="E1143" s="15">
        <v>34.700000000000003</v>
      </c>
    </row>
    <row r="1144" spans="1:5">
      <c r="A1144">
        <v>2022</v>
      </c>
      <c r="B1144" t="s">
        <v>2216</v>
      </c>
      <c r="C1144" t="s">
        <v>2229</v>
      </c>
      <c r="D1144" s="14">
        <v>1.41</v>
      </c>
      <c r="E1144" s="15">
        <v>34.700000000000003</v>
      </c>
    </row>
    <row r="1145" spans="1:5">
      <c r="A1145">
        <v>2022</v>
      </c>
      <c r="B1145" t="s">
        <v>2217</v>
      </c>
      <c r="C1145" t="s">
        <v>2229</v>
      </c>
      <c r="D1145" s="14">
        <v>5.87</v>
      </c>
      <c r="E1145" s="15">
        <v>34.700000000000003</v>
      </c>
    </row>
    <row r="1146" spans="1:5">
      <c r="A1146">
        <v>2022</v>
      </c>
      <c r="B1146" t="s">
        <v>2218</v>
      </c>
      <c r="C1146" t="s">
        <v>2229</v>
      </c>
      <c r="D1146" s="14">
        <v>6.7</v>
      </c>
      <c r="E1146" s="15">
        <v>34.700000000000003</v>
      </c>
    </row>
    <row r="1147" spans="1:5">
      <c r="A1147">
        <v>2022</v>
      </c>
      <c r="B1147" t="s">
        <v>2219</v>
      </c>
      <c r="C1147" t="s">
        <v>2229</v>
      </c>
      <c r="D1147" s="14">
        <v>3.48</v>
      </c>
      <c r="E1147" s="15">
        <v>34.700000000000003</v>
      </c>
    </row>
    <row r="1148" spans="1:5">
      <c r="A1148">
        <v>2022</v>
      </c>
      <c r="B1148" t="s">
        <v>2220</v>
      </c>
      <c r="C1148" t="s">
        <v>2229</v>
      </c>
      <c r="D1148" s="14">
        <v>2.2200000000000002</v>
      </c>
      <c r="E1148" s="15">
        <v>34.700000000000003</v>
      </c>
    </row>
    <row r="1149" spans="1:5">
      <c r="A1149">
        <v>2022</v>
      </c>
      <c r="B1149" t="s">
        <v>2221</v>
      </c>
      <c r="C1149" t="s">
        <v>2229</v>
      </c>
      <c r="D1149" s="14">
        <v>18.84</v>
      </c>
      <c r="E1149" s="15">
        <v>34.700000000000003</v>
      </c>
    </row>
    <row r="1150" spans="1:5">
      <c r="A1150">
        <v>2022</v>
      </c>
      <c r="B1150" t="s">
        <v>2222</v>
      </c>
      <c r="C1150" t="s">
        <v>2229</v>
      </c>
      <c r="D1150" s="14">
        <v>2.39</v>
      </c>
      <c r="E1150" s="15">
        <v>34.700000000000003</v>
      </c>
    </row>
    <row r="1151" spans="1:5">
      <c r="A1151">
        <v>2022</v>
      </c>
      <c r="B1151" t="s">
        <v>2223</v>
      </c>
      <c r="C1151" t="s">
        <v>2229</v>
      </c>
      <c r="D1151" s="14">
        <v>0.34</v>
      </c>
      <c r="E1151" s="15">
        <v>34.700000000000003</v>
      </c>
    </row>
    <row r="1152" spans="1:5">
      <c r="A1152">
        <v>2023</v>
      </c>
      <c r="B1152" t="s">
        <v>2213</v>
      </c>
      <c r="C1152" t="s">
        <v>2229</v>
      </c>
      <c r="D1152" s="14">
        <v>0.33</v>
      </c>
      <c r="E1152" s="15">
        <v>33.299999999999997</v>
      </c>
    </row>
    <row r="1153" spans="1:5">
      <c r="A1153">
        <v>2023</v>
      </c>
      <c r="B1153" t="s">
        <v>2215</v>
      </c>
      <c r="C1153" t="s">
        <v>2229</v>
      </c>
      <c r="D1153" s="14">
        <v>1.92</v>
      </c>
      <c r="E1153" s="15">
        <v>33.299999999999997</v>
      </c>
    </row>
    <row r="1154" spans="1:5">
      <c r="A1154">
        <v>2023</v>
      </c>
      <c r="B1154" t="s">
        <v>2216</v>
      </c>
      <c r="C1154" t="s">
        <v>2229</v>
      </c>
      <c r="D1154" s="14">
        <v>1.24</v>
      </c>
      <c r="E1154" s="15">
        <v>33.299999999999997</v>
      </c>
    </row>
    <row r="1155" spans="1:5">
      <c r="A1155">
        <v>2023</v>
      </c>
      <c r="B1155" t="s">
        <v>2217</v>
      </c>
      <c r="C1155" t="s">
        <v>2229</v>
      </c>
      <c r="D1155" s="14">
        <v>6.03</v>
      </c>
      <c r="E1155" s="15">
        <v>33.299999999999997</v>
      </c>
    </row>
    <row r="1156" spans="1:5">
      <c r="A1156">
        <v>2023</v>
      </c>
      <c r="B1156" t="s">
        <v>2218</v>
      </c>
      <c r="C1156" t="s">
        <v>2229</v>
      </c>
      <c r="D1156" s="14">
        <v>6.59</v>
      </c>
      <c r="E1156" s="15">
        <v>33.299999999999997</v>
      </c>
    </row>
    <row r="1157" spans="1:5">
      <c r="A1157">
        <v>2023</v>
      </c>
      <c r="B1157" t="s">
        <v>2219</v>
      </c>
      <c r="C1157" t="s">
        <v>2229</v>
      </c>
      <c r="D1157" s="14">
        <v>3.15</v>
      </c>
      <c r="E1157" s="15">
        <v>33.299999999999997</v>
      </c>
    </row>
    <row r="1158" spans="1:5">
      <c r="A1158">
        <v>2023</v>
      </c>
      <c r="B1158" t="s">
        <v>2220</v>
      </c>
      <c r="C1158" t="s">
        <v>2229</v>
      </c>
      <c r="D1158" s="14">
        <v>2.34</v>
      </c>
      <c r="E1158" s="15">
        <v>33.299999999999997</v>
      </c>
    </row>
    <row r="1159" spans="1:5">
      <c r="A1159">
        <v>2023</v>
      </c>
      <c r="B1159" t="s">
        <v>2221</v>
      </c>
      <c r="C1159" t="s">
        <v>2229</v>
      </c>
      <c r="D1159" s="14">
        <v>18.12</v>
      </c>
      <c r="E1159" s="15">
        <v>33.299999999999997</v>
      </c>
    </row>
    <row r="1160" spans="1:5">
      <c r="A1160">
        <v>2023</v>
      </c>
      <c r="B1160" t="s">
        <v>2222</v>
      </c>
      <c r="C1160" t="s">
        <v>2229</v>
      </c>
      <c r="D1160" s="14">
        <v>2.29</v>
      </c>
      <c r="E1160" s="15">
        <v>33.299999999999997</v>
      </c>
    </row>
    <row r="1161" spans="1:5">
      <c r="A1161">
        <v>2023</v>
      </c>
      <c r="B1161" t="s">
        <v>2223</v>
      </c>
      <c r="C1161" t="s">
        <v>2229</v>
      </c>
      <c r="D1161" s="14">
        <v>0.31</v>
      </c>
      <c r="E1161" s="15">
        <v>33.299999999999997</v>
      </c>
    </row>
    <row r="1162" spans="1:5">
      <c r="A1162">
        <v>2024</v>
      </c>
      <c r="B1162" t="s">
        <v>2213</v>
      </c>
      <c r="C1162" t="s">
        <v>2229</v>
      </c>
      <c r="D1162" s="14">
        <v>0.33</v>
      </c>
      <c r="E1162" s="15">
        <v>32</v>
      </c>
    </row>
    <row r="1163" spans="1:5">
      <c r="A1163">
        <v>2024</v>
      </c>
      <c r="B1163" t="s">
        <v>2215</v>
      </c>
      <c r="C1163" t="s">
        <v>2229</v>
      </c>
      <c r="D1163" s="14">
        <v>1.83</v>
      </c>
      <c r="E1163" s="15">
        <v>32</v>
      </c>
    </row>
    <row r="1164" spans="1:5">
      <c r="A1164">
        <v>2024</v>
      </c>
      <c r="B1164" t="s">
        <v>2216</v>
      </c>
      <c r="C1164" t="s">
        <v>2229</v>
      </c>
      <c r="D1164" s="14">
        <v>1.28</v>
      </c>
      <c r="E1164" s="15">
        <v>32</v>
      </c>
    </row>
    <row r="1165" spans="1:5">
      <c r="A1165">
        <v>2024</v>
      </c>
      <c r="B1165" t="s">
        <v>2217</v>
      </c>
      <c r="C1165" t="s">
        <v>2229</v>
      </c>
      <c r="D1165" s="14">
        <v>5.58</v>
      </c>
      <c r="E1165" s="15">
        <v>32</v>
      </c>
    </row>
    <row r="1166" spans="1:5">
      <c r="A1166">
        <v>2024</v>
      </c>
      <c r="B1166" t="s">
        <v>2218</v>
      </c>
      <c r="C1166" t="s">
        <v>2229</v>
      </c>
      <c r="D1166" s="14">
        <v>6.3</v>
      </c>
      <c r="E1166" s="15">
        <v>32</v>
      </c>
    </row>
    <row r="1167" spans="1:5">
      <c r="A1167">
        <v>2024</v>
      </c>
      <c r="B1167" t="s">
        <v>2219</v>
      </c>
      <c r="C1167" t="s">
        <v>2229</v>
      </c>
      <c r="D1167" s="14">
        <v>3.35</v>
      </c>
      <c r="E1167" s="15">
        <v>32</v>
      </c>
    </row>
    <row r="1168" spans="1:5">
      <c r="A1168">
        <v>2024</v>
      </c>
      <c r="B1168" t="s">
        <v>2220</v>
      </c>
      <c r="C1168" t="s">
        <v>2229</v>
      </c>
      <c r="D1168" s="14">
        <v>2.29</v>
      </c>
      <c r="E1168" s="15">
        <v>32</v>
      </c>
    </row>
    <row r="1169" spans="1:5">
      <c r="A1169">
        <v>2024</v>
      </c>
      <c r="B1169" t="s">
        <v>2221</v>
      </c>
      <c r="C1169" t="s">
        <v>2229</v>
      </c>
      <c r="D1169" s="14">
        <v>18.41</v>
      </c>
      <c r="E1169" s="15">
        <v>32</v>
      </c>
    </row>
    <row r="1170" spans="1:5">
      <c r="A1170">
        <v>2024</v>
      </c>
      <c r="B1170" t="s">
        <v>2222</v>
      </c>
      <c r="C1170" t="s">
        <v>2229</v>
      </c>
      <c r="D1170" s="14">
        <v>2.27</v>
      </c>
      <c r="E1170" s="15">
        <v>32</v>
      </c>
    </row>
    <row r="1171" spans="1:5">
      <c r="A1171">
        <v>2024</v>
      </c>
      <c r="B1171" t="s">
        <v>2223</v>
      </c>
      <c r="C1171" t="s">
        <v>2229</v>
      </c>
      <c r="D1171" s="14">
        <v>0.33</v>
      </c>
      <c r="E1171" s="15">
        <v>32</v>
      </c>
    </row>
    <row r="1172" spans="1:5">
      <c r="A1172">
        <v>2025</v>
      </c>
      <c r="B1172" t="s">
        <v>2213</v>
      </c>
      <c r="C1172" t="s">
        <v>2229</v>
      </c>
      <c r="D1172" s="14">
        <v>0.28999999999999998</v>
      </c>
      <c r="E1172" s="15">
        <v>31</v>
      </c>
    </row>
    <row r="1173" spans="1:5">
      <c r="A1173">
        <v>2025</v>
      </c>
      <c r="B1173" t="s">
        <v>2215</v>
      </c>
      <c r="C1173" t="s">
        <v>2229</v>
      </c>
      <c r="D1173" s="14">
        <v>1.84</v>
      </c>
      <c r="E1173" s="15">
        <v>31</v>
      </c>
    </row>
    <row r="1174" spans="1:5">
      <c r="A1174">
        <v>2025</v>
      </c>
      <c r="B1174" t="s">
        <v>2216</v>
      </c>
      <c r="C1174" t="s">
        <v>2229</v>
      </c>
      <c r="D1174" s="14">
        <v>1.23</v>
      </c>
      <c r="E1174" s="15">
        <v>31</v>
      </c>
    </row>
    <row r="1175" spans="1:5">
      <c r="A1175">
        <v>2025</v>
      </c>
      <c r="B1175" t="s">
        <v>2217</v>
      </c>
      <c r="C1175" t="s">
        <v>2229</v>
      </c>
      <c r="D1175" s="14">
        <v>5.86</v>
      </c>
      <c r="E1175" s="15">
        <v>31</v>
      </c>
    </row>
    <row r="1176" spans="1:5">
      <c r="A1176">
        <v>2025</v>
      </c>
      <c r="B1176" t="s">
        <v>2218</v>
      </c>
      <c r="C1176" t="s">
        <v>2229</v>
      </c>
      <c r="D1176" s="14">
        <v>6.08</v>
      </c>
      <c r="E1176" s="15">
        <v>31</v>
      </c>
    </row>
    <row r="1177" spans="1:5">
      <c r="A1177">
        <v>2025</v>
      </c>
      <c r="B1177" t="s">
        <v>2219</v>
      </c>
      <c r="C1177" t="s">
        <v>2229</v>
      </c>
      <c r="D1177" s="14">
        <v>3.13</v>
      </c>
      <c r="E1177" s="15">
        <v>31</v>
      </c>
    </row>
    <row r="1178" spans="1:5">
      <c r="A1178">
        <v>2025</v>
      </c>
      <c r="B1178" t="s">
        <v>2220</v>
      </c>
      <c r="C1178" t="s">
        <v>2229</v>
      </c>
      <c r="D1178" s="14">
        <v>2.19</v>
      </c>
      <c r="E1178" s="15">
        <v>31</v>
      </c>
    </row>
    <row r="1179" spans="1:5">
      <c r="A1179">
        <v>2025</v>
      </c>
      <c r="B1179" t="s">
        <v>2221</v>
      </c>
      <c r="C1179" t="s">
        <v>2229</v>
      </c>
      <c r="D1179" s="14">
        <v>17.86</v>
      </c>
      <c r="E1179" s="15">
        <v>31</v>
      </c>
    </row>
    <row r="1180" spans="1:5">
      <c r="A1180">
        <v>2025</v>
      </c>
      <c r="B1180" t="s">
        <v>2222</v>
      </c>
      <c r="C1180" t="s">
        <v>2229</v>
      </c>
      <c r="D1180" s="14">
        <v>2.16</v>
      </c>
      <c r="E1180" s="15">
        <v>31</v>
      </c>
    </row>
    <row r="1181" spans="1:5">
      <c r="A1181">
        <v>2025</v>
      </c>
      <c r="B1181" t="s">
        <v>2223</v>
      </c>
      <c r="C1181" t="s">
        <v>2229</v>
      </c>
      <c r="D1181" s="14">
        <v>0.32</v>
      </c>
      <c r="E1181" s="15">
        <v>31</v>
      </c>
    </row>
    <row r="1182" spans="1:5">
      <c r="A1182">
        <v>2026</v>
      </c>
      <c r="B1182" t="s">
        <v>2213</v>
      </c>
      <c r="C1182" t="s">
        <v>2229</v>
      </c>
      <c r="D1182" s="14">
        <v>0.28000000000000003</v>
      </c>
      <c r="E1182" s="15">
        <v>30</v>
      </c>
    </row>
    <row r="1183" spans="1:5">
      <c r="A1183">
        <v>2026</v>
      </c>
      <c r="B1183" t="s">
        <v>2215</v>
      </c>
      <c r="C1183" t="s">
        <v>2229</v>
      </c>
      <c r="D1183" s="14">
        <v>1.69</v>
      </c>
      <c r="E1183" s="15">
        <v>30</v>
      </c>
    </row>
    <row r="1184" spans="1:5">
      <c r="A1184">
        <v>2026</v>
      </c>
      <c r="B1184" t="s">
        <v>2216</v>
      </c>
      <c r="C1184" t="s">
        <v>2229</v>
      </c>
      <c r="D1184" s="14">
        <v>1.1000000000000001</v>
      </c>
      <c r="E1184" s="15">
        <v>30</v>
      </c>
    </row>
    <row r="1185" spans="1:5">
      <c r="A1185">
        <v>2026</v>
      </c>
      <c r="B1185" t="s">
        <v>2217</v>
      </c>
      <c r="C1185" t="s">
        <v>2229</v>
      </c>
      <c r="D1185" s="14">
        <v>5.57</v>
      </c>
      <c r="E1185" s="15">
        <v>30</v>
      </c>
    </row>
    <row r="1186" spans="1:5">
      <c r="A1186">
        <v>2026</v>
      </c>
      <c r="B1186" t="s">
        <v>2218</v>
      </c>
      <c r="C1186" t="s">
        <v>2229</v>
      </c>
      <c r="D1186" s="14">
        <v>6.16</v>
      </c>
      <c r="E1186" s="15">
        <v>30</v>
      </c>
    </row>
    <row r="1187" spans="1:5">
      <c r="A1187">
        <v>2026</v>
      </c>
      <c r="B1187" t="s">
        <v>2219</v>
      </c>
      <c r="C1187" t="s">
        <v>2229</v>
      </c>
      <c r="D1187" s="14">
        <v>3.11</v>
      </c>
      <c r="E1187" s="15">
        <v>30</v>
      </c>
    </row>
    <row r="1188" spans="1:5">
      <c r="A1188">
        <v>2026</v>
      </c>
      <c r="B1188" t="s">
        <v>2220</v>
      </c>
      <c r="C1188" t="s">
        <v>2229</v>
      </c>
      <c r="D1188" s="14">
        <v>2.04</v>
      </c>
      <c r="E1188" s="15">
        <v>30</v>
      </c>
    </row>
    <row r="1189" spans="1:5">
      <c r="A1189">
        <v>2026</v>
      </c>
      <c r="B1189" t="s">
        <v>2221</v>
      </c>
      <c r="C1189" t="s">
        <v>2229</v>
      </c>
      <c r="D1189" s="14">
        <v>16.13</v>
      </c>
      <c r="E1189" s="15">
        <v>30</v>
      </c>
    </row>
    <row r="1190" spans="1:5">
      <c r="A1190">
        <v>2026</v>
      </c>
      <c r="B1190" t="s">
        <v>2222</v>
      </c>
      <c r="C1190" t="s">
        <v>2229</v>
      </c>
      <c r="D1190" s="14">
        <v>2.09</v>
      </c>
      <c r="E1190" s="15">
        <v>30</v>
      </c>
    </row>
    <row r="1191" spans="1:5">
      <c r="A1191">
        <v>2026</v>
      </c>
      <c r="B1191" t="s">
        <v>2223</v>
      </c>
      <c r="C1191" t="s">
        <v>2229</v>
      </c>
      <c r="D1191" s="14">
        <v>0.32</v>
      </c>
      <c r="E1191" s="15">
        <v>30</v>
      </c>
    </row>
    <row r="1192" spans="1:5">
      <c r="A1192">
        <v>2010</v>
      </c>
      <c r="B1192" t="s">
        <v>2213</v>
      </c>
      <c r="C1192" t="s">
        <v>2230</v>
      </c>
      <c r="D1192" s="14">
        <v>3.21</v>
      </c>
      <c r="E1192" s="15">
        <v>60</v>
      </c>
    </row>
    <row r="1193" spans="1:5">
      <c r="A1193">
        <v>2010</v>
      </c>
      <c r="B1193" t="s">
        <v>2215</v>
      </c>
      <c r="C1193" t="s">
        <v>2230</v>
      </c>
      <c r="D1193" s="14">
        <v>3.72</v>
      </c>
      <c r="E1193" s="15">
        <v>60</v>
      </c>
    </row>
    <row r="1194" spans="1:5">
      <c r="A1194">
        <v>2010</v>
      </c>
      <c r="B1194" t="s">
        <v>2216</v>
      </c>
      <c r="C1194" t="s">
        <v>2230</v>
      </c>
      <c r="D1194" s="14">
        <v>2.4300000000000002</v>
      </c>
      <c r="E1194" s="15">
        <v>60</v>
      </c>
    </row>
    <row r="1195" spans="1:5">
      <c r="A1195">
        <v>2010</v>
      </c>
      <c r="B1195" t="s">
        <v>2217</v>
      </c>
      <c r="C1195" t="s">
        <v>2230</v>
      </c>
      <c r="D1195" s="14">
        <v>11.39</v>
      </c>
      <c r="E1195" s="15">
        <v>60</v>
      </c>
    </row>
    <row r="1196" spans="1:5">
      <c r="A1196">
        <v>2010</v>
      </c>
      <c r="B1196" t="s">
        <v>2218</v>
      </c>
      <c r="C1196" t="s">
        <v>2230</v>
      </c>
      <c r="D1196" s="14">
        <v>11.88</v>
      </c>
      <c r="E1196" s="15">
        <v>60</v>
      </c>
    </row>
    <row r="1197" spans="1:5">
      <c r="A1197">
        <v>2010</v>
      </c>
      <c r="B1197" t="s">
        <v>2219</v>
      </c>
      <c r="C1197" t="s">
        <v>2230</v>
      </c>
      <c r="D1197" s="14">
        <v>5.91</v>
      </c>
      <c r="E1197" s="15">
        <v>60</v>
      </c>
    </row>
    <row r="1198" spans="1:5">
      <c r="A1198">
        <v>2010</v>
      </c>
      <c r="B1198" t="s">
        <v>2220</v>
      </c>
      <c r="C1198" t="s">
        <v>2230</v>
      </c>
      <c r="D1198" s="14">
        <v>4.18</v>
      </c>
      <c r="E1198" s="15">
        <v>60</v>
      </c>
    </row>
    <row r="1199" spans="1:5">
      <c r="A1199">
        <v>2010</v>
      </c>
      <c r="B1199" t="s">
        <v>2221</v>
      </c>
      <c r="C1199" t="s">
        <v>2230</v>
      </c>
      <c r="D1199" s="14">
        <v>12.69</v>
      </c>
      <c r="E1199" s="15">
        <v>60</v>
      </c>
    </row>
    <row r="1200" spans="1:5">
      <c r="A1200">
        <v>2010</v>
      </c>
      <c r="B1200" t="s">
        <v>2222</v>
      </c>
      <c r="C1200" t="s">
        <v>2230</v>
      </c>
      <c r="D1200" s="14">
        <v>4.17</v>
      </c>
      <c r="E1200" s="15">
        <v>60</v>
      </c>
    </row>
    <row r="1201" spans="1:5">
      <c r="A1201">
        <v>2010</v>
      </c>
      <c r="B1201" t="s">
        <v>2223</v>
      </c>
      <c r="C1201" t="s">
        <v>2230</v>
      </c>
      <c r="D1201" s="14">
        <v>0.56999999999999995</v>
      </c>
      <c r="E1201" s="15">
        <v>60</v>
      </c>
    </row>
    <row r="1202" spans="1:5">
      <c r="A1202">
        <v>2011</v>
      </c>
      <c r="B1202" t="s">
        <v>2213</v>
      </c>
      <c r="C1202" t="s">
        <v>2230</v>
      </c>
      <c r="D1202" s="14">
        <v>3.01</v>
      </c>
      <c r="E1202" s="15">
        <v>57.8</v>
      </c>
    </row>
    <row r="1203" spans="1:5">
      <c r="A1203">
        <v>2011</v>
      </c>
      <c r="B1203" t="s">
        <v>2215</v>
      </c>
      <c r="C1203" t="s">
        <v>2230</v>
      </c>
      <c r="D1203" s="14">
        <v>3.54</v>
      </c>
      <c r="E1203" s="15">
        <v>57.8</v>
      </c>
    </row>
    <row r="1204" spans="1:5">
      <c r="A1204">
        <v>2011</v>
      </c>
      <c r="B1204" t="s">
        <v>2216</v>
      </c>
      <c r="C1204" t="s">
        <v>2230</v>
      </c>
      <c r="D1204" s="14">
        <v>2.4500000000000002</v>
      </c>
      <c r="E1204" s="15">
        <v>57.8</v>
      </c>
    </row>
    <row r="1205" spans="1:5">
      <c r="A1205">
        <v>2011</v>
      </c>
      <c r="B1205" t="s">
        <v>2217</v>
      </c>
      <c r="C1205" t="s">
        <v>2230</v>
      </c>
      <c r="D1205" s="14">
        <v>9.75</v>
      </c>
      <c r="E1205" s="15">
        <v>57.8</v>
      </c>
    </row>
    <row r="1206" spans="1:5">
      <c r="A1206">
        <v>2011</v>
      </c>
      <c r="B1206" t="s">
        <v>2218</v>
      </c>
      <c r="C1206" t="s">
        <v>2230</v>
      </c>
      <c r="D1206" s="14">
        <v>12.47</v>
      </c>
      <c r="E1206" s="15">
        <v>57.8</v>
      </c>
    </row>
    <row r="1207" spans="1:5">
      <c r="A1207">
        <v>2011</v>
      </c>
      <c r="B1207" t="s">
        <v>2219</v>
      </c>
      <c r="C1207" t="s">
        <v>2230</v>
      </c>
      <c r="D1207" s="14">
        <v>5.43</v>
      </c>
      <c r="E1207" s="15">
        <v>57.8</v>
      </c>
    </row>
    <row r="1208" spans="1:5">
      <c r="A1208">
        <v>2011</v>
      </c>
      <c r="B1208" t="s">
        <v>2220</v>
      </c>
      <c r="C1208" t="s">
        <v>2230</v>
      </c>
      <c r="D1208" s="14">
        <v>3.86</v>
      </c>
      <c r="E1208" s="15">
        <v>57.8</v>
      </c>
    </row>
    <row r="1209" spans="1:5">
      <c r="A1209">
        <v>2011</v>
      </c>
      <c r="B1209" t="s">
        <v>2221</v>
      </c>
      <c r="C1209" t="s">
        <v>2230</v>
      </c>
      <c r="D1209" s="14">
        <v>12.4</v>
      </c>
      <c r="E1209" s="15">
        <v>57.8</v>
      </c>
    </row>
    <row r="1210" spans="1:5">
      <c r="A1210">
        <v>2011</v>
      </c>
      <c r="B1210" t="s">
        <v>2222</v>
      </c>
      <c r="C1210" t="s">
        <v>2230</v>
      </c>
      <c r="D1210" s="14">
        <v>4.26</v>
      </c>
      <c r="E1210" s="15">
        <v>57.8</v>
      </c>
    </row>
    <row r="1211" spans="1:5">
      <c r="A1211">
        <v>2011</v>
      </c>
      <c r="B1211" t="s">
        <v>2223</v>
      </c>
      <c r="C1211" t="s">
        <v>2230</v>
      </c>
      <c r="D1211" s="14">
        <v>0.57999999999999996</v>
      </c>
      <c r="E1211" s="15">
        <v>57.8</v>
      </c>
    </row>
    <row r="1212" spans="1:5">
      <c r="A1212">
        <v>2012</v>
      </c>
      <c r="B1212" t="s">
        <v>2213</v>
      </c>
      <c r="C1212" t="s">
        <v>2230</v>
      </c>
      <c r="D1212" s="14">
        <v>2.75</v>
      </c>
      <c r="E1212" s="15">
        <v>55.6</v>
      </c>
    </row>
    <row r="1213" spans="1:5">
      <c r="A1213">
        <v>2012</v>
      </c>
      <c r="B1213" t="s">
        <v>2215</v>
      </c>
      <c r="C1213" t="s">
        <v>2230</v>
      </c>
      <c r="D1213" s="14">
        <v>3.23</v>
      </c>
      <c r="E1213" s="15">
        <v>55.6</v>
      </c>
    </row>
    <row r="1214" spans="1:5">
      <c r="A1214">
        <v>2012</v>
      </c>
      <c r="B1214" t="s">
        <v>2216</v>
      </c>
      <c r="C1214" t="s">
        <v>2230</v>
      </c>
      <c r="D1214" s="14">
        <v>2.1</v>
      </c>
      <c r="E1214" s="15">
        <v>55.6</v>
      </c>
    </row>
    <row r="1215" spans="1:5">
      <c r="A1215">
        <v>2012</v>
      </c>
      <c r="B1215" t="s">
        <v>2217</v>
      </c>
      <c r="C1215" t="s">
        <v>2230</v>
      </c>
      <c r="D1215" s="14">
        <v>10.47</v>
      </c>
      <c r="E1215" s="15">
        <v>55.6</v>
      </c>
    </row>
    <row r="1216" spans="1:5">
      <c r="A1216">
        <v>2012</v>
      </c>
      <c r="B1216" t="s">
        <v>2218</v>
      </c>
      <c r="C1216" t="s">
        <v>2230</v>
      </c>
      <c r="D1216" s="14">
        <v>11.48</v>
      </c>
      <c r="E1216" s="15">
        <v>55.6</v>
      </c>
    </row>
    <row r="1217" spans="1:5">
      <c r="A1217">
        <v>2012</v>
      </c>
      <c r="B1217" t="s">
        <v>2219</v>
      </c>
      <c r="C1217" t="s">
        <v>2230</v>
      </c>
      <c r="D1217" s="14">
        <v>5.87</v>
      </c>
      <c r="E1217" s="15">
        <v>55.6</v>
      </c>
    </row>
    <row r="1218" spans="1:5">
      <c r="A1218">
        <v>2012</v>
      </c>
      <c r="B1218" t="s">
        <v>2220</v>
      </c>
      <c r="C1218" t="s">
        <v>2230</v>
      </c>
      <c r="D1218" s="14">
        <v>3.95</v>
      </c>
      <c r="E1218" s="15">
        <v>55.6</v>
      </c>
    </row>
    <row r="1219" spans="1:5">
      <c r="A1219">
        <v>2012</v>
      </c>
      <c r="B1219" t="s">
        <v>2221</v>
      </c>
      <c r="C1219" t="s">
        <v>2230</v>
      </c>
      <c r="D1219" s="14">
        <v>11.01</v>
      </c>
      <c r="E1219" s="15">
        <v>55.6</v>
      </c>
    </row>
    <row r="1220" spans="1:5">
      <c r="A1220">
        <v>2012</v>
      </c>
      <c r="B1220" t="s">
        <v>2222</v>
      </c>
      <c r="C1220" t="s">
        <v>2230</v>
      </c>
      <c r="D1220" s="14">
        <v>3.7</v>
      </c>
      <c r="E1220" s="15">
        <v>55.6</v>
      </c>
    </row>
    <row r="1221" spans="1:5">
      <c r="A1221">
        <v>2012</v>
      </c>
      <c r="B1221" t="s">
        <v>2223</v>
      </c>
      <c r="C1221" t="s">
        <v>2230</v>
      </c>
      <c r="D1221" s="14">
        <v>0.56999999999999995</v>
      </c>
      <c r="E1221" s="15">
        <v>55.6</v>
      </c>
    </row>
    <row r="1222" spans="1:5">
      <c r="A1222">
        <v>2013</v>
      </c>
      <c r="B1222" t="s">
        <v>2213</v>
      </c>
      <c r="C1222" t="s">
        <v>2230</v>
      </c>
      <c r="D1222" s="14">
        <v>2.63</v>
      </c>
      <c r="E1222" s="15">
        <v>53.4</v>
      </c>
    </row>
    <row r="1223" spans="1:5">
      <c r="A1223">
        <v>2013</v>
      </c>
      <c r="B1223" t="s">
        <v>2215</v>
      </c>
      <c r="C1223" t="s">
        <v>2230</v>
      </c>
      <c r="D1223" s="14">
        <v>3.13</v>
      </c>
      <c r="E1223" s="15">
        <v>53.4</v>
      </c>
    </row>
    <row r="1224" spans="1:5">
      <c r="A1224">
        <v>2013</v>
      </c>
      <c r="B1224" t="s">
        <v>2216</v>
      </c>
      <c r="C1224" t="s">
        <v>2230</v>
      </c>
      <c r="D1224" s="14">
        <v>2.04</v>
      </c>
      <c r="E1224" s="15">
        <v>53.4</v>
      </c>
    </row>
    <row r="1225" spans="1:5">
      <c r="A1225">
        <v>2013</v>
      </c>
      <c r="B1225" t="s">
        <v>2217</v>
      </c>
      <c r="C1225" t="s">
        <v>2230</v>
      </c>
      <c r="D1225" s="14">
        <v>9.98</v>
      </c>
      <c r="E1225" s="15">
        <v>53.4</v>
      </c>
    </row>
    <row r="1226" spans="1:5">
      <c r="A1226">
        <v>2013</v>
      </c>
      <c r="B1226" t="s">
        <v>2218</v>
      </c>
      <c r="C1226" t="s">
        <v>2230</v>
      </c>
      <c r="D1226" s="14">
        <v>10.88</v>
      </c>
      <c r="E1226" s="15">
        <v>53.4</v>
      </c>
    </row>
    <row r="1227" spans="1:5">
      <c r="A1227">
        <v>2013</v>
      </c>
      <c r="B1227" t="s">
        <v>2219</v>
      </c>
      <c r="C1227" t="s">
        <v>2230</v>
      </c>
      <c r="D1227" s="14">
        <v>5.45</v>
      </c>
      <c r="E1227" s="15">
        <v>53.4</v>
      </c>
    </row>
    <row r="1228" spans="1:5">
      <c r="A1228">
        <v>2013</v>
      </c>
      <c r="B1228" t="s">
        <v>2220</v>
      </c>
      <c r="C1228" t="s">
        <v>2230</v>
      </c>
      <c r="D1228" s="14">
        <v>3.64</v>
      </c>
      <c r="E1228" s="15">
        <v>53.4</v>
      </c>
    </row>
    <row r="1229" spans="1:5">
      <c r="A1229">
        <v>2013</v>
      </c>
      <c r="B1229" t="s">
        <v>2221</v>
      </c>
      <c r="C1229" t="s">
        <v>2230</v>
      </c>
      <c r="D1229" s="14">
        <v>11.83</v>
      </c>
      <c r="E1229" s="15">
        <v>53.4</v>
      </c>
    </row>
    <row r="1230" spans="1:5">
      <c r="A1230">
        <v>2013</v>
      </c>
      <c r="B1230" t="s">
        <v>2222</v>
      </c>
      <c r="C1230" t="s">
        <v>2230</v>
      </c>
      <c r="D1230" s="14">
        <v>3.54</v>
      </c>
      <c r="E1230" s="15">
        <v>53.4</v>
      </c>
    </row>
    <row r="1231" spans="1:5">
      <c r="A1231">
        <v>2013</v>
      </c>
      <c r="B1231" t="s">
        <v>2223</v>
      </c>
      <c r="C1231" t="s">
        <v>2230</v>
      </c>
      <c r="D1231" s="14">
        <v>0.53</v>
      </c>
      <c r="E1231" s="15">
        <v>53.4</v>
      </c>
    </row>
    <row r="1232" spans="1:5">
      <c r="A1232">
        <v>2014</v>
      </c>
      <c r="B1232" t="s">
        <v>2213</v>
      </c>
      <c r="C1232" t="s">
        <v>2230</v>
      </c>
      <c r="D1232" s="14">
        <v>2.31</v>
      </c>
      <c r="E1232" s="15">
        <v>51.2</v>
      </c>
    </row>
    <row r="1233" spans="1:5">
      <c r="A1233">
        <v>2014</v>
      </c>
      <c r="B1233" t="s">
        <v>2215</v>
      </c>
      <c r="C1233" t="s">
        <v>2230</v>
      </c>
      <c r="D1233" s="14">
        <v>2.89</v>
      </c>
      <c r="E1233" s="15">
        <v>51.2</v>
      </c>
    </row>
    <row r="1234" spans="1:5">
      <c r="A1234">
        <v>2014</v>
      </c>
      <c r="B1234" t="s">
        <v>2216</v>
      </c>
      <c r="C1234" t="s">
        <v>2230</v>
      </c>
      <c r="D1234" s="14">
        <v>2.02</v>
      </c>
      <c r="E1234" s="15">
        <v>51.2</v>
      </c>
    </row>
    <row r="1235" spans="1:5">
      <c r="A1235">
        <v>2014</v>
      </c>
      <c r="B1235" t="s">
        <v>2217</v>
      </c>
      <c r="C1235" t="s">
        <v>2230</v>
      </c>
      <c r="D1235" s="14">
        <v>10.130000000000001</v>
      </c>
      <c r="E1235" s="15">
        <v>51.2</v>
      </c>
    </row>
    <row r="1236" spans="1:5">
      <c r="A1236">
        <v>2014</v>
      </c>
      <c r="B1236" t="s">
        <v>2218</v>
      </c>
      <c r="C1236" t="s">
        <v>2230</v>
      </c>
      <c r="D1236" s="14">
        <v>9.5299999999999994</v>
      </c>
      <c r="E1236" s="15">
        <v>51.2</v>
      </c>
    </row>
    <row r="1237" spans="1:5">
      <c r="A1237">
        <v>2014</v>
      </c>
      <c r="B1237" t="s">
        <v>2219</v>
      </c>
      <c r="C1237" t="s">
        <v>2230</v>
      </c>
      <c r="D1237" s="14">
        <v>4.87</v>
      </c>
      <c r="E1237" s="15">
        <v>51.2</v>
      </c>
    </row>
    <row r="1238" spans="1:5">
      <c r="A1238">
        <v>2014</v>
      </c>
      <c r="B1238" t="s">
        <v>2220</v>
      </c>
      <c r="C1238" t="s">
        <v>2230</v>
      </c>
      <c r="D1238" s="14">
        <v>3.62</v>
      </c>
      <c r="E1238" s="15">
        <v>51.2</v>
      </c>
    </row>
    <row r="1239" spans="1:5">
      <c r="A1239">
        <v>2014</v>
      </c>
      <c r="B1239" t="s">
        <v>2221</v>
      </c>
      <c r="C1239" t="s">
        <v>2230</v>
      </c>
      <c r="D1239" s="14">
        <v>12.09</v>
      </c>
      <c r="E1239" s="15">
        <v>51.2</v>
      </c>
    </row>
    <row r="1240" spans="1:5">
      <c r="A1240">
        <v>2014</v>
      </c>
      <c r="B1240" t="s">
        <v>2222</v>
      </c>
      <c r="C1240" t="s">
        <v>2230</v>
      </c>
      <c r="D1240" s="14">
        <v>3.61</v>
      </c>
      <c r="E1240" s="15">
        <v>51.2</v>
      </c>
    </row>
    <row r="1241" spans="1:5">
      <c r="A1241">
        <v>2014</v>
      </c>
      <c r="B1241" t="s">
        <v>2223</v>
      </c>
      <c r="C1241" t="s">
        <v>2230</v>
      </c>
      <c r="D1241" s="14">
        <v>0.53</v>
      </c>
      <c r="E1241" s="15">
        <v>51.2</v>
      </c>
    </row>
    <row r="1242" spans="1:5">
      <c r="A1242">
        <v>2015</v>
      </c>
      <c r="B1242" t="s">
        <v>2213</v>
      </c>
      <c r="C1242" t="s">
        <v>2230</v>
      </c>
      <c r="D1242" s="14">
        <v>2.42</v>
      </c>
      <c r="E1242" s="15">
        <v>49</v>
      </c>
    </row>
    <row r="1243" spans="1:5">
      <c r="A1243">
        <v>2015</v>
      </c>
      <c r="B1243" t="s">
        <v>2215</v>
      </c>
      <c r="C1243" t="s">
        <v>2230</v>
      </c>
      <c r="D1243" s="14">
        <v>2.88</v>
      </c>
      <c r="E1243" s="15">
        <v>49</v>
      </c>
    </row>
    <row r="1244" spans="1:5">
      <c r="A1244">
        <v>2015</v>
      </c>
      <c r="B1244" t="s">
        <v>2216</v>
      </c>
      <c r="C1244" t="s">
        <v>2230</v>
      </c>
      <c r="D1244" s="14">
        <v>1.97</v>
      </c>
      <c r="E1244" s="15">
        <v>49</v>
      </c>
    </row>
    <row r="1245" spans="1:5">
      <c r="A1245">
        <v>2015</v>
      </c>
      <c r="B1245" t="s">
        <v>2217</v>
      </c>
      <c r="C1245" t="s">
        <v>2230</v>
      </c>
      <c r="D1245" s="14">
        <v>8.59</v>
      </c>
      <c r="E1245" s="15">
        <v>49</v>
      </c>
    </row>
    <row r="1246" spans="1:5">
      <c r="A1246">
        <v>2015</v>
      </c>
      <c r="B1246" t="s">
        <v>2218</v>
      </c>
      <c r="C1246" t="s">
        <v>2230</v>
      </c>
      <c r="D1246" s="14">
        <v>10.09</v>
      </c>
      <c r="E1246" s="15">
        <v>49</v>
      </c>
    </row>
    <row r="1247" spans="1:5">
      <c r="A1247">
        <v>2015</v>
      </c>
      <c r="B1247" t="s">
        <v>2219</v>
      </c>
      <c r="C1247" t="s">
        <v>2230</v>
      </c>
      <c r="D1247" s="14">
        <v>4.5999999999999996</v>
      </c>
      <c r="E1247" s="15">
        <v>49</v>
      </c>
    </row>
    <row r="1248" spans="1:5">
      <c r="A1248">
        <v>2015</v>
      </c>
      <c r="B1248" t="s">
        <v>2220</v>
      </c>
      <c r="C1248" t="s">
        <v>2230</v>
      </c>
      <c r="D1248" s="14">
        <v>3.55</v>
      </c>
      <c r="E1248" s="15">
        <v>49</v>
      </c>
    </row>
    <row r="1249" spans="1:5">
      <c r="A1249">
        <v>2015</v>
      </c>
      <c r="B1249" t="s">
        <v>2221</v>
      </c>
      <c r="C1249" t="s">
        <v>2230</v>
      </c>
      <c r="D1249" s="14">
        <v>10.8</v>
      </c>
      <c r="E1249" s="15">
        <v>49</v>
      </c>
    </row>
    <row r="1250" spans="1:5">
      <c r="A1250">
        <v>2015</v>
      </c>
      <c r="B1250" t="s">
        <v>2222</v>
      </c>
      <c r="C1250" t="s">
        <v>2230</v>
      </c>
      <c r="D1250" s="14">
        <v>3.4</v>
      </c>
      <c r="E1250" s="15">
        <v>49</v>
      </c>
    </row>
    <row r="1251" spans="1:5">
      <c r="A1251">
        <v>2015</v>
      </c>
      <c r="B1251" t="s">
        <v>2223</v>
      </c>
      <c r="C1251" t="s">
        <v>2230</v>
      </c>
      <c r="D1251" s="14">
        <v>0.46</v>
      </c>
      <c r="E1251" s="15">
        <v>49</v>
      </c>
    </row>
    <row r="1252" spans="1:5">
      <c r="A1252">
        <v>2016</v>
      </c>
      <c r="B1252" t="s">
        <v>2213</v>
      </c>
      <c r="C1252" t="s">
        <v>2230</v>
      </c>
      <c r="D1252" s="14">
        <v>2.2599999999999998</v>
      </c>
      <c r="E1252" s="15">
        <v>47</v>
      </c>
    </row>
    <row r="1253" spans="1:5">
      <c r="A1253">
        <v>2016</v>
      </c>
      <c r="B1253" t="s">
        <v>2215</v>
      </c>
      <c r="C1253" t="s">
        <v>2230</v>
      </c>
      <c r="D1253" s="14">
        <v>2.96</v>
      </c>
      <c r="E1253" s="15">
        <v>47</v>
      </c>
    </row>
    <row r="1254" spans="1:5">
      <c r="A1254">
        <v>2016</v>
      </c>
      <c r="B1254" t="s">
        <v>2216</v>
      </c>
      <c r="C1254" t="s">
        <v>2230</v>
      </c>
      <c r="D1254" s="14">
        <v>1.86</v>
      </c>
      <c r="E1254" s="15">
        <v>47</v>
      </c>
    </row>
    <row r="1255" spans="1:5">
      <c r="A1255">
        <v>2016</v>
      </c>
      <c r="B1255" t="s">
        <v>2217</v>
      </c>
      <c r="C1255" t="s">
        <v>2230</v>
      </c>
      <c r="D1255" s="14">
        <v>8.5500000000000007</v>
      </c>
      <c r="E1255" s="15">
        <v>47</v>
      </c>
    </row>
    <row r="1256" spans="1:5">
      <c r="A1256">
        <v>2016</v>
      </c>
      <c r="B1256" t="s">
        <v>2218</v>
      </c>
      <c r="C1256" t="s">
        <v>2230</v>
      </c>
      <c r="D1256" s="14">
        <v>9.08</v>
      </c>
      <c r="E1256" s="15">
        <v>47</v>
      </c>
    </row>
    <row r="1257" spans="1:5">
      <c r="A1257">
        <v>2016</v>
      </c>
      <c r="B1257" t="s">
        <v>2219</v>
      </c>
      <c r="C1257" t="s">
        <v>2230</v>
      </c>
      <c r="D1257" s="14">
        <v>4.6900000000000004</v>
      </c>
      <c r="E1257" s="15">
        <v>47</v>
      </c>
    </row>
    <row r="1258" spans="1:5">
      <c r="A1258">
        <v>2016</v>
      </c>
      <c r="B1258" t="s">
        <v>2220</v>
      </c>
      <c r="C1258" t="s">
        <v>2230</v>
      </c>
      <c r="D1258" s="14">
        <v>3.11</v>
      </c>
      <c r="E1258" s="15">
        <v>47</v>
      </c>
    </row>
    <row r="1259" spans="1:5">
      <c r="A1259">
        <v>2016</v>
      </c>
      <c r="B1259" t="s">
        <v>2221</v>
      </c>
      <c r="C1259" t="s">
        <v>2230</v>
      </c>
      <c r="D1259" s="14">
        <v>10.38</v>
      </c>
      <c r="E1259" s="15">
        <v>47</v>
      </c>
    </row>
    <row r="1260" spans="1:5">
      <c r="A1260">
        <v>2016</v>
      </c>
      <c r="B1260" t="s">
        <v>2222</v>
      </c>
      <c r="C1260" t="s">
        <v>2230</v>
      </c>
      <c r="D1260" s="14">
        <v>3.34</v>
      </c>
      <c r="E1260" s="15">
        <v>47</v>
      </c>
    </row>
    <row r="1261" spans="1:5">
      <c r="A1261">
        <v>2016</v>
      </c>
      <c r="B1261" t="s">
        <v>2223</v>
      </c>
      <c r="C1261" t="s">
        <v>2230</v>
      </c>
      <c r="D1261" s="14">
        <v>0.48</v>
      </c>
      <c r="E1261" s="15">
        <v>47</v>
      </c>
    </row>
    <row r="1262" spans="1:5">
      <c r="A1262">
        <v>2017</v>
      </c>
      <c r="B1262" t="s">
        <v>2213</v>
      </c>
      <c r="C1262" t="s">
        <v>2230</v>
      </c>
      <c r="D1262" s="14">
        <v>2.17</v>
      </c>
      <c r="E1262" s="15">
        <v>45</v>
      </c>
    </row>
    <row r="1263" spans="1:5">
      <c r="A1263">
        <v>2017</v>
      </c>
      <c r="B1263" t="s">
        <v>2215</v>
      </c>
      <c r="C1263" t="s">
        <v>2230</v>
      </c>
      <c r="D1263" s="14">
        <v>2.66</v>
      </c>
      <c r="E1263" s="15">
        <v>45</v>
      </c>
    </row>
    <row r="1264" spans="1:5">
      <c r="A1264">
        <v>2017</v>
      </c>
      <c r="B1264" t="s">
        <v>2216</v>
      </c>
      <c r="C1264" t="s">
        <v>2230</v>
      </c>
      <c r="D1264" s="14">
        <v>1.84</v>
      </c>
      <c r="E1264" s="15">
        <v>45</v>
      </c>
    </row>
    <row r="1265" spans="1:5">
      <c r="A1265">
        <v>2017</v>
      </c>
      <c r="B1265" t="s">
        <v>2217</v>
      </c>
      <c r="C1265" t="s">
        <v>2230</v>
      </c>
      <c r="D1265" s="14">
        <v>8.0299999999999994</v>
      </c>
      <c r="E1265" s="15">
        <v>45</v>
      </c>
    </row>
    <row r="1266" spans="1:5">
      <c r="A1266">
        <v>2017</v>
      </c>
      <c r="B1266" t="s">
        <v>2218</v>
      </c>
      <c r="C1266" t="s">
        <v>2230</v>
      </c>
      <c r="D1266" s="14">
        <v>8.9</v>
      </c>
      <c r="E1266" s="15">
        <v>45</v>
      </c>
    </row>
    <row r="1267" spans="1:5">
      <c r="A1267">
        <v>2017</v>
      </c>
      <c r="B1267" t="s">
        <v>2219</v>
      </c>
      <c r="C1267" t="s">
        <v>2230</v>
      </c>
      <c r="D1267" s="14">
        <v>4.8600000000000003</v>
      </c>
      <c r="E1267" s="15">
        <v>45</v>
      </c>
    </row>
    <row r="1268" spans="1:5">
      <c r="A1268">
        <v>2017</v>
      </c>
      <c r="B1268" t="s">
        <v>2220</v>
      </c>
      <c r="C1268" t="s">
        <v>2230</v>
      </c>
      <c r="D1268" s="14">
        <v>3.03</v>
      </c>
      <c r="E1268" s="15">
        <v>45</v>
      </c>
    </row>
    <row r="1269" spans="1:5">
      <c r="A1269">
        <v>2017</v>
      </c>
      <c r="B1269" t="s">
        <v>2221</v>
      </c>
      <c r="C1269" t="s">
        <v>2230</v>
      </c>
      <c r="D1269" s="14">
        <v>10.34</v>
      </c>
      <c r="E1269" s="15">
        <v>45</v>
      </c>
    </row>
    <row r="1270" spans="1:5">
      <c r="A1270">
        <v>2017</v>
      </c>
      <c r="B1270" t="s">
        <v>2222</v>
      </c>
      <c r="C1270" t="s">
        <v>2230</v>
      </c>
      <c r="D1270" s="14">
        <v>3.01</v>
      </c>
      <c r="E1270" s="15">
        <v>45</v>
      </c>
    </row>
    <row r="1271" spans="1:5">
      <c r="A1271">
        <v>2017</v>
      </c>
      <c r="B1271" t="s">
        <v>2223</v>
      </c>
      <c r="C1271" t="s">
        <v>2230</v>
      </c>
      <c r="D1271" s="14">
        <v>0.46</v>
      </c>
      <c r="E1271" s="15">
        <v>45</v>
      </c>
    </row>
    <row r="1272" spans="1:5">
      <c r="A1272">
        <v>2018</v>
      </c>
      <c r="B1272" t="s">
        <v>2213</v>
      </c>
      <c r="C1272" t="s">
        <v>2230</v>
      </c>
      <c r="D1272" s="14">
        <v>2.21</v>
      </c>
      <c r="E1272" s="15">
        <v>43</v>
      </c>
    </row>
    <row r="1273" spans="1:5">
      <c r="A1273">
        <v>2018</v>
      </c>
      <c r="B1273" t="s">
        <v>2215</v>
      </c>
      <c r="C1273" t="s">
        <v>2230</v>
      </c>
      <c r="D1273" s="14">
        <v>2.5299999999999998</v>
      </c>
      <c r="E1273" s="15">
        <v>43</v>
      </c>
    </row>
    <row r="1274" spans="1:5">
      <c r="A1274">
        <v>2018</v>
      </c>
      <c r="B1274" t="s">
        <v>2216</v>
      </c>
      <c r="C1274" t="s">
        <v>2230</v>
      </c>
      <c r="D1274" s="14">
        <v>1.64</v>
      </c>
      <c r="E1274" s="15">
        <v>43</v>
      </c>
    </row>
    <row r="1275" spans="1:5">
      <c r="A1275">
        <v>2018</v>
      </c>
      <c r="B1275" t="s">
        <v>2217</v>
      </c>
      <c r="C1275" t="s">
        <v>2230</v>
      </c>
      <c r="D1275" s="14">
        <v>7.15</v>
      </c>
      <c r="E1275" s="15">
        <v>43</v>
      </c>
    </row>
    <row r="1276" spans="1:5">
      <c r="A1276">
        <v>2018</v>
      </c>
      <c r="B1276" t="s">
        <v>2218</v>
      </c>
      <c r="C1276" t="s">
        <v>2230</v>
      </c>
      <c r="D1276" s="14">
        <v>8.39</v>
      </c>
      <c r="E1276" s="15">
        <v>43</v>
      </c>
    </row>
    <row r="1277" spans="1:5">
      <c r="A1277">
        <v>2018</v>
      </c>
      <c r="B1277" t="s">
        <v>2219</v>
      </c>
      <c r="C1277" t="s">
        <v>2230</v>
      </c>
      <c r="D1277" s="14">
        <v>4.3899999999999997</v>
      </c>
      <c r="E1277" s="15">
        <v>43</v>
      </c>
    </row>
    <row r="1278" spans="1:5">
      <c r="A1278">
        <v>2018</v>
      </c>
      <c r="B1278" t="s">
        <v>2220</v>
      </c>
      <c r="C1278" t="s">
        <v>2230</v>
      </c>
      <c r="D1278" s="14">
        <v>2.88</v>
      </c>
      <c r="E1278" s="15">
        <v>43</v>
      </c>
    </row>
    <row r="1279" spans="1:5">
      <c r="A1279">
        <v>2018</v>
      </c>
      <c r="B1279" t="s">
        <v>2221</v>
      </c>
      <c r="C1279" t="s">
        <v>2230</v>
      </c>
      <c r="D1279" s="14">
        <v>9.5</v>
      </c>
      <c r="E1279" s="15">
        <v>43</v>
      </c>
    </row>
    <row r="1280" spans="1:5">
      <c r="A1280">
        <v>2018</v>
      </c>
      <c r="B1280" t="s">
        <v>2222</v>
      </c>
      <c r="C1280" t="s">
        <v>2230</v>
      </c>
      <c r="D1280" s="14">
        <v>2.84</v>
      </c>
      <c r="E1280" s="15">
        <v>43</v>
      </c>
    </row>
    <row r="1281" spans="1:5">
      <c r="A1281">
        <v>2018</v>
      </c>
      <c r="B1281" t="s">
        <v>2223</v>
      </c>
      <c r="C1281" t="s">
        <v>2230</v>
      </c>
      <c r="D1281" s="14">
        <v>0.43</v>
      </c>
      <c r="E1281" s="15">
        <v>43</v>
      </c>
    </row>
    <row r="1282" spans="1:5">
      <c r="A1282">
        <v>2019</v>
      </c>
      <c r="B1282" t="s">
        <v>2213</v>
      </c>
      <c r="C1282" t="s">
        <v>2230</v>
      </c>
      <c r="D1282" s="14">
        <v>1.96</v>
      </c>
      <c r="E1282" s="15">
        <v>41</v>
      </c>
    </row>
    <row r="1283" spans="1:5">
      <c r="A1283">
        <v>2019</v>
      </c>
      <c r="B1283" t="s">
        <v>2215</v>
      </c>
      <c r="C1283" t="s">
        <v>2230</v>
      </c>
      <c r="D1283" s="14">
        <v>2.4500000000000002</v>
      </c>
      <c r="E1283" s="15">
        <v>41</v>
      </c>
    </row>
    <row r="1284" spans="1:5">
      <c r="A1284">
        <v>2019</v>
      </c>
      <c r="B1284" t="s">
        <v>2216</v>
      </c>
      <c r="C1284" t="s">
        <v>2230</v>
      </c>
      <c r="D1284" s="14">
        <v>1.61</v>
      </c>
      <c r="E1284" s="15">
        <v>41</v>
      </c>
    </row>
    <row r="1285" spans="1:5">
      <c r="A1285">
        <v>2019</v>
      </c>
      <c r="B1285" t="s">
        <v>2217</v>
      </c>
      <c r="C1285" t="s">
        <v>2230</v>
      </c>
      <c r="D1285" s="14">
        <v>7.04</v>
      </c>
      <c r="E1285" s="15">
        <v>41</v>
      </c>
    </row>
    <row r="1286" spans="1:5">
      <c r="A1286">
        <v>2019</v>
      </c>
      <c r="B1286" t="s">
        <v>2218</v>
      </c>
      <c r="C1286" t="s">
        <v>2230</v>
      </c>
      <c r="D1286" s="14">
        <v>7.99</v>
      </c>
      <c r="E1286" s="15">
        <v>41</v>
      </c>
    </row>
    <row r="1287" spans="1:5">
      <c r="A1287">
        <v>2019</v>
      </c>
      <c r="B1287" t="s">
        <v>2219</v>
      </c>
      <c r="C1287" t="s">
        <v>2230</v>
      </c>
      <c r="D1287" s="14">
        <v>3.95</v>
      </c>
      <c r="E1287" s="15">
        <v>41</v>
      </c>
    </row>
    <row r="1288" spans="1:5">
      <c r="A1288">
        <v>2019</v>
      </c>
      <c r="B1288" t="s">
        <v>2220</v>
      </c>
      <c r="C1288" t="s">
        <v>2230</v>
      </c>
      <c r="D1288" s="14">
        <v>2.72</v>
      </c>
      <c r="E1288" s="15">
        <v>41</v>
      </c>
    </row>
    <row r="1289" spans="1:5">
      <c r="A1289">
        <v>2019</v>
      </c>
      <c r="B1289" t="s">
        <v>2221</v>
      </c>
      <c r="C1289" t="s">
        <v>2230</v>
      </c>
      <c r="D1289" s="14">
        <v>9.42</v>
      </c>
      <c r="E1289" s="15">
        <v>41</v>
      </c>
    </row>
    <row r="1290" spans="1:5">
      <c r="A1290">
        <v>2019</v>
      </c>
      <c r="B1290" t="s">
        <v>2222</v>
      </c>
      <c r="C1290" t="s">
        <v>2230</v>
      </c>
      <c r="D1290" s="14">
        <v>2.83</v>
      </c>
      <c r="E1290" s="15">
        <v>41</v>
      </c>
    </row>
    <row r="1291" spans="1:5">
      <c r="A1291">
        <v>2019</v>
      </c>
      <c r="B1291" t="s">
        <v>2223</v>
      </c>
      <c r="C1291" t="s">
        <v>2230</v>
      </c>
      <c r="D1291" s="14">
        <v>0.38</v>
      </c>
      <c r="E1291" s="15">
        <v>41</v>
      </c>
    </row>
    <row r="1292" spans="1:5">
      <c r="A1292">
        <v>2020</v>
      </c>
      <c r="B1292" t="s">
        <v>2213</v>
      </c>
      <c r="C1292" t="s">
        <v>2230</v>
      </c>
      <c r="D1292" s="14">
        <v>2.1</v>
      </c>
      <c r="E1292" s="15">
        <v>43</v>
      </c>
    </row>
    <row r="1293" spans="1:5">
      <c r="A1293">
        <v>2020</v>
      </c>
      <c r="B1293" t="s">
        <v>2215</v>
      </c>
      <c r="C1293" t="s">
        <v>2230</v>
      </c>
      <c r="D1293" s="14">
        <v>2.68</v>
      </c>
      <c r="E1293" s="15">
        <v>43</v>
      </c>
    </row>
    <row r="1294" spans="1:5">
      <c r="A1294">
        <v>2020</v>
      </c>
      <c r="B1294" t="s">
        <v>2216</v>
      </c>
      <c r="C1294" t="s">
        <v>2230</v>
      </c>
      <c r="D1294" s="14">
        <v>1.67</v>
      </c>
      <c r="E1294" s="15">
        <v>43</v>
      </c>
    </row>
    <row r="1295" spans="1:5">
      <c r="A1295">
        <v>2020</v>
      </c>
      <c r="B1295" t="s">
        <v>2217</v>
      </c>
      <c r="C1295" t="s">
        <v>2230</v>
      </c>
      <c r="D1295" s="14">
        <v>8.2200000000000006</v>
      </c>
      <c r="E1295" s="15">
        <v>43</v>
      </c>
    </row>
    <row r="1296" spans="1:5">
      <c r="A1296">
        <v>2020</v>
      </c>
      <c r="B1296" t="s">
        <v>2218</v>
      </c>
      <c r="C1296" t="s">
        <v>2230</v>
      </c>
      <c r="D1296" s="14">
        <v>8.31</v>
      </c>
      <c r="E1296" s="15">
        <v>43</v>
      </c>
    </row>
    <row r="1297" spans="1:5">
      <c r="A1297">
        <v>2020</v>
      </c>
      <c r="B1297" t="s">
        <v>2219</v>
      </c>
      <c r="C1297" t="s">
        <v>2230</v>
      </c>
      <c r="D1297" s="14">
        <v>4.3899999999999997</v>
      </c>
      <c r="E1297" s="15">
        <v>43</v>
      </c>
    </row>
    <row r="1298" spans="1:5">
      <c r="A1298">
        <v>2020</v>
      </c>
      <c r="B1298" t="s">
        <v>2220</v>
      </c>
      <c r="C1298" t="s">
        <v>2230</v>
      </c>
      <c r="D1298" s="14">
        <v>3.14</v>
      </c>
      <c r="E1298" s="15">
        <v>43</v>
      </c>
    </row>
    <row r="1299" spans="1:5">
      <c r="A1299">
        <v>2020</v>
      </c>
      <c r="B1299" t="s">
        <v>2221</v>
      </c>
      <c r="C1299" t="s">
        <v>2230</v>
      </c>
      <c r="D1299" s="14">
        <v>9.6300000000000008</v>
      </c>
      <c r="E1299" s="15">
        <v>43</v>
      </c>
    </row>
    <row r="1300" spans="1:5">
      <c r="A1300">
        <v>2020</v>
      </c>
      <c r="B1300" t="s">
        <v>2222</v>
      </c>
      <c r="C1300" t="s">
        <v>2230</v>
      </c>
      <c r="D1300" s="14">
        <v>2.85</v>
      </c>
      <c r="E1300" s="15">
        <v>43</v>
      </c>
    </row>
    <row r="1301" spans="1:5">
      <c r="A1301">
        <v>2020</v>
      </c>
      <c r="B1301" t="s">
        <v>2223</v>
      </c>
      <c r="C1301" t="s">
        <v>2230</v>
      </c>
      <c r="D1301" s="14">
        <v>0.41</v>
      </c>
      <c r="E1301" s="15">
        <v>43</v>
      </c>
    </row>
    <row r="1302" spans="1:5">
      <c r="A1302">
        <v>2021</v>
      </c>
      <c r="B1302" t="s">
        <v>2213</v>
      </c>
      <c r="C1302" t="s">
        <v>2230</v>
      </c>
      <c r="D1302" s="14">
        <v>2.36</v>
      </c>
      <c r="E1302" s="15">
        <v>45</v>
      </c>
    </row>
    <row r="1303" spans="1:5">
      <c r="A1303">
        <v>2021</v>
      </c>
      <c r="B1303" t="s">
        <v>2215</v>
      </c>
      <c r="C1303" t="s">
        <v>2230</v>
      </c>
      <c r="D1303" s="14">
        <v>2.61</v>
      </c>
      <c r="E1303" s="15">
        <v>45</v>
      </c>
    </row>
    <row r="1304" spans="1:5">
      <c r="A1304">
        <v>2021</v>
      </c>
      <c r="B1304" t="s">
        <v>2216</v>
      </c>
      <c r="C1304" t="s">
        <v>2230</v>
      </c>
      <c r="D1304" s="14">
        <v>1.87</v>
      </c>
      <c r="E1304" s="15">
        <v>45</v>
      </c>
    </row>
    <row r="1305" spans="1:5">
      <c r="A1305">
        <v>2021</v>
      </c>
      <c r="B1305" t="s">
        <v>2217</v>
      </c>
      <c r="C1305" t="s">
        <v>2230</v>
      </c>
      <c r="D1305" s="14">
        <v>7.96</v>
      </c>
      <c r="E1305" s="15">
        <v>45</v>
      </c>
    </row>
    <row r="1306" spans="1:5">
      <c r="A1306">
        <v>2021</v>
      </c>
      <c r="B1306" t="s">
        <v>2218</v>
      </c>
      <c r="C1306" t="s">
        <v>2230</v>
      </c>
      <c r="D1306" s="14">
        <v>9.0500000000000007</v>
      </c>
      <c r="E1306" s="15">
        <v>45</v>
      </c>
    </row>
    <row r="1307" spans="1:5">
      <c r="A1307">
        <v>2021</v>
      </c>
      <c r="B1307" t="s">
        <v>2219</v>
      </c>
      <c r="C1307" t="s">
        <v>2230</v>
      </c>
      <c r="D1307" s="14">
        <v>4.26</v>
      </c>
      <c r="E1307" s="15">
        <v>45</v>
      </c>
    </row>
    <row r="1308" spans="1:5">
      <c r="A1308">
        <v>2021</v>
      </c>
      <c r="B1308" t="s">
        <v>2220</v>
      </c>
      <c r="C1308" t="s">
        <v>2230</v>
      </c>
      <c r="D1308" s="14">
        <v>3.07</v>
      </c>
      <c r="E1308" s="15">
        <v>45</v>
      </c>
    </row>
    <row r="1309" spans="1:5">
      <c r="A1309">
        <v>2021</v>
      </c>
      <c r="B1309" t="s">
        <v>2221</v>
      </c>
      <c r="C1309" t="s">
        <v>2230</v>
      </c>
      <c r="D1309" s="14">
        <v>9.56</v>
      </c>
      <c r="E1309" s="15">
        <v>45</v>
      </c>
    </row>
    <row r="1310" spans="1:5">
      <c r="A1310">
        <v>2021</v>
      </c>
      <c r="B1310" t="s">
        <v>2222</v>
      </c>
      <c r="C1310" t="s">
        <v>2230</v>
      </c>
      <c r="D1310" s="14">
        <v>3.18</v>
      </c>
      <c r="E1310" s="15">
        <v>45</v>
      </c>
    </row>
    <row r="1311" spans="1:5">
      <c r="A1311">
        <v>2021</v>
      </c>
      <c r="B1311" t="s">
        <v>2223</v>
      </c>
      <c r="C1311" t="s">
        <v>2230</v>
      </c>
      <c r="D1311" s="14">
        <v>0.45</v>
      </c>
      <c r="E1311" s="15">
        <v>45</v>
      </c>
    </row>
    <row r="1312" spans="1:5">
      <c r="A1312">
        <v>2022</v>
      </c>
      <c r="B1312" t="s">
        <v>2213</v>
      </c>
      <c r="C1312" t="s">
        <v>2230</v>
      </c>
      <c r="D1312" s="14">
        <v>2.17</v>
      </c>
      <c r="E1312" s="15">
        <v>42.7</v>
      </c>
    </row>
    <row r="1313" spans="1:5">
      <c r="A1313">
        <v>2022</v>
      </c>
      <c r="B1313" t="s">
        <v>2215</v>
      </c>
      <c r="C1313" t="s">
        <v>2230</v>
      </c>
      <c r="D1313" s="14">
        <v>2.5099999999999998</v>
      </c>
      <c r="E1313" s="15">
        <v>42.7</v>
      </c>
    </row>
    <row r="1314" spans="1:5">
      <c r="A1314">
        <v>2022</v>
      </c>
      <c r="B1314" t="s">
        <v>2216</v>
      </c>
      <c r="C1314" t="s">
        <v>2230</v>
      </c>
      <c r="D1314" s="14">
        <v>1.64</v>
      </c>
      <c r="E1314" s="15">
        <v>42.7</v>
      </c>
    </row>
    <row r="1315" spans="1:5">
      <c r="A1315">
        <v>2022</v>
      </c>
      <c r="B1315" t="s">
        <v>2217</v>
      </c>
      <c r="C1315" t="s">
        <v>2230</v>
      </c>
      <c r="D1315" s="14">
        <v>7.74</v>
      </c>
      <c r="E1315" s="15">
        <v>42.7</v>
      </c>
    </row>
    <row r="1316" spans="1:5">
      <c r="A1316">
        <v>2022</v>
      </c>
      <c r="B1316" t="s">
        <v>2218</v>
      </c>
      <c r="C1316" t="s">
        <v>2230</v>
      </c>
      <c r="D1316" s="14">
        <v>8.19</v>
      </c>
      <c r="E1316" s="15">
        <v>42.7</v>
      </c>
    </row>
    <row r="1317" spans="1:5">
      <c r="A1317">
        <v>2022</v>
      </c>
      <c r="B1317" t="s">
        <v>2219</v>
      </c>
      <c r="C1317" t="s">
        <v>2230</v>
      </c>
      <c r="D1317" s="14">
        <v>4.45</v>
      </c>
      <c r="E1317" s="15">
        <v>42.7</v>
      </c>
    </row>
    <row r="1318" spans="1:5">
      <c r="A1318">
        <v>2022</v>
      </c>
      <c r="B1318" t="s">
        <v>2220</v>
      </c>
      <c r="C1318" t="s">
        <v>2230</v>
      </c>
      <c r="D1318" s="14">
        <v>2.97</v>
      </c>
      <c r="E1318" s="15">
        <v>42.7</v>
      </c>
    </row>
    <row r="1319" spans="1:5">
      <c r="A1319">
        <v>2022</v>
      </c>
      <c r="B1319" t="s">
        <v>2221</v>
      </c>
      <c r="C1319" t="s">
        <v>2230</v>
      </c>
      <c r="D1319" s="14">
        <v>9.27</v>
      </c>
      <c r="E1319" s="15">
        <v>42.7</v>
      </c>
    </row>
    <row r="1320" spans="1:5">
      <c r="A1320">
        <v>2022</v>
      </c>
      <c r="B1320" t="s">
        <v>2222</v>
      </c>
      <c r="C1320" t="s">
        <v>2230</v>
      </c>
      <c r="D1320" s="14">
        <v>3.04</v>
      </c>
      <c r="E1320" s="15">
        <v>42.7</v>
      </c>
    </row>
    <row r="1321" spans="1:5">
      <c r="A1321">
        <v>2022</v>
      </c>
      <c r="B1321" t="s">
        <v>2223</v>
      </c>
      <c r="C1321" t="s">
        <v>2230</v>
      </c>
      <c r="D1321" s="14">
        <v>0.43</v>
      </c>
      <c r="E1321" s="15">
        <v>42.7</v>
      </c>
    </row>
    <row r="1322" spans="1:5">
      <c r="A1322">
        <v>2023</v>
      </c>
      <c r="B1322" t="s">
        <v>2213</v>
      </c>
      <c r="C1322" t="s">
        <v>2230</v>
      </c>
      <c r="D1322" s="14">
        <v>1.89</v>
      </c>
      <c r="E1322" s="15">
        <v>40.299999999999997</v>
      </c>
    </row>
    <row r="1323" spans="1:5">
      <c r="A1323">
        <v>2023</v>
      </c>
      <c r="B1323" t="s">
        <v>2215</v>
      </c>
      <c r="C1323" t="s">
        <v>2230</v>
      </c>
      <c r="D1323" s="14">
        <v>2.3199999999999998</v>
      </c>
      <c r="E1323" s="15">
        <v>40.299999999999997</v>
      </c>
    </row>
    <row r="1324" spans="1:5">
      <c r="A1324">
        <v>2023</v>
      </c>
      <c r="B1324" t="s">
        <v>2216</v>
      </c>
      <c r="C1324" t="s">
        <v>2230</v>
      </c>
      <c r="D1324" s="14">
        <v>1.68</v>
      </c>
      <c r="E1324" s="15">
        <v>40.299999999999997</v>
      </c>
    </row>
    <row r="1325" spans="1:5">
      <c r="A1325">
        <v>2023</v>
      </c>
      <c r="B1325" t="s">
        <v>2217</v>
      </c>
      <c r="C1325" t="s">
        <v>2230</v>
      </c>
      <c r="D1325" s="14">
        <v>7.28</v>
      </c>
      <c r="E1325" s="15">
        <v>40.299999999999997</v>
      </c>
    </row>
    <row r="1326" spans="1:5">
      <c r="A1326">
        <v>2023</v>
      </c>
      <c r="B1326" t="s">
        <v>2218</v>
      </c>
      <c r="C1326" t="s">
        <v>2230</v>
      </c>
      <c r="D1326" s="14">
        <v>7.54</v>
      </c>
      <c r="E1326" s="15">
        <v>40.299999999999997</v>
      </c>
    </row>
    <row r="1327" spans="1:5">
      <c r="A1327">
        <v>2023</v>
      </c>
      <c r="B1327" t="s">
        <v>2219</v>
      </c>
      <c r="C1327" t="s">
        <v>2230</v>
      </c>
      <c r="D1327" s="14">
        <v>4.09</v>
      </c>
      <c r="E1327" s="15">
        <v>40.299999999999997</v>
      </c>
    </row>
    <row r="1328" spans="1:5">
      <c r="A1328">
        <v>2023</v>
      </c>
      <c r="B1328" t="s">
        <v>2220</v>
      </c>
      <c r="C1328" t="s">
        <v>2230</v>
      </c>
      <c r="D1328" s="14">
        <v>2.76</v>
      </c>
      <c r="E1328" s="15">
        <v>40.299999999999997</v>
      </c>
    </row>
    <row r="1329" spans="1:5">
      <c r="A1329">
        <v>2023</v>
      </c>
      <c r="B1329" t="s">
        <v>2221</v>
      </c>
      <c r="C1329" t="s">
        <v>2230</v>
      </c>
      <c r="D1329" s="14">
        <v>8.57</v>
      </c>
      <c r="E1329" s="15">
        <v>40.299999999999997</v>
      </c>
    </row>
    <row r="1330" spans="1:5">
      <c r="A1330">
        <v>2023</v>
      </c>
      <c r="B1330" t="s">
        <v>2222</v>
      </c>
      <c r="C1330" t="s">
        <v>2230</v>
      </c>
      <c r="D1330" s="14">
        <v>2.7</v>
      </c>
      <c r="E1330" s="15">
        <v>40.299999999999997</v>
      </c>
    </row>
    <row r="1331" spans="1:5">
      <c r="A1331">
        <v>2023</v>
      </c>
      <c r="B1331" t="s">
        <v>2223</v>
      </c>
      <c r="C1331" t="s">
        <v>2230</v>
      </c>
      <c r="D1331" s="14">
        <v>0.42</v>
      </c>
      <c r="E1331" s="15">
        <v>40.299999999999997</v>
      </c>
    </row>
    <row r="1332" spans="1:5">
      <c r="A1332">
        <v>2024</v>
      </c>
      <c r="B1332" t="s">
        <v>2213</v>
      </c>
      <c r="C1332" t="s">
        <v>2230</v>
      </c>
      <c r="D1332" s="14">
        <v>1.76</v>
      </c>
      <c r="E1332" s="15">
        <v>38</v>
      </c>
    </row>
    <row r="1333" spans="1:5">
      <c r="A1333">
        <v>2024</v>
      </c>
      <c r="B1333" t="s">
        <v>2215</v>
      </c>
      <c r="C1333" t="s">
        <v>2230</v>
      </c>
      <c r="D1333" s="14">
        <v>2.2000000000000002</v>
      </c>
      <c r="E1333" s="15">
        <v>38</v>
      </c>
    </row>
    <row r="1334" spans="1:5">
      <c r="A1334">
        <v>2024</v>
      </c>
      <c r="B1334" t="s">
        <v>2216</v>
      </c>
      <c r="C1334" t="s">
        <v>2230</v>
      </c>
      <c r="D1334" s="14">
        <v>1.53</v>
      </c>
      <c r="E1334" s="15">
        <v>38</v>
      </c>
    </row>
    <row r="1335" spans="1:5">
      <c r="A1335">
        <v>2024</v>
      </c>
      <c r="B1335" t="s">
        <v>2217</v>
      </c>
      <c r="C1335" t="s">
        <v>2230</v>
      </c>
      <c r="D1335" s="14">
        <v>7.29</v>
      </c>
      <c r="E1335" s="15">
        <v>38</v>
      </c>
    </row>
    <row r="1336" spans="1:5">
      <c r="A1336">
        <v>2024</v>
      </c>
      <c r="B1336" t="s">
        <v>2218</v>
      </c>
      <c r="C1336" t="s">
        <v>2230</v>
      </c>
      <c r="D1336" s="14">
        <v>7.77</v>
      </c>
      <c r="E1336" s="15">
        <v>38</v>
      </c>
    </row>
    <row r="1337" spans="1:5">
      <c r="A1337">
        <v>2024</v>
      </c>
      <c r="B1337" t="s">
        <v>2219</v>
      </c>
      <c r="C1337" t="s">
        <v>2230</v>
      </c>
      <c r="D1337" s="14">
        <v>3.67</v>
      </c>
      <c r="E1337" s="15">
        <v>38</v>
      </c>
    </row>
    <row r="1338" spans="1:5">
      <c r="A1338">
        <v>2024</v>
      </c>
      <c r="B1338" t="s">
        <v>2220</v>
      </c>
      <c r="C1338" t="s">
        <v>2230</v>
      </c>
      <c r="D1338" s="14">
        <v>2.83</v>
      </c>
      <c r="E1338" s="15">
        <v>38</v>
      </c>
    </row>
    <row r="1339" spans="1:5">
      <c r="A1339">
        <v>2024</v>
      </c>
      <c r="B1339" t="s">
        <v>2221</v>
      </c>
      <c r="C1339" t="s">
        <v>2230</v>
      </c>
      <c r="D1339" s="14">
        <v>7.92</v>
      </c>
      <c r="E1339" s="15">
        <v>38</v>
      </c>
    </row>
    <row r="1340" spans="1:5">
      <c r="A1340">
        <v>2024</v>
      </c>
      <c r="B1340" t="s">
        <v>2222</v>
      </c>
      <c r="C1340" t="s">
        <v>2230</v>
      </c>
      <c r="D1340" s="14">
        <v>2.69</v>
      </c>
      <c r="E1340" s="15">
        <v>38</v>
      </c>
    </row>
    <row r="1341" spans="1:5">
      <c r="A1341">
        <v>2024</v>
      </c>
      <c r="B1341" t="s">
        <v>2223</v>
      </c>
      <c r="C1341" t="s">
        <v>2230</v>
      </c>
      <c r="D1341" s="14">
        <v>0.39</v>
      </c>
      <c r="E1341" s="15">
        <v>38</v>
      </c>
    </row>
    <row r="1342" spans="1:5">
      <c r="A1342">
        <v>2025</v>
      </c>
      <c r="B1342" t="s">
        <v>2213</v>
      </c>
      <c r="C1342" t="s">
        <v>2230</v>
      </c>
      <c r="D1342" s="14">
        <v>1.76</v>
      </c>
      <c r="E1342" s="15">
        <v>36.5</v>
      </c>
    </row>
    <row r="1343" spans="1:5">
      <c r="A1343">
        <v>2025</v>
      </c>
      <c r="B1343" t="s">
        <v>2215</v>
      </c>
      <c r="C1343" t="s">
        <v>2230</v>
      </c>
      <c r="D1343" s="14">
        <v>2.25</v>
      </c>
      <c r="E1343" s="15">
        <v>36.5</v>
      </c>
    </row>
    <row r="1344" spans="1:5">
      <c r="A1344">
        <v>2025</v>
      </c>
      <c r="B1344" t="s">
        <v>2216</v>
      </c>
      <c r="C1344" t="s">
        <v>2230</v>
      </c>
      <c r="D1344" s="14">
        <v>1.43</v>
      </c>
      <c r="E1344" s="15">
        <v>36.5</v>
      </c>
    </row>
    <row r="1345" spans="1:5">
      <c r="A1345">
        <v>2025</v>
      </c>
      <c r="B1345" t="s">
        <v>2217</v>
      </c>
      <c r="C1345" t="s">
        <v>2230</v>
      </c>
      <c r="D1345" s="14">
        <v>6.76</v>
      </c>
      <c r="E1345" s="15">
        <v>36.5</v>
      </c>
    </row>
    <row r="1346" spans="1:5">
      <c r="A1346">
        <v>2025</v>
      </c>
      <c r="B1346" t="s">
        <v>2218</v>
      </c>
      <c r="C1346" t="s">
        <v>2230</v>
      </c>
      <c r="D1346" s="14">
        <v>6.78</v>
      </c>
      <c r="E1346" s="15">
        <v>36.5</v>
      </c>
    </row>
    <row r="1347" spans="1:5">
      <c r="A1347">
        <v>2025</v>
      </c>
      <c r="B1347" t="s">
        <v>2219</v>
      </c>
      <c r="C1347" t="s">
        <v>2230</v>
      </c>
      <c r="D1347" s="14">
        <v>3.7</v>
      </c>
      <c r="E1347" s="15">
        <v>36.5</v>
      </c>
    </row>
    <row r="1348" spans="1:5">
      <c r="A1348">
        <v>2025</v>
      </c>
      <c r="B1348" t="s">
        <v>2220</v>
      </c>
      <c r="C1348" t="s">
        <v>2230</v>
      </c>
      <c r="D1348" s="14">
        <v>2.5099999999999998</v>
      </c>
      <c r="E1348" s="15">
        <v>36.5</v>
      </c>
    </row>
    <row r="1349" spans="1:5">
      <c r="A1349">
        <v>2025</v>
      </c>
      <c r="B1349" t="s">
        <v>2221</v>
      </c>
      <c r="C1349" t="s">
        <v>2230</v>
      </c>
      <c r="D1349" s="14">
        <v>8.41</v>
      </c>
      <c r="E1349" s="15">
        <v>36.5</v>
      </c>
    </row>
    <row r="1350" spans="1:5">
      <c r="A1350">
        <v>2025</v>
      </c>
      <c r="B1350" t="s">
        <v>2222</v>
      </c>
      <c r="C1350" t="s">
        <v>2230</v>
      </c>
      <c r="D1350" s="14">
        <v>2.5499999999999998</v>
      </c>
      <c r="E1350" s="15">
        <v>36.5</v>
      </c>
    </row>
    <row r="1351" spans="1:5">
      <c r="A1351">
        <v>2025</v>
      </c>
      <c r="B1351" t="s">
        <v>2223</v>
      </c>
      <c r="C1351" t="s">
        <v>2230</v>
      </c>
      <c r="D1351" s="14">
        <v>0.38</v>
      </c>
      <c r="E1351" s="15">
        <v>36.5</v>
      </c>
    </row>
    <row r="1352" spans="1:5">
      <c r="A1352">
        <v>2026</v>
      </c>
      <c r="B1352" t="s">
        <v>2213</v>
      </c>
      <c r="C1352" t="s">
        <v>2230</v>
      </c>
      <c r="D1352" s="14">
        <v>1.79</v>
      </c>
      <c r="E1352" s="15">
        <v>35</v>
      </c>
    </row>
    <row r="1353" spans="1:5">
      <c r="A1353">
        <v>2026</v>
      </c>
      <c r="B1353" t="s">
        <v>2215</v>
      </c>
      <c r="C1353" t="s">
        <v>2230</v>
      </c>
      <c r="D1353" s="14">
        <v>2.09</v>
      </c>
      <c r="E1353" s="15">
        <v>35</v>
      </c>
    </row>
    <row r="1354" spans="1:5">
      <c r="A1354">
        <v>2026</v>
      </c>
      <c r="B1354" t="s">
        <v>2216</v>
      </c>
      <c r="C1354" t="s">
        <v>2230</v>
      </c>
      <c r="D1354" s="14">
        <v>1.44</v>
      </c>
      <c r="E1354" s="15">
        <v>35</v>
      </c>
    </row>
    <row r="1355" spans="1:5">
      <c r="A1355">
        <v>2026</v>
      </c>
      <c r="B1355" t="s">
        <v>2217</v>
      </c>
      <c r="C1355" t="s">
        <v>2230</v>
      </c>
      <c r="D1355" s="14">
        <v>6.5</v>
      </c>
      <c r="E1355" s="15">
        <v>35</v>
      </c>
    </row>
    <row r="1356" spans="1:5">
      <c r="A1356">
        <v>2026</v>
      </c>
      <c r="B1356" t="s">
        <v>2218</v>
      </c>
      <c r="C1356" t="s">
        <v>2230</v>
      </c>
      <c r="D1356" s="14">
        <v>7.13</v>
      </c>
      <c r="E1356" s="15">
        <v>35</v>
      </c>
    </row>
    <row r="1357" spans="1:5">
      <c r="A1357">
        <v>2026</v>
      </c>
      <c r="B1357" t="s">
        <v>2219</v>
      </c>
      <c r="C1357" t="s">
        <v>2230</v>
      </c>
      <c r="D1357" s="14">
        <v>3.19</v>
      </c>
      <c r="E1357" s="15">
        <v>35</v>
      </c>
    </row>
    <row r="1358" spans="1:5">
      <c r="A1358">
        <v>2026</v>
      </c>
      <c r="B1358" t="s">
        <v>2220</v>
      </c>
      <c r="C1358" t="s">
        <v>2230</v>
      </c>
      <c r="D1358" s="14">
        <v>2.36</v>
      </c>
      <c r="E1358" s="15">
        <v>35</v>
      </c>
    </row>
    <row r="1359" spans="1:5">
      <c r="A1359">
        <v>2026</v>
      </c>
      <c r="B1359" t="s">
        <v>2221</v>
      </c>
      <c r="C1359" t="s">
        <v>2230</v>
      </c>
      <c r="D1359" s="14">
        <v>8.14</v>
      </c>
      <c r="E1359" s="15">
        <v>35</v>
      </c>
    </row>
    <row r="1360" spans="1:5">
      <c r="A1360">
        <v>2026</v>
      </c>
      <c r="B1360" t="s">
        <v>2222</v>
      </c>
      <c r="C1360" t="s">
        <v>2230</v>
      </c>
      <c r="D1360" s="14">
        <v>2.33</v>
      </c>
      <c r="E1360" s="15">
        <v>35</v>
      </c>
    </row>
    <row r="1361" spans="1:5">
      <c r="A1361">
        <v>2026</v>
      </c>
      <c r="B1361" t="s">
        <v>2223</v>
      </c>
      <c r="C1361" t="s">
        <v>2230</v>
      </c>
      <c r="D1361" s="14">
        <v>0.36</v>
      </c>
      <c r="E1361" s="15">
        <v>35</v>
      </c>
    </row>
    <row r="1362" spans="1:5">
      <c r="A1362">
        <v>2010</v>
      </c>
      <c r="B1362" t="s">
        <v>2213</v>
      </c>
      <c r="C1362" t="s">
        <v>2231</v>
      </c>
      <c r="D1362" s="14">
        <v>0.67</v>
      </c>
      <c r="E1362" s="15">
        <v>65</v>
      </c>
    </row>
    <row r="1363" spans="1:5">
      <c r="A1363">
        <v>2010</v>
      </c>
      <c r="B1363" t="s">
        <v>2215</v>
      </c>
      <c r="C1363" t="s">
        <v>2231</v>
      </c>
      <c r="D1363" s="14">
        <v>3.79</v>
      </c>
      <c r="E1363" s="15">
        <v>65</v>
      </c>
    </row>
    <row r="1364" spans="1:5">
      <c r="A1364">
        <v>2010</v>
      </c>
      <c r="B1364" t="s">
        <v>2216</v>
      </c>
      <c r="C1364" t="s">
        <v>2231</v>
      </c>
      <c r="D1364" s="14">
        <v>2.4</v>
      </c>
      <c r="E1364" s="15">
        <v>65</v>
      </c>
    </row>
    <row r="1365" spans="1:5">
      <c r="A1365">
        <v>2010</v>
      </c>
      <c r="B1365" t="s">
        <v>2217</v>
      </c>
      <c r="C1365" t="s">
        <v>2231</v>
      </c>
      <c r="D1365" s="14">
        <v>11.44</v>
      </c>
      <c r="E1365" s="15">
        <v>65</v>
      </c>
    </row>
    <row r="1366" spans="1:5">
      <c r="A1366">
        <v>2010</v>
      </c>
      <c r="B1366" t="s">
        <v>2218</v>
      </c>
      <c r="C1366" t="s">
        <v>2231</v>
      </c>
      <c r="D1366" s="14">
        <v>14.13</v>
      </c>
      <c r="E1366" s="15">
        <v>65</v>
      </c>
    </row>
    <row r="1367" spans="1:5">
      <c r="A1367">
        <v>2010</v>
      </c>
      <c r="B1367" t="s">
        <v>2219</v>
      </c>
      <c r="C1367" t="s">
        <v>2231</v>
      </c>
      <c r="D1367" s="14">
        <v>6.28</v>
      </c>
      <c r="E1367" s="15">
        <v>65</v>
      </c>
    </row>
    <row r="1368" spans="1:5">
      <c r="A1368">
        <v>2010</v>
      </c>
      <c r="B1368" t="s">
        <v>2220</v>
      </c>
      <c r="C1368" t="s">
        <v>2231</v>
      </c>
      <c r="D1368" s="14">
        <v>4.41</v>
      </c>
      <c r="E1368" s="15">
        <v>65</v>
      </c>
    </row>
    <row r="1369" spans="1:5">
      <c r="A1369">
        <v>2010</v>
      </c>
      <c r="B1369" t="s">
        <v>2221</v>
      </c>
      <c r="C1369" t="s">
        <v>2231</v>
      </c>
      <c r="D1369" s="14">
        <v>34.35</v>
      </c>
      <c r="E1369" s="15">
        <v>65</v>
      </c>
    </row>
    <row r="1370" spans="1:5">
      <c r="A1370">
        <v>2010</v>
      </c>
      <c r="B1370" t="s">
        <v>2222</v>
      </c>
      <c r="C1370" t="s">
        <v>2231</v>
      </c>
      <c r="D1370" s="14">
        <v>4.78</v>
      </c>
      <c r="E1370" s="15">
        <v>65</v>
      </c>
    </row>
    <row r="1371" spans="1:5">
      <c r="A1371">
        <v>2010</v>
      </c>
      <c r="B1371" t="s">
        <v>2223</v>
      </c>
      <c r="C1371" t="s">
        <v>2231</v>
      </c>
      <c r="D1371" s="14">
        <v>0.64</v>
      </c>
      <c r="E1371" s="15">
        <v>65</v>
      </c>
    </row>
    <row r="1372" spans="1:5">
      <c r="A1372">
        <v>2011</v>
      </c>
      <c r="B1372" t="s">
        <v>2213</v>
      </c>
      <c r="C1372" t="s">
        <v>2231</v>
      </c>
      <c r="D1372" s="14">
        <v>0.61</v>
      </c>
      <c r="E1372" s="15">
        <v>62.4</v>
      </c>
    </row>
    <row r="1373" spans="1:5">
      <c r="A1373">
        <v>2011</v>
      </c>
      <c r="B1373" t="s">
        <v>2215</v>
      </c>
      <c r="C1373" t="s">
        <v>2231</v>
      </c>
      <c r="D1373" s="14">
        <v>3.96</v>
      </c>
      <c r="E1373" s="15">
        <v>62.4</v>
      </c>
    </row>
    <row r="1374" spans="1:5">
      <c r="A1374">
        <v>2011</v>
      </c>
      <c r="B1374" t="s">
        <v>2216</v>
      </c>
      <c r="C1374" t="s">
        <v>2231</v>
      </c>
      <c r="D1374" s="14">
        <v>2.5499999999999998</v>
      </c>
      <c r="E1374" s="15">
        <v>62.4</v>
      </c>
    </row>
    <row r="1375" spans="1:5">
      <c r="A1375">
        <v>2011</v>
      </c>
      <c r="B1375" t="s">
        <v>2217</v>
      </c>
      <c r="C1375" t="s">
        <v>2231</v>
      </c>
      <c r="D1375" s="14">
        <v>10.83</v>
      </c>
      <c r="E1375" s="15">
        <v>62.4</v>
      </c>
    </row>
    <row r="1376" spans="1:5">
      <c r="A1376">
        <v>2011</v>
      </c>
      <c r="B1376" t="s">
        <v>2218</v>
      </c>
      <c r="C1376" t="s">
        <v>2231</v>
      </c>
      <c r="D1376" s="14">
        <v>11.88</v>
      </c>
      <c r="E1376" s="15">
        <v>62.4</v>
      </c>
    </row>
    <row r="1377" spans="1:5">
      <c r="A1377">
        <v>2011</v>
      </c>
      <c r="B1377" t="s">
        <v>2219</v>
      </c>
      <c r="C1377" t="s">
        <v>2231</v>
      </c>
      <c r="D1377" s="14">
        <v>6.54</v>
      </c>
      <c r="E1377" s="15">
        <v>62.4</v>
      </c>
    </row>
    <row r="1378" spans="1:5">
      <c r="A1378">
        <v>2011</v>
      </c>
      <c r="B1378" t="s">
        <v>2220</v>
      </c>
      <c r="C1378" t="s">
        <v>2231</v>
      </c>
      <c r="D1378" s="14">
        <v>4.37</v>
      </c>
      <c r="E1378" s="15">
        <v>62.4</v>
      </c>
    </row>
    <row r="1379" spans="1:5">
      <c r="A1379">
        <v>2011</v>
      </c>
      <c r="B1379" t="s">
        <v>2221</v>
      </c>
      <c r="C1379" t="s">
        <v>2231</v>
      </c>
      <c r="D1379" s="14">
        <v>32.26</v>
      </c>
      <c r="E1379" s="15">
        <v>62.4</v>
      </c>
    </row>
    <row r="1380" spans="1:5">
      <c r="A1380">
        <v>2011</v>
      </c>
      <c r="B1380" t="s">
        <v>2222</v>
      </c>
      <c r="C1380" t="s">
        <v>2231</v>
      </c>
      <c r="D1380" s="14">
        <v>4.07</v>
      </c>
      <c r="E1380" s="15">
        <v>62.4</v>
      </c>
    </row>
    <row r="1381" spans="1:5">
      <c r="A1381">
        <v>2011</v>
      </c>
      <c r="B1381" t="s">
        <v>2223</v>
      </c>
      <c r="C1381" t="s">
        <v>2231</v>
      </c>
      <c r="D1381" s="14">
        <v>0.6</v>
      </c>
      <c r="E1381" s="15">
        <v>62.4</v>
      </c>
    </row>
    <row r="1382" spans="1:5">
      <c r="A1382">
        <v>2012</v>
      </c>
      <c r="B1382" t="s">
        <v>2213</v>
      </c>
      <c r="C1382" t="s">
        <v>2231</v>
      </c>
      <c r="D1382" s="14">
        <v>0.56999999999999995</v>
      </c>
      <c r="E1382" s="15">
        <v>59.8</v>
      </c>
    </row>
    <row r="1383" spans="1:5">
      <c r="A1383">
        <v>2012</v>
      </c>
      <c r="B1383" t="s">
        <v>2215</v>
      </c>
      <c r="C1383" t="s">
        <v>2231</v>
      </c>
      <c r="D1383" s="14">
        <v>3.31</v>
      </c>
      <c r="E1383" s="15">
        <v>59.8</v>
      </c>
    </row>
    <row r="1384" spans="1:5">
      <c r="A1384">
        <v>2012</v>
      </c>
      <c r="B1384" t="s">
        <v>2216</v>
      </c>
      <c r="C1384" t="s">
        <v>2231</v>
      </c>
      <c r="D1384" s="14">
        <v>2.29</v>
      </c>
      <c r="E1384" s="15">
        <v>59.8</v>
      </c>
    </row>
    <row r="1385" spans="1:5">
      <c r="A1385">
        <v>2012</v>
      </c>
      <c r="B1385" t="s">
        <v>2217</v>
      </c>
      <c r="C1385" t="s">
        <v>2231</v>
      </c>
      <c r="D1385" s="14">
        <v>10.38</v>
      </c>
      <c r="E1385" s="15">
        <v>59.8</v>
      </c>
    </row>
    <row r="1386" spans="1:5">
      <c r="A1386">
        <v>2012</v>
      </c>
      <c r="B1386" t="s">
        <v>2218</v>
      </c>
      <c r="C1386" t="s">
        <v>2231</v>
      </c>
      <c r="D1386" s="14">
        <v>11.74</v>
      </c>
      <c r="E1386" s="15">
        <v>59.8</v>
      </c>
    </row>
    <row r="1387" spans="1:5">
      <c r="A1387">
        <v>2012</v>
      </c>
      <c r="B1387" t="s">
        <v>2219</v>
      </c>
      <c r="C1387" t="s">
        <v>2231</v>
      </c>
      <c r="D1387" s="14">
        <v>6.4</v>
      </c>
      <c r="E1387" s="15">
        <v>59.8</v>
      </c>
    </row>
    <row r="1388" spans="1:5">
      <c r="A1388">
        <v>2012</v>
      </c>
      <c r="B1388" t="s">
        <v>2220</v>
      </c>
      <c r="C1388" t="s">
        <v>2231</v>
      </c>
      <c r="D1388" s="14">
        <v>4.1399999999999997</v>
      </c>
      <c r="E1388" s="15">
        <v>59.8</v>
      </c>
    </row>
    <row r="1389" spans="1:5">
      <c r="A1389">
        <v>2012</v>
      </c>
      <c r="B1389" t="s">
        <v>2221</v>
      </c>
      <c r="C1389" t="s">
        <v>2231</v>
      </c>
      <c r="D1389" s="14">
        <v>32.67</v>
      </c>
      <c r="E1389" s="15">
        <v>59.8</v>
      </c>
    </row>
    <row r="1390" spans="1:5">
      <c r="A1390">
        <v>2012</v>
      </c>
      <c r="B1390" t="s">
        <v>2222</v>
      </c>
      <c r="C1390" t="s">
        <v>2231</v>
      </c>
      <c r="D1390" s="14">
        <v>4.2699999999999996</v>
      </c>
      <c r="E1390" s="15">
        <v>59.8</v>
      </c>
    </row>
    <row r="1391" spans="1:5">
      <c r="A1391">
        <v>2012</v>
      </c>
      <c r="B1391" t="s">
        <v>2223</v>
      </c>
      <c r="C1391" t="s">
        <v>2231</v>
      </c>
      <c r="D1391" s="14">
        <v>0.59</v>
      </c>
      <c r="E1391" s="15">
        <v>59.8</v>
      </c>
    </row>
    <row r="1392" spans="1:5">
      <c r="A1392">
        <v>2013</v>
      </c>
      <c r="B1392" t="s">
        <v>2213</v>
      </c>
      <c r="C1392" t="s">
        <v>2231</v>
      </c>
      <c r="D1392" s="14">
        <v>0.57999999999999996</v>
      </c>
      <c r="E1392" s="15">
        <v>57.2</v>
      </c>
    </row>
    <row r="1393" spans="1:5">
      <c r="A1393">
        <v>2013</v>
      </c>
      <c r="B1393" t="s">
        <v>2215</v>
      </c>
      <c r="C1393" t="s">
        <v>2231</v>
      </c>
      <c r="D1393" s="14">
        <v>3.47</v>
      </c>
      <c r="E1393" s="15">
        <v>57.2</v>
      </c>
    </row>
    <row r="1394" spans="1:5">
      <c r="A1394">
        <v>2013</v>
      </c>
      <c r="B1394" t="s">
        <v>2216</v>
      </c>
      <c r="C1394" t="s">
        <v>2231</v>
      </c>
      <c r="D1394" s="14">
        <v>2.2999999999999998</v>
      </c>
      <c r="E1394" s="15">
        <v>57.2</v>
      </c>
    </row>
    <row r="1395" spans="1:5">
      <c r="A1395">
        <v>2013</v>
      </c>
      <c r="B1395" t="s">
        <v>2217</v>
      </c>
      <c r="C1395" t="s">
        <v>2231</v>
      </c>
      <c r="D1395" s="14">
        <v>11.5</v>
      </c>
      <c r="E1395" s="15">
        <v>57.2</v>
      </c>
    </row>
    <row r="1396" spans="1:5">
      <c r="A1396">
        <v>2013</v>
      </c>
      <c r="B1396" t="s">
        <v>2218</v>
      </c>
      <c r="C1396" t="s">
        <v>2231</v>
      </c>
      <c r="D1396" s="14">
        <v>11.86</v>
      </c>
      <c r="E1396" s="15">
        <v>57.2</v>
      </c>
    </row>
    <row r="1397" spans="1:5">
      <c r="A1397">
        <v>2013</v>
      </c>
      <c r="B1397" t="s">
        <v>2219</v>
      </c>
      <c r="C1397" t="s">
        <v>2231</v>
      </c>
      <c r="D1397" s="14">
        <v>5.48</v>
      </c>
      <c r="E1397" s="15">
        <v>57.2</v>
      </c>
    </row>
    <row r="1398" spans="1:5">
      <c r="A1398">
        <v>2013</v>
      </c>
      <c r="B1398" t="s">
        <v>2220</v>
      </c>
      <c r="C1398" t="s">
        <v>2231</v>
      </c>
      <c r="D1398" s="14">
        <v>4.0599999999999996</v>
      </c>
      <c r="E1398" s="15">
        <v>57.2</v>
      </c>
    </row>
    <row r="1399" spans="1:5">
      <c r="A1399">
        <v>2013</v>
      </c>
      <c r="B1399" t="s">
        <v>2221</v>
      </c>
      <c r="C1399" t="s">
        <v>2231</v>
      </c>
      <c r="D1399" s="14">
        <v>30.48</v>
      </c>
      <c r="E1399" s="15">
        <v>57.2</v>
      </c>
    </row>
    <row r="1400" spans="1:5">
      <c r="A1400">
        <v>2013</v>
      </c>
      <c r="B1400" t="s">
        <v>2222</v>
      </c>
      <c r="C1400" t="s">
        <v>2231</v>
      </c>
      <c r="D1400" s="14">
        <v>4.08</v>
      </c>
      <c r="E1400" s="15">
        <v>57.2</v>
      </c>
    </row>
    <row r="1401" spans="1:5">
      <c r="A1401">
        <v>2013</v>
      </c>
      <c r="B1401" t="s">
        <v>2223</v>
      </c>
      <c r="C1401" t="s">
        <v>2231</v>
      </c>
      <c r="D1401" s="14">
        <v>0.54</v>
      </c>
      <c r="E1401" s="15">
        <v>57.2</v>
      </c>
    </row>
    <row r="1402" spans="1:5">
      <c r="A1402">
        <v>2014</v>
      </c>
      <c r="B1402" t="s">
        <v>2213</v>
      </c>
      <c r="C1402" t="s">
        <v>2231</v>
      </c>
      <c r="D1402" s="14">
        <v>0.52</v>
      </c>
      <c r="E1402" s="15">
        <v>54.6</v>
      </c>
    </row>
    <row r="1403" spans="1:5">
      <c r="A1403">
        <v>2014</v>
      </c>
      <c r="B1403" t="s">
        <v>2215</v>
      </c>
      <c r="C1403" t="s">
        <v>2231</v>
      </c>
      <c r="D1403" s="14">
        <v>3.32</v>
      </c>
      <c r="E1403" s="15">
        <v>54.6</v>
      </c>
    </row>
    <row r="1404" spans="1:5">
      <c r="A1404">
        <v>2014</v>
      </c>
      <c r="B1404" t="s">
        <v>2216</v>
      </c>
      <c r="C1404" t="s">
        <v>2231</v>
      </c>
      <c r="D1404" s="14">
        <v>2.27</v>
      </c>
      <c r="E1404" s="15">
        <v>54.6</v>
      </c>
    </row>
    <row r="1405" spans="1:5">
      <c r="A1405">
        <v>2014</v>
      </c>
      <c r="B1405" t="s">
        <v>2217</v>
      </c>
      <c r="C1405" t="s">
        <v>2231</v>
      </c>
      <c r="D1405" s="14">
        <v>10.029999999999999</v>
      </c>
      <c r="E1405" s="15">
        <v>54.6</v>
      </c>
    </row>
    <row r="1406" spans="1:5">
      <c r="A1406">
        <v>2014</v>
      </c>
      <c r="B1406" t="s">
        <v>2218</v>
      </c>
      <c r="C1406" t="s">
        <v>2231</v>
      </c>
      <c r="D1406" s="14">
        <v>11.3</v>
      </c>
      <c r="E1406" s="15">
        <v>54.6</v>
      </c>
    </row>
    <row r="1407" spans="1:5">
      <c r="A1407">
        <v>2014</v>
      </c>
      <c r="B1407" t="s">
        <v>2219</v>
      </c>
      <c r="C1407" t="s">
        <v>2231</v>
      </c>
      <c r="D1407" s="14">
        <v>5.54</v>
      </c>
      <c r="E1407" s="15">
        <v>54.6</v>
      </c>
    </row>
    <row r="1408" spans="1:5">
      <c r="A1408">
        <v>2014</v>
      </c>
      <c r="B1408" t="s">
        <v>2220</v>
      </c>
      <c r="C1408" t="s">
        <v>2231</v>
      </c>
      <c r="D1408" s="14">
        <v>3.85</v>
      </c>
      <c r="E1408" s="15">
        <v>54.6</v>
      </c>
    </row>
    <row r="1409" spans="1:5">
      <c r="A1409">
        <v>2014</v>
      </c>
      <c r="B1409" t="s">
        <v>2221</v>
      </c>
      <c r="C1409" t="s">
        <v>2231</v>
      </c>
      <c r="D1409" s="14">
        <v>29.43</v>
      </c>
      <c r="E1409" s="15">
        <v>54.6</v>
      </c>
    </row>
    <row r="1410" spans="1:5">
      <c r="A1410">
        <v>2014</v>
      </c>
      <c r="B1410" t="s">
        <v>2222</v>
      </c>
      <c r="C1410" t="s">
        <v>2231</v>
      </c>
      <c r="D1410" s="14">
        <v>3.95</v>
      </c>
      <c r="E1410" s="15">
        <v>54.6</v>
      </c>
    </row>
    <row r="1411" spans="1:5">
      <c r="A1411">
        <v>2014</v>
      </c>
      <c r="B1411" t="s">
        <v>2223</v>
      </c>
      <c r="C1411" t="s">
        <v>2231</v>
      </c>
      <c r="D1411" s="14">
        <v>0.56999999999999995</v>
      </c>
      <c r="E1411" s="15">
        <v>54.6</v>
      </c>
    </row>
    <row r="1412" spans="1:5">
      <c r="A1412">
        <v>2015</v>
      </c>
      <c r="B1412" t="s">
        <v>2213</v>
      </c>
      <c r="C1412" t="s">
        <v>2231</v>
      </c>
      <c r="D1412" s="14">
        <v>0.52</v>
      </c>
      <c r="E1412" s="15">
        <v>52</v>
      </c>
    </row>
    <row r="1413" spans="1:5">
      <c r="A1413">
        <v>2015</v>
      </c>
      <c r="B1413" t="s">
        <v>2215</v>
      </c>
      <c r="C1413" t="s">
        <v>2231</v>
      </c>
      <c r="D1413" s="14">
        <v>3.11</v>
      </c>
      <c r="E1413" s="15">
        <v>52</v>
      </c>
    </row>
    <row r="1414" spans="1:5">
      <c r="A1414">
        <v>2015</v>
      </c>
      <c r="B1414" t="s">
        <v>2216</v>
      </c>
      <c r="C1414" t="s">
        <v>2231</v>
      </c>
      <c r="D1414" s="14">
        <v>2.2200000000000002</v>
      </c>
      <c r="E1414" s="15">
        <v>52</v>
      </c>
    </row>
    <row r="1415" spans="1:5">
      <c r="A1415">
        <v>2015</v>
      </c>
      <c r="B1415" t="s">
        <v>2217</v>
      </c>
      <c r="C1415" t="s">
        <v>2231</v>
      </c>
      <c r="D1415" s="14">
        <v>9.35</v>
      </c>
      <c r="E1415" s="15">
        <v>52</v>
      </c>
    </row>
    <row r="1416" spans="1:5">
      <c r="A1416">
        <v>2015</v>
      </c>
      <c r="B1416" t="s">
        <v>2218</v>
      </c>
      <c r="C1416" t="s">
        <v>2231</v>
      </c>
      <c r="D1416" s="14">
        <v>10.43</v>
      </c>
      <c r="E1416" s="15">
        <v>52</v>
      </c>
    </row>
    <row r="1417" spans="1:5">
      <c r="A1417">
        <v>2015</v>
      </c>
      <c r="B1417" t="s">
        <v>2219</v>
      </c>
      <c r="C1417" t="s">
        <v>2231</v>
      </c>
      <c r="D1417" s="14">
        <v>5.3</v>
      </c>
      <c r="E1417" s="15">
        <v>52</v>
      </c>
    </row>
    <row r="1418" spans="1:5">
      <c r="A1418">
        <v>2015</v>
      </c>
      <c r="B1418" t="s">
        <v>2220</v>
      </c>
      <c r="C1418" t="s">
        <v>2231</v>
      </c>
      <c r="D1418" s="14">
        <v>3.63</v>
      </c>
      <c r="E1418" s="15">
        <v>52</v>
      </c>
    </row>
    <row r="1419" spans="1:5">
      <c r="A1419">
        <v>2015</v>
      </c>
      <c r="B1419" t="s">
        <v>2221</v>
      </c>
      <c r="C1419" t="s">
        <v>2231</v>
      </c>
      <c r="D1419" s="14">
        <v>27.68</v>
      </c>
      <c r="E1419" s="15">
        <v>52</v>
      </c>
    </row>
    <row r="1420" spans="1:5">
      <c r="A1420">
        <v>2015</v>
      </c>
      <c r="B1420" t="s">
        <v>2222</v>
      </c>
      <c r="C1420" t="s">
        <v>2231</v>
      </c>
      <c r="D1420" s="14">
        <v>3.7</v>
      </c>
      <c r="E1420" s="15">
        <v>52</v>
      </c>
    </row>
    <row r="1421" spans="1:5">
      <c r="A1421">
        <v>2015</v>
      </c>
      <c r="B1421" t="s">
        <v>2223</v>
      </c>
      <c r="C1421" t="s">
        <v>2231</v>
      </c>
      <c r="D1421" s="14">
        <v>0.52</v>
      </c>
      <c r="E1421" s="15">
        <v>52</v>
      </c>
    </row>
    <row r="1422" spans="1:5">
      <c r="A1422">
        <v>2016</v>
      </c>
      <c r="B1422" t="s">
        <v>2213</v>
      </c>
      <c r="C1422" t="s">
        <v>2231</v>
      </c>
      <c r="D1422" s="14">
        <v>0.55000000000000004</v>
      </c>
      <c r="E1422" s="15">
        <v>50.8</v>
      </c>
    </row>
    <row r="1423" spans="1:5">
      <c r="A1423">
        <v>2016</v>
      </c>
      <c r="B1423" t="s">
        <v>2215</v>
      </c>
      <c r="C1423" t="s">
        <v>2231</v>
      </c>
      <c r="D1423" s="14">
        <v>3.14</v>
      </c>
      <c r="E1423" s="15">
        <v>50.8</v>
      </c>
    </row>
    <row r="1424" spans="1:5">
      <c r="A1424">
        <v>2016</v>
      </c>
      <c r="B1424" t="s">
        <v>2216</v>
      </c>
      <c r="C1424" t="s">
        <v>2231</v>
      </c>
      <c r="D1424" s="14">
        <v>1.98</v>
      </c>
      <c r="E1424" s="15">
        <v>50.8</v>
      </c>
    </row>
    <row r="1425" spans="1:5">
      <c r="A1425">
        <v>2016</v>
      </c>
      <c r="B1425" t="s">
        <v>2217</v>
      </c>
      <c r="C1425" t="s">
        <v>2231</v>
      </c>
      <c r="D1425" s="14">
        <v>9.41</v>
      </c>
      <c r="E1425" s="15">
        <v>50.8</v>
      </c>
    </row>
    <row r="1426" spans="1:5">
      <c r="A1426">
        <v>2016</v>
      </c>
      <c r="B1426" t="s">
        <v>2218</v>
      </c>
      <c r="C1426" t="s">
        <v>2231</v>
      </c>
      <c r="D1426" s="14">
        <v>10.28</v>
      </c>
      <c r="E1426" s="15">
        <v>50.8</v>
      </c>
    </row>
    <row r="1427" spans="1:5">
      <c r="A1427">
        <v>2016</v>
      </c>
      <c r="B1427" t="s">
        <v>2219</v>
      </c>
      <c r="C1427" t="s">
        <v>2231</v>
      </c>
      <c r="D1427" s="14">
        <v>5.35</v>
      </c>
      <c r="E1427" s="15">
        <v>50.8</v>
      </c>
    </row>
    <row r="1428" spans="1:5">
      <c r="A1428">
        <v>2016</v>
      </c>
      <c r="B1428" t="s">
        <v>2220</v>
      </c>
      <c r="C1428" t="s">
        <v>2231</v>
      </c>
      <c r="D1428" s="14">
        <v>3.48</v>
      </c>
      <c r="E1428" s="15">
        <v>50.8</v>
      </c>
    </row>
    <row r="1429" spans="1:5">
      <c r="A1429">
        <v>2016</v>
      </c>
      <c r="B1429" t="s">
        <v>2221</v>
      </c>
      <c r="C1429" t="s">
        <v>2231</v>
      </c>
      <c r="D1429" s="14">
        <v>28.12</v>
      </c>
      <c r="E1429" s="15">
        <v>50.8</v>
      </c>
    </row>
    <row r="1430" spans="1:5">
      <c r="A1430">
        <v>2016</v>
      </c>
      <c r="B1430" t="s">
        <v>2222</v>
      </c>
      <c r="C1430" t="s">
        <v>2231</v>
      </c>
      <c r="D1430" s="14">
        <v>3.54</v>
      </c>
      <c r="E1430" s="15">
        <v>50.8</v>
      </c>
    </row>
    <row r="1431" spans="1:5">
      <c r="A1431">
        <v>2016</v>
      </c>
      <c r="B1431" t="s">
        <v>2223</v>
      </c>
      <c r="C1431" t="s">
        <v>2231</v>
      </c>
      <c r="D1431" s="14">
        <v>0.51</v>
      </c>
      <c r="E1431" s="15">
        <v>50.8</v>
      </c>
    </row>
    <row r="1432" spans="1:5">
      <c r="A1432">
        <v>2017</v>
      </c>
      <c r="B1432" t="s">
        <v>2213</v>
      </c>
      <c r="C1432" t="s">
        <v>2231</v>
      </c>
      <c r="D1432" s="14">
        <v>0.48</v>
      </c>
      <c r="E1432" s="15">
        <v>49.5</v>
      </c>
    </row>
    <row r="1433" spans="1:5">
      <c r="A1433">
        <v>2017</v>
      </c>
      <c r="B1433" t="s">
        <v>2215</v>
      </c>
      <c r="C1433" t="s">
        <v>2231</v>
      </c>
      <c r="D1433" s="14">
        <v>3.04</v>
      </c>
      <c r="E1433" s="15">
        <v>49.5</v>
      </c>
    </row>
    <row r="1434" spans="1:5">
      <c r="A1434">
        <v>2017</v>
      </c>
      <c r="B1434" t="s">
        <v>2216</v>
      </c>
      <c r="C1434" t="s">
        <v>2231</v>
      </c>
      <c r="D1434" s="14">
        <v>2.0099999999999998</v>
      </c>
      <c r="E1434" s="15">
        <v>49.5</v>
      </c>
    </row>
    <row r="1435" spans="1:5">
      <c r="A1435">
        <v>2017</v>
      </c>
      <c r="B1435" t="s">
        <v>2217</v>
      </c>
      <c r="C1435" t="s">
        <v>2231</v>
      </c>
      <c r="D1435" s="14">
        <v>9.3800000000000008</v>
      </c>
      <c r="E1435" s="15">
        <v>49.5</v>
      </c>
    </row>
    <row r="1436" spans="1:5">
      <c r="A1436">
        <v>2017</v>
      </c>
      <c r="B1436" t="s">
        <v>2218</v>
      </c>
      <c r="C1436" t="s">
        <v>2231</v>
      </c>
      <c r="D1436" s="14">
        <v>9.9</v>
      </c>
      <c r="E1436" s="15">
        <v>49.5</v>
      </c>
    </row>
    <row r="1437" spans="1:5">
      <c r="A1437">
        <v>2017</v>
      </c>
      <c r="B1437" t="s">
        <v>2219</v>
      </c>
      <c r="C1437" t="s">
        <v>2231</v>
      </c>
      <c r="D1437" s="14">
        <v>4.87</v>
      </c>
      <c r="E1437" s="15">
        <v>49.5</v>
      </c>
    </row>
    <row r="1438" spans="1:5">
      <c r="A1438">
        <v>2017</v>
      </c>
      <c r="B1438" t="s">
        <v>2220</v>
      </c>
      <c r="C1438" t="s">
        <v>2231</v>
      </c>
      <c r="D1438" s="14">
        <v>3.58</v>
      </c>
      <c r="E1438" s="15">
        <v>49.5</v>
      </c>
    </row>
    <row r="1439" spans="1:5">
      <c r="A1439">
        <v>2017</v>
      </c>
      <c r="B1439" t="s">
        <v>2221</v>
      </c>
      <c r="C1439" t="s">
        <v>2231</v>
      </c>
      <c r="D1439" s="14">
        <v>26.37</v>
      </c>
      <c r="E1439" s="15">
        <v>49.5</v>
      </c>
    </row>
    <row r="1440" spans="1:5">
      <c r="A1440">
        <v>2017</v>
      </c>
      <c r="B1440" t="s">
        <v>2222</v>
      </c>
      <c r="C1440" t="s">
        <v>2231</v>
      </c>
      <c r="D1440" s="14">
        <v>3.62</v>
      </c>
      <c r="E1440" s="15">
        <v>49.5</v>
      </c>
    </row>
    <row r="1441" spans="1:5">
      <c r="A1441">
        <v>2017</v>
      </c>
      <c r="B1441" t="s">
        <v>2223</v>
      </c>
      <c r="C1441" t="s">
        <v>2231</v>
      </c>
      <c r="D1441" s="14">
        <v>0.52</v>
      </c>
      <c r="E1441" s="15">
        <v>49.5</v>
      </c>
    </row>
    <row r="1442" spans="1:5">
      <c r="A1442">
        <v>2018</v>
      </c>
      <c r="B1442" t="s">
        <v>2213</v>
      </c>
      <c r="C1442" t="s">
        <v>2231</v>
      </c>
      <c r="D1442" s="14">
        <v>0.51</v>
      </c>
      <c r="E1442" s="15">
        <v>48.2</v>
      </c>
    </row>
    <row r="1443" spans="1:5">
      <c r="A1443">
        <v>2018</v>
      </c>
      <c r="B1443" t="s">
        <v>2215</v>
      </c>
      <c r="C1443" t="s">
        <v>2231</v>
      </c>
      <c r="D1443" s="14">
        <v>2.94</v>
      </c>
      <c r="E1443" s="15">
        <v>48.2</v>
      </c>
    </row>
    <row r="1444" spans="1:5">
      <c r="A1444">
        <v>2018</v>
      </c>
      <c r="B1444" t="s">
        <v>2216</v>
      </c>
      <c r="C1444" t="s">
        <v>2231</v>
      </c>
      <c r="D1444" s="14">
        <v>1.89</v>
      </c>
      <c r="E1444" s="15">
        <v>48.2</v>
      </c>
    </row>
    <row r="1445" spans="1:5">
      <c r="A1445">
        <v>2018</v>
      </c>
      <c r="B1445" t="s">
        <v>2217</v>
      </c>
      <c r="C1445" t="s">
        <v>2231</v>
      </c>
      <c r="D1445" s="14">
        <v>8.7200000000000006</v>
      </c>
      <c r="E1445" s="15">
        <v>48.2</v>
      </c>
    </row>
    <row r="1446" spans="1:5">
      <c r="A1446">
        <v>2018</v>
      </c>
      <c r="B1446" t="s">
        <v>2218</v>
      </c>
      <c r="C1446" t="s">
        <v>2231</v>
      </c>
      <c r="D1446" s="14">
        <v>9.8000000000000007</v>
      </c>
      <c r="E1446" s="15">
        <v>48.2</v>
      </c>
    </row>
    <row r="1447" spans="1:5">
      <c r="A1447">
        <v>2018</v>
      </c>
      <c r="B1447" t="s">
        <v>2219</v>
      </c>
      <c r="C1447" t="s">
        <v>2231</v>
      </c>
      <c r="D1447" s="14">
        <v>4.72</v>
      </c>
      <c r="E1447" s="15">
        <v>48.2</v>
      </c>
    </row>
    <row r="1448" spans="1:5">
      <c r="A1448">
        <v>2018</v>
      </c>
      <c r="B1448" t="s">
        <v>2220</v>
      </c>
      <c r="C1448" t="s">
        <v>2231</v>
      </c>
      <c r="D1448" s="14">
        <v>3.56</v>
      </c>
      <c r="E1448" s="15">
        <v>48.2</v>
      </c>
    </row>
    <row r="1449" spans="1:5">
      <c r="A1449">
        <v>2018</v>
      </c>
      <c r="B1449" t="s">
        <v>2221</v>
      </c>
      <c r="C1449" t="s">
        <v>2231</v>
      </c>
      <c r="D1449" s="14">
        <v>27.16</v>
      </c>
      <c r="E1449" s="15">
        <v>48.2</v>
      </c>
    </row>
    <row r="1450" spans="1:5">
      <c r="A1450">
        <v>2018</v>
      </c>
      <c r="B1450" t="s">
        <v>2222</v>
      </c>
      <c r="C1450" t="s">
        <v>2231</v>
      </c>
      <c r="D1450" s="14">
        <v>3.26</v>
      </c>
      <c r="E1450" s="15">
        <v>48.2</v>
      </c>
    </row>
    <row r="1451" spans="1:5">
      <c r="A1451">
        <v>2018</v>
      </c>
      <c r="B1451" t="s">
        <v>2223</v>
      </c>
      <c r="C1451" t="s">
        <v>2231</v>
      </c>
      <c r="D1451" s="14">
        <v>0.52</v>
      </c>
      <c r="E1451" s="15">
        <v>48.2</v>
      </c>
    </row>
    <row r="1452" spans="1:5">
      <c r="A1452">
        <v>2019</v>
      </c>
      <c r="B1452" t="s">
        <v>2213</v>
      </c>
      <c r="C1452" t="s">
        <v>2231</v>
      </c>
      <c r="D1452" s="14">
        <v>0.47</v>
      </c>
      <c r="E1452" s="15">
        <v>47</v>
      </c>
    </row>
    <row r="1453" spans="1:5">
      <c r="A1453">
        <v>2019</v>
      </c>
      <c r="B1453" t="s">
        <v>2215</v>
      </c>
      <c r="C1453" t="s">
        <v>2231</v>
      </c>
      <c r="D1453" s="14">
        <v>2.7</v>
      </c>
      <c r="E1453" s="15">
        <v>47</v>
      </c>
    </row>
    <row r="1454" spans="1:5">
      <c r="A1454">
        <v>2019</v>
      </c>
      <c r="B1454" t="s">
        <v>2216</v>
      </c>
      <c r="C1454" t="s">
        <v>2231</v>
      </c>
      <c r="D1454" s="14">
        <v>1.82</v>
      </c>
      <c r="E1454" s="15">
        <v>47</v>
      </c>
    </row>
    <row r="1455" spans="1:5">
      <c r="A1455">
        <v>2019</v>
      </c>
      <c r="B1455" t="s">
        <v>2217</v>
      </c>
      <c r="C1455" t="s">
        <v>2231</v>
      </c>
      <c r="D1455" s="14">
        <v>8.98</v>
      </c>
      <c r="E1455" s="15">
        <v>47</v>
      </c>
    </row>
    <row r="1456" spans="1:5">
      <c r="A1456">
        <v>2019</v>
      </c>
      <c r="B1456" t="s">
        <v>2218</v>
      </c>
      <c r="C1456" t="s">
        <v>2231</v>
      </c>
      <c r="D1456" s="14">
        <v>10.11</v>
      </c>
      <c r="E1456" s="15">
        <v>47</v>
      </c>
    </row>
    <row r="1457" spans="1:5">
      <c r="A1457">
        <v>2019</v>
      </c>
      <c r="B1457" t="s">
        <v>2219</v>
      </c>
      <c r="C1457" t="s">
        <v>2231</v>
      </c>
      <c r="D1457" s="14">
        <v>4.8899999999999997</v>
      </c>
      <c r="E1457" s="15">
        <v>47</v>
      </c>
    </row>
    <row r="1458" spans="1:5">
      <c r="A1458">
        <v>2019</v>
      </c>
      <c r="B1458" t="s">
        <v>2220</v>
      </c>
      <c r="C1458" t="s">
        <v>2231</v>
      </c>
      <c r="D1458" s="14">
        <v>3.47</v>
      </c>
      <c r="E1458" s="15">
        <v>47</v>
      </c>
    </row>
    <row r="1459" spans="1:5">
      <c r="A1459">
        <v>2019</v>
      </c>
      <c r="B1459" t="s">
        <v>2221</v>
      </c>
      <c r="C1459" t="s">
        <v>2231</v>
      </c>
      <c r="D1459" s="14">
        <v>27.14</v>
      </c>
      <c r="E1459" s="15">
        <v>47</v>
      </c>
    </row>
    <row r="1460" spans="1:5">
      <c r="A1460">
        <v>2019</v>
      </c>
      <c r="B1460" t="s">
        <v>2222</v>
      </c>
      <c r="C1460" t="s">
        <v>2231</v>
      </c>
      <c r="D1460" s="14">
        <v>3.36</v>
      </c>
      <c r="E1460" s="15">
        <v>47</v>
      </c>
    </row>
    <row r="1461" spans="1:5">
      <c r="A1461">
        <v>2019</v>
      </c>
      <c r="B1461" t="s">
        <v>2223</v>
      </c>
      <c r="C1461" t="s">
        <v>2231</v>
      </c>
      <c r="D1461" s="14">
        <v>0.48</v>
      </c>
      <c r="E1461" s="15">
        <v>47</v>
      </c>
    </row>
    <row r="1462" spans="1:5">
      <c r="A1462">
        <v>2020</v>
      </c>
      <c r="B1462" t="s">
        <v>2213</v>
      </c>
      <c r="C1462" t="s">
        <v>2231</v>
      </c>
      <c r="D1462" s="14">
        <v>0.5</v>
      </c>
      <c r="E1462" s="15">
        <v>48.5</v>
      </c>
    </row>
    <row r="1463" spans="1:5">
      <c r="A1463">
        <v>2020</v>
      </c>
      <c r="B1463" t="s">
        <v>2215</v>
      </c>
      <c r="C1463" t="s">
        <v>2231</v>
      </c>
      <c r="D1463" s="14">
        <v>3</v>
      </c>
      <c r="E1463" s="15">
        <v>48.5</v>
      </c>
    </row>
    <row r="1464" spans="1:5">
      <c r="A1464">
        <v>2020</v>
      </c>
      <c r="B1464" t="s">
        <v>2216</v>
      </c>
      <c r="C1464" t="s">
        <v>2231</v>
      </c>
      <c r="D1464" s="14">
        <v>1.88</v>
      </c>
      <c r="E1464" s="15">
        <v>48.5</v>
      </c>
    </row>
    <row r="1465" spans="1:5">
      <c r="A1465">
        <v>2020</v>
      </c>
      <c r="B1465" t="s">
        <v>2217</v>
      </c>
      <c r="C1465" t="s">
        <v>2231</v>
      </c>
      <c r="D1465" s="14">
        <v>8.99</v>
      </c>
      <c r="E1465" s="15">
        <v>48.5</v>
      </c>
    </row>
    <row r="1466" spans="1:5">
      <c r="A1466">
        <v>2020</v>
      </c>
      <c r="B1466" t="s">
        <v>2218</v>
      </c>
      <c r="C1466" t="s">
        <v>2231</v>
      </c>
      <c r="D1466" s="14">
        <v>10.28</v>
      </c>
      <c r="E1466" s="15">
        <v>48.5</v>
      </c>
    </row>
    <row r="1467" spans="1:5">
      <c r="A1467">
        <v>2020</v>
      </c>
      <c r="B1467" t="s">
        <v>2219</v>
      </c>
      <c r="C1467" t="s">
        <v>2231</v>
      </c>
      <c r="D1467" s="14">
        <v>4.8099999999999996</v>
      </c>
      <c r="E1467" s="15">
        <v>48.5</v>
      </c>
    </row>
    <row r="1468" spans="1:5">
      <c r="A1468">
        <v>2020</v>
      </c>
      <c r="B1468" t="s">
        <v>2220</v>
      </c>
      <c r="C1468" t="s">
        <v>2231</v>
      </c>
      <c r="D1468" s="14">
        <v>3.35</v>
      </c>
      <c r="E1468" s="15">
        <v>48.5</v>
      </c>
    </row>
    <row r="1469" spans="1:5">
      <c r="A1469">
        <v>2020</v>
      </c>
      <c r="B1469" t="s">
        <v>2221</v>
      </c>
      <c r="C1469" t="s">
        <v>2231</v>
      </c>
      <c r="D1469" s="14">
        <v>27.19</v>
      </c>
      <c r="E1469" s="15">
        <v>48.5</v>
      </c>
    </row>
    <row r="1470" spans="1:5">
      <c r="A1470">
        <v>2020</v>
      </c>
      <c r="B1470" t="s">
        <v>2222</v>
      </c>
      <c r="C1470" t="s">
        <v>2231</v>
      </c>
      <c r="D1470" s="14">
        <v>3.31</v>
      </c>
      <c r="E1470" s="15">
        <v>48.5</v>
      </c>
    </row>
    <row r="1471" spans="1:5">
      <c r="A1471">
        <v>2020</v>
      </c>
      <c r="B1471" t="s">
        <v>2223</v>
      </c>
      <c r="C1471" t="s">
        <v>2231</v>
      </c>
      <c r="D1471" s="14">
        <v>0.46</v>
      </c>
      <c r="E1471" s="15">
        <v>48.5</v>
      </c>
    </row>
    <row r="1472" spans="1:5">
      <c r="A1472">
        <v>2021</v>
      </c>
      <c r="B1472" t="s">
        <v>2213</v>
      </c>
      <c r="C1472" t="s">
        <v>2231</v>
      </c>
      <c r="D1472" s="14">
        <v>0.52</v>
      </c>
      <c r="E1472" s="15">
        <v>50</v>
      </c>
    </row>
    <row r="1473" spans="1:5">
      <c r="A1473">
        <v>2021</v>
      </c>
      <c r="B1473" t="s">
        <v>2215</v>
      </c>
      <c r="C1473" t="s">
        <v>2231</v>
      </c>
      <c r="D1473" s="14">
        <v>2.95</v>
      </c>
      <c r="E1473" s="15">
        <v>50</v>
      </c>
    </row>
    <row r="1474" spans="1:5">
      <c r="A1474">
        <v>2021</v>
      </c>
      <c r="B1474" t="s">
        <v>2216</v>
      </c>
      <c r="C1474" t="s">
        <v>2231</v>
      </c>
      <c r="D1474" s="14">
        <v>2</v>
      </c>
      <c r="E1474" s="15">
        <v>50</v>
      </c>
    </row>
    <row r="1475" spans="1:5">
      <c r="A1475">
        <v>2021</v>
      </c>
      <c r="B1475" t="s">
        <v>2217</v>
      </c>
      <c r="C1475" t="s">
        <v>2231</v>
      </c>
      <c r="D1475" s="14">
        <v>8.7799999999999994</v>
      </c>
      <c r="E1475" s="15">
        <v>50</v>
      </c>
    </row>
    <row r="1476" spans="1:5">
      <c r="A1476">
        <v>2021</v>
      </c>
      <c r="B1476" t="s">
        <v>2218</v>
      </c>
      <c r="C1476" t="s">
        <v>2231</v>
      </c>
      <c r="D1476" s="14">
        <v>10.52</v>
      </c>
      <c r="E1476" s="15">
        <v>50</v>
      </c>
    </row>
    <row r="1477" spans="1:5">
      <c r="A1477">
        <v>2021</v>
      </c>
      <c r="B1477" t="s">
        <v>2219</v>
      </c>
      <c r="C1477" t="s">
        <v>2231</v>
      </c>
      <c r="D1477" s="14">
        <v>5.17</v>
      </c>
      <c r="E1477" s="15">
        <v>50</v>
      </c>
    </row>
    <row r="1478" spans="1:5">
      <c r="A1478">
        <v>2021</v>
      </c>
      <c r="B1478" t="s">
        <v>2220</v>
      </c>
      <c r="C1478" t="s">
        <v>2231</v>
      </c>
      <c r="D1478" s="14">
        <v>3.47</v>
      </c>
      <c r="E1478" s="15">
        <v>50</v>
      </c>
    </row>
    <row r="1479" spans="1:5">
      <c r="A1479">
        <v>2021</v>
      </c>
      <c r="B1479" t="s">
        <v>2221</v>
      </c>
      <c r="C1479" t="s">
        <v>2231</v>
      </c>
      <c r="D1479" s="14">
        <v>26.23</v>
      </c>
      <c r="E1479" s="15">
        <v>50</v>
      </c>
    </row>
    <row r="1480" spans="1:5">
      <c r="A1480">
        <v>2021</v>
      </c>
      <c r="B1480" t="s">
        <v>2222</v>
      </c>
      <c r="C1480" t="s">
        <v>2231</v>
      </c>
      <c r="D1480" s="14">
        <v>3.45</v>
      </c>
      <c r="E1480" s="15">
        <v>50</v>
      </c>
    </row>
    <row r="1481" spans="1:5">
      <c r="A1481">
        <v>2021</v>
      </c>
      <c r="B1481" t="s">
        <v>2223</v>
      </c>
      <c r="C1481" t="s">
        <v>2231</v>
      </c>
      <c r="D1481" s="14">
        <v>0.51</v>
      </c>
      <c r="E1481" s="15">
        <v>50</v>
      </c>
    </row>
    <row r="1482" spans="1:5">
      <c r="A1482">
        <v>2022</v>
      </c>
      <c r="B1482" t="s">
        <v>2213</v>
      </c>
      <c r="C1482" t="s">
        <v>2231</v>
      </c>
      <c r="D1482" s="14">
        <v>0.49</v>
      </c>
      <c r="E1482" s="15">
        <v>48.3</v>
      </c>
    </row>
    <row r="1483" spans="1:5">
      <c r="A1483">
        <v>2022</v>
      </c>
      <c r="B1483" t="s">
        <v>2215</v>
      </c>
      <c r="C1483" t="s">
        <v>2231</v>
      </c>
      <c r="D1483" s="14">
        <v>2.91</v>
      </c>
      <c r="E1483" s="15">
        <v>48.3</v>
      </c>
    </row>
    <row r="1484" spans="1:5">
      <c r="A1484">
        <v>2022</v>
      </c>
      <c r="B1484" t="s">
        <v>2216</v>
      </c>
      <c r="C1484" t="s">
        <v>2231</v>
      </c>
      <c r="D1484" s="14">
        <v>1.95</v>
      </c>
      <c r="E1484" s="15">
        <v>48.3</v>
      </c>
    </row>
    <row r="1485" spans="1:5">
      <c r="A1485">
        <v>2022</v>
      </c>
      <c r="B1485" t="s">
        <v>2217</v>
      </c>
      <c r="C1485" t="s">
        <v>2231</v>
      </c>
      <c r="D1485" s="14">
        <v>8.9700000000000006</v>
      </c>
      <c r="E1485" s="15">
        <v>48.3</v>
      </c>
    </row>
    <row r="1486" spans="1:5">
      <c r="A1486">
        <v>2022</v>
      </c>
      <c r="B1486" t="s">
        <v>2218</v>
      </c>
      <c r="C1486" t="s">
        <v>2231</v>
      </c>
      <c r="D1486" s="14">
        <v>9.65</v>
      </c>
      <c r="E1486" s="15">
        <v>48.3</v>
      </c>
    </row>
    <row r="1487" spans="1:5">
      <c r="A1487">
        <v>2022</v>
      </c>
      <c r="B1487" t="s">
        <v>2219</v>
      </c>
      <c r="C1487" t="s">
        <v>2231</v>
      </c>
      <c r="D1487" s="14">
        <v>4.92</v>
      </c>
      <c r="E1487" s="15">
        <v>48.3</v>
      </c>
    </row>
    <row r="1488" spans="1:5">
      <c r="A1488">
        <v>2022</v>
      </c>
      <c r="B1488" t="s">
        <v>2220</v>
      </c>
      <c r="C1488" t="s">
        <v>2231</v>
      </c>
      <c r="D1488" s="14">
        <v>3.25</v>
      </c>
      <c r="E1488" s="15">
        <v>48.3</v>
      </c>
    </row>
    <row r="1489" spans="1:5">
      <c r="A1489">
        <v>2022</v>
      </c>
      <c r="B1489" t="s">
        <v>2221</v>
      </c>
      <c r="C1489" t="s">
        <v>2231</v>
      </c>
      <c r="D1489" s="14">
        <v>29.44</v>
      </c>
      <c r="E1489" s="15">
        <v>48.3</v>
      </c>
    </row>
    <row r="1490" spans="1:5">
      <c r="A1490">
        <v>2022</v>
      </c>
      <c r="B1490" t="s">
        <v>2222</v>
      </c>
      <c r="C1490" t="s">
        <v>2231</v>
      </c>
      <c r="D1490" s="14">
        <v>3.35</v>
      </c>
      <c r="E1490" s="15">
        <v>48.3</v>
      </c>
    </row>
    <row r="1491" spans="1:5">
      <c r="A1491">
        <v>2022</v>
      </c>
      <c r="B1491" t="s">
        <v>2223</v>
      </c>
      <c r="C1491" t="s">
        <v>2231</v>
      </c>
      <c r="D1491" s="14">
        <v>0.49</v>
      </c>
      <c r="E1491" s="15">
        <v>48.3</v>
      </c>
    </row>
    <row r="1492" spans="1:5">
      <c r="A1492">
        <v>2023</v>
      </c>
      <c r="B1492" t="s">
        <v>2213</v>
      </c>
      <c r="C1492" t="s">
        <v>2231</v>
      </c>
      <c r="D1492" s="14">
        <v>0.48</v>
      </c>
      <c r="E1492" s="15">
        <v>46.7</v>
      </c>
    </row>
    <row r="1493" spans="1:5">
      <c r="A1493">
        <v>2023</v>
      </c>
      <c r="B1493" t="s">
        <v>2215</v>
      </c>
      <c r="C1493" t="s">
        <v>2231</v>
      </c>
      <c r="D1493" s="14">
        <v>2.75</v>
      </c>
      <c r="E1493" s="15">
        <v>46.7</v>
      </c>
    </row>
    <row r="1494" spans="1:5">
      <c r="A1494">
        <v>2023</v>
      </c>
      <c r="B1494" t="s">
        <v>2216</v>
      </c>
      <c r="C1494" t="s">
        <v>2231</v>
      </c>
      <c r="D1494" s="14">
        <v>1.87</v>
      </c>
      <c r="E1494" s="15">
        <v>46.7</v>
      </c>
    </row>
    <row r="1495" spans="1:5">
      <c r="A1495">
        <v>2023</v>
      </c>
      <c r="B1495" t="s">
        <v>2217</v>
      </c>
      <c r="C1495" t="s">
        <v>2231</v>
      </c>
      <c r="D1495" s="14">
        <v>8.4</v>
      </c>
      <c r="E1495" s="15">
        <v>46.7</v>
      </c>
    </row>
    <row r="1496" spans="1:5">
      <c r="A1496">
        <v>2023</v>
      </c>
      <c r="B1496" t="s">
        <v>2218</v>
      </c>
      <c r="C1496" t="s">
        <v>2231</v>
      </c>
      <c r="D1496" s="14">
        <v>9</v>
      </c>
      <c r="E1496" s="15">
        <v>46.7</v>
      </c>
    </row>
    <row r="1497" spans="1:5">
      <c r="A1497">
        <v>2023</v>
      </c>
      <c r="B1497" t="s">
        <v>2219</v>
      </c>
      <c r="C1497" t="s">
        <v>2231</v>
      </c>
      <c r="D1497" s="14">
        <v>4.75</v>
      </c>
      <c r="E1497" s="15">
        <v>46.7</v>
      </c>
    </row>
    <row r="1498" spans="1:5">
      <c r="A1498">
        <v>2023</v>
      </c>
      <c r="B1498" t="s">
        <v>2220</v>
      </c>
      <c r="C1498" t="s">
        <v>2231</v>
      </c>
      <c r="D1498" s="14">
        <v>3.06</v>
      </c>
      <c r="E1498" s="15">
        <v>46.7</v>
      </c>
    </row>
    <row r="1499" spans="1:5">
      <c r="A1499">
        <v>2023</v>
      </c>
      <c r="B1499" t="s">
        <v>2221</v>
      </c>
      <c r="C1499" t="s">
        <v>2231</v>
      </c>
      <c r="D1499" s="14">
        <v>27.53</v>
      </c>
      <c r="E1499" s="15">
        <v>46.7</v>
      </c>
    </row>
    <row r="1500" spans="1:5">
      <c r="A1500">
        <v>2023</v>
      </c>
      <c r="B1500" t="s">
        <v>2222</v>
      </c>
      <c r="C1500" t="s">
        <v>2231</v>
      </c>
      <c r="D1500" s="14">
        <v>3.37</v>
      </c>
      <c r="E1500" s="15">
        <v>46.7</v>
      </c>
    </row>
    <row r="1501" spans="1:5">
      <c r="A1501">
        <v>2023</v>
      </c>
      <c r="B1501" t="s">
        <v>2223</v>
      </c>
      <c r="C1501" t="s">
        <v>2231</v>
      </c>
      <c r="D1501" s="14">
        <v>0.48</v>
      </c>
      <c r="E1501" s="15">
        <v>46.7</v>
      </c>
    </row>
    <row r="1502" spans="1:5">
      <c r="A1502">
        <v>2024</v>
      </c>
      <c r="B1502" t="s">
        <v>2213</v>
      </c>
      <c r="C1502" t="s">
        <v>2231</v>
      </c>
      <c r="D1502" s="14">
        <v>0.42</v>
      </c>
      <c r="E1502" s="15">
        <v>45</v>
      </c>
    </row>
    <row r="1503" spans="1:5">
      <c r="A1503">
        <v>2024</v>
      </c>
      <c r="B1503" t="s">
        <v>2215</v>
      </c>
      <c r="C1503" t="s">
        <v>2231</v>
      </c>
      <c r="D1503" s="14">
        <v>2.62</v>
      </c>
      <c r="E1503" s="15">
        <v>45</v>
      </c>
    </row>
    <row r="1504" spans="1:5">
      <c r="A1504">
        <v>2024</v>
      </c>
      <c r="B1504" t="s">
        <v>2216</v>
      </c>
      <c r="C1504" t="s">
        <v>2231</v>
      </c>
      <c r="D1504" s="14">
        <v>1.9</v>
      </c>
      <c r="E1504" s="15">
        <v>45</v>
      </c>
    </row>
    <row r="1505" spans="1:5">
      <c r="A1505">
        <v>2024</v>
      </c>
      <c r="B1505" t="s">
        <v>2217</v>
      </c>
      <c r="C1505" t="s">
        <v>2231</v>
      </c>
      <c r="D1505" s="14">
        <v>9.56</v>
      </c>
      <c r="E1505" s="15">
        <v>45</v>
      </c>
    </row>
    <row r="1506" spans="1:5">
      <c r="A1506">
        <v>2024</v>
      </c>
      <c r="B1506" t="s">
        <v>2218</v>
      </c>
      <c r="C1506" t="s">
        <v>2231</v>
      </c>
      <c r="D1506" s="14">
        <v>9.44</v>
      </c>
      <c r="E1506" s="15">
        <v>45</v>
      </c>
    </row>
    <row r="1507" spans="1:5">
      <c r="A1507">
        <v>2024</v>
      </c>
      <c r="B1507" t="s">
        <v>2219</v>
      </c>
      <c r="C1507" t="s">
        <v>2231</v>
      </c>
      <c r="D1507" s="14">
        <v>4.6900000000000004</v>
      </c>
      <c r="E1507" s="15">
        <v>45</v>
      </c>
    </row>
    <row r="1508" spans="1:5">
      <c r="A1508">
        <v>2024</v>
      </c>
      <c r="B1508" t="s">
        <v>2220</v>
      </c>
      <c r="C1508" t="s">
        <v>2231</v>
      </c>
      <c r="D1508" s="14">
        <v>3.22</v>
      </c>
      <c r="E1508" s="15">
        <v>45</v>
      </c>
    </row>
    <row r="1509" spans="1:5">
      <c r="A1509">
        <v>2024</v>
      </c>
      <c r="B1509" t="s">
        <v>2221</v>
      </c>
      <c r="C1509" t="s">
        <v>2231</v>
      </c>
      <c r="D1509" s="14">
        <v>23.93</v>
      </c>
      <c r="E1509" s="15">
        <v>45</v>
      </c>
    </row>
    <row r="1510" spans="1:5">
      <c r="A1510">
        <v>2024</v>
      </c>
      <c r="B1510" t="s">
        <v>2222</v>
      </c>
      <c r="C1510" t="s">
        <v>2231</v>
      </c>
      <c r="D1510" s="14">
        <v>3.28</v>
      </c>
      <c r="E1510" s="15">
        <v>45</v>
      </c>
    </row>
    <row r="1511" spans="1:5">
      <c r="A1511">
        <v>2024</v>
      </c>
      <c r="B1511" t="s">
        <v>2223</v>
      </c>
      <c r="C1511" t="s">
        <v>2231</v>
      </c>
      <c r="D1511" s="14">
        <v>0.43</v>
      </c>
      <c r="E1511" s="15">
        <v>45</v>
      </c>
    </row>
    <row r="1512" spans="1:5">
      <c r="A1512">
        <v>2025</v>
      </c>
      <c r="B1512" t="s">
        <v>2213</v>
      </c>
      <c r="C1512" t="s">
        <v>2231</v>
      </c>
      <c r="D1512" s="14">
        <v>0.41</v>
      </c>
      <c r="E1512" s="15">
        <v>43.5</v>
      </c>
    </row>
    <row r="1513" spans="1:5">
      <c r="A1513">
        <v>2025</v>
      </c>
      <c r="B1513" t="s">
        <v>2215</v>
      </c>
      <c r="C1513" t="s">
        <v>2231</v>
      </c>
      <c r="D1513" s="14">
        <v>2.48</v>
      </c>
      <c r="E1513" s="15">
        <v>43.5</v>
      </c>
    </row>
    <row r="1514" spans="1:5">
      <c r="A1514">
        <v>2025</v>
      </c>
      <c r="B1514" t="s">
        <v>2216</v>
      </c>
      <c r="C1514" t="s">
        <v>2231</v>
      </c>
      <c r="D1514" s="14">
        <v>1.81</v>
      </c>
      <c r="E1514" s="15">
        <v>43.5</v>
      </c>
    </row>
    <row r="1515" spans="1:5">
      <c r="A1515">
        <v>2025</v>
      </c>
      <c r="B1515" t="s">
        <v>2217</v>
      </c>
      <c r="C1515" t="s">
        <v>2231</v>
      </c>
      <c r="D1515" s="14">
        <v>7.81</v>
      </c>
      <c r="E1515" s="15">
        <v>43.5</v>
      </c>
    </row>
    <row r="1516" spans="1:5">
      <c r="A1516">
        <v>2025</v>
      </c>
      <c r="B1516" t="s">
        <v>2218</v>
      </c>
      <c r="C1516" t="s">
        <v>2231</v>
      </c>
      <c r="D1516" s="14">
        <v>8.74</v>
      </c>
      <c r="E1516" s="15">
        <v>43.5</v>
      </c>
    </row>
    <row r="1517" spans="1:5">
      <c r="A1517">
        <v>2025</v>
      </c>
      <c r="B1517" t="s">
        <v>2219</v>
      </c>
      <c r="C1517" t="s">
        <v>2231</v>
      </c>
      <c r="D1517" s="14">
        <v>4.3499999999999996</v>
      </c>
      <c r="E1517" s="15">
        <v>43.5</v>
      </c>
    </row>
    <row r="1518" spans="1:5">
      <c r="A1518">
        <v>2025</v>
      </c>
      <c r="B1518" t="s">
        <v>2220</v>
      </c>
      <c r="C1518" t="s">
        <v>2231</v>
      </c>
      <c r="D1518" s="14">
        <v>2.91</v>
      </c>
      <c r="E1518" s="15">
        <v>43.5</v>
      </c>
    </row>
    <row r="1519" spans="1:5">
      <c r="A1519">
        <v>2025</v>
      </c>
      <c r="B1519" t="s">
        <v>2221</v>
      </c>
      <c r="C1519" t="s">
        <v>2231</v>
      </c>
      <c r="D1519" s="14">
        <v>23.29</v>
      </c>
      <c r="E1519" s="15">
        <v>43.5</v>
      </c>
    </row>
    <row r="1520" spans="1:5">
      <c r="A1520">
        <v>2025</v>
      </c>
      <c r="B1520" t="s">
        <v>2222</v>
      </c>
      <c r="C1520" t="s">
        <v>2231</v>
      </c>
      <c r="D1520" s="14">
        <v>2.97</v>
      </c>
      <c r="E1520" s="15">
        <v>43.5</v>
      </c>
    </row>
    <row r="1521" spans="1:5">
      <c r="A1521">
        <v>2025</v>
      </c>
      <c r="B1521" t="s">
        <v>2223</v>
      </c>
      <c r="C1521" t="s">
        <v>2231</v>
      </c>
      <c r="D1521" s="14">
        <v>0.41</v>
      </c>
      <c r="E1521" s="15">
        <v>43.5</v>
      </c>
    </row>
    <row r="1522" spans="1:5">
      <c r="A1522">
        <v>2026</v>
      </c>
      <c r="B1522" t="s">
        <v>2213</v>
      </c>
      <c r="C1522" t="s">
        <v>2231</v>
      </c>
      <c r="D1522" s="14">
        <v>0.41</v>
      </c>
      <c r="E1522" s="15">
        <v>42</v>
      </c>
    </row>
    <row r="1523" spans="1:5">
      <c r="A1523">
        <v>2026</v>
      </c>
      <c r="B1523" t="s">
        <v>2215</v>
      </c>
      <c r="C1523" t="s">
        <v>2231</v>
      </c>
      <c r="D1523" s="14">
        <v>2.41</v>
      </c>
      <c r="E1523" s="15">
        <v>42</v>
      </c>
    </row>
    <row r="1524" spans="1:5">
      <c r="A1524">
        <v>2026</v>
      </c>
      <c r="B1524" t="s">
        <v>2216</v>
      </c>
      <c r="C1524" t="s">
        <v>2231</v>
      </c>
      <c r="D1524" s="14">
        <v>1.72</v>
      </c>
      <c r="E1524" s="15">
        <v>42</v>
      </c>
    </row>
    <row r="1525" spans="1:5">
      <c r="A1525">
        <v>2026</v>
      </c>
      <c r="B1525" t="s">
        <v>2217</v>
      </c>
      <c r="C1525" t="s">
        <v>2231</v>
      </c>
      <c r="D1525" s="14">
        <v>7.76</v>
      </c>
      <c r="E1525" s="15">
        <v>42</v>
      </c>
    </row>
    <row r="1526" spans="1:5">
      <c r="A1526">
        <v>2026</v>
      </c>
      <c r="B1526" t="s">
        <v>2218</v>
      </c>
      <c r="C1526" t="s">
        <v>2231</v>
      </c>
      <c r="D1526" s="14">
        <v>7.98</v>
      </c>
      <c r="E1526" s="15">
        <v>42</v>
      </c>
    </row>
    <row r="1527" spans="1:5">
      <c r="A1527">
        <v>2026</v>
      </c>
      <c r="B1527" t="s">
        <v>2219</v>
      </c>
      <c r="C1527" t="s">
        <v>2231</v>
      </c>
      <c r="D1527" s="14">
        <v>4.1500000000000004</v>
      </c>
      <c r="E1527" s="15">
        <v>42</v>
      </c>
    </row>
    <row r="1528" spans="1:5">
      <c r="A1528">
        <v>2026</v>
      </c>
      <c r="B1528" t="s">
        <v>2220</v>
      </c>
      <c r="C1528" t="s">
        <v>2231</v>
      </c>
      <c r="D1528" s="14">
        <v>3.17</v>
      </c>
      <c r="E1528" s="15">
        <v>42</v>
      </c>
    </row>
    <row r="1529" spans="1:5">
      <c r="A1529">
        <v>2026</v>
      </c>
      <c r="B1529" t="s">
        <v>2221</v>
      </c>
      <c r="C1529" t="s">
        <v>2231</v>
      </c>
      <c r="D1529" s="14">
        <v>22.21</v>
      </c>
      <c r="E1529" s="15">
        <v>42</v>
      </c>
    </row>
    <row r="1530" spans="1:5">
      <c r="A1530">
        <v>2026</v>
      </c>
      <c r="B1530" t="s">
        <v>2222</v>
      </c>
      <c r="C1530" t="s">
        <v>2231</v>
      </c>
      <c r="D1530" s="14">
        <v>2.99</v>
      </c>
      <c r="E1530" s="15">
        <v>42</v>
      </c>
    </row>
    <row r="1531" spans="1:5">
      <c r="A1531">
        <v>2026</v>
      </c>
      <c r="B1531" t="s">
        <v>2223</v>
      </c>
      <c r="C1531" t="s">
        <v>2231</v>
      </c>
      <c r="D1531" s="14">
        <v>0.42</v>
      </c>
      <c r="E1531" s="15">
        <v>42</v>
      </c>
    </row>
    <row r="1532" spans="1:5">
      <c r="A1532">
        <v>2019</v>
      </c>
      <c r="B1532" t="s">
        <v>2213</v>
      </c>
      <c r="C1532" t="s">
        <v>2232</v>
      </c>
      <c r="D1532" s="14">
        <v>0.1</v>
      </c>
      <c r="E1532" s="15">
        <v>0</v>
      </c>
    </row>
    <row r="1533" spans="1:5">
      <c r="A1533">
        <v>2019</v>
      </c>
      <c r="B1533" t="s">
        <v>2215</v>
      </c>
      <c r="C1533" t="s">
        <v>2232</v>
      </c>
      <c r="D1533" s="14">
        <v>0.1</v>
      </c>
      <c r="E1533" s="15">
        <v>0</v>
      </c>
    </row>
    <row r="1534" spans="1:5">
      <c r="A1534">
        <v>2019</v>
      </c>
      <c r="B1534" t="s">
        <v>2216</v>
      </c>
      <c r="C1534" t="s">
        <v>2232</v>
      </c>
      <c r="D1534" s="14">
        <v>0.1</v>
      </c>
      <c r="E1534" s="15">
        <v>0</v>
      </c>
    </row>
    <row r="1535" spans="1:5">
      <c r="A1535">
        <v>2019</v>
      </c>
      <c r="B1535" t="s">
        <v>2217</v>
      </c>
      <c r="C1535" t="s">
        <v>2232</v>
      </c>
      <c r="D1535" s="14">
        <v>0.1</v>
      </c>
      <c r="E1535" s="15">
        <v>0</v>
      </c>
    </row>
    <row r="1536" spans="1:5">
      <c r="A1536">
        <v>2019</v>
      </c>
      <c r="B1536" t="s">
        <v>2218</v>
      </c>
      <c r="C1536" t="s">
        <v>2232</v>
      </c>
      <c r="D1536" s="14">
        <v>0.1</v>
      </c>
      <c r="E1536" s="15">
        <v>0</v>
      </c>
    </row>
    <row r="1537" spans="1:5">
      <c r="A1537">
        <v>2019</v>
      </c>
      <c r="B1537" t="s">
        <v>2219</v>
      </c>
      <c r="C1537" t="s">
        <v>2232</v>
      </c>
      <c r="D1537" s="14">
        <v>0.1</v>
      </c>
      <c r="E1537" s="15">
        <v>0</v>
      </c>
    </row>
    <row r="1538" spans="1:5">
      <c r="A1538">
        <v>2019</v>
      </c>
      <c r="B1538" t="s">
        <v>2220</v>
      </c>
      <c r="C1538" t="s">
        <v>2232</v>
      </c>
      <c r="D1538" s="14">
        <v>0.1</v>
      </c>
      <c r="E1538" s="15">
        <v>0</v>
      </c>
    </row>
    <row r="1539" spans="1:5">
      <c r="A1539">
        <v>2019</v>
      </c>
      <c r="B1539" t="s">
        <v>2221</v>
      </c>
      <c r="C1539" t="s">
        <v>2232</v>
      </c>
      <c r="D1539" s="14">
        <v>0.1</v>
      </c>
      <c r="E1539" s="15">
        <v>0</v>
      </c>
    </row>
    <row r="1540" spans="1:5">
      <c r="A1540">
        <v>2019</v>
      </c>
      <c r="B1540" t="s">
        <v>2222</v>
      </c>
      <c r="C1540" t="s">
        <v>2232</v>
      </c>
      <c r="D1540" s="14">
        <v>0.1</v>
      </c>
      <c r="E1540" s="15">
        <v>0</v>
      </c>
    </row>
    <row r="1541" spans="1:5">
      <c r="A1541">
        <v>2019</v>
      </c>
      <c r="B1541" t="s">
        <v>2223</v>
      </c>
      <c r="C1541" t="s">
        <v>2232</v>
      </c>
      <c r="D1541" s="14">
        <v>0.1</v>
      </c>
      <c r="E1541" s="15">
        <v>0</v>
      </c>
    </row>
    <row r="1542" spans="1:5">
      <c r="A1542">
        <v>2020</v>
      </c>
      <c r="B1542" t="s">
        <v>2213</v>
      </c>
      <c r="C1542" t="s">
        <v>2232</v>
      </c>
      <c r="D1542" s="14">
        <v>7.41</v>
      </c>
      <c r="E1542" s="15">
        <v>100</v>
      </c>
    </row>
    <row r="1543" spans="1:5">
      <c r="A1543">
        <v>2020</v>
      </c>
      <c r="B1543" t="s">
        <v>2215</v>
      </c>
      <c r="C1543" t="s">
        <v>2232</v>
      </c>
      <c r="D1543" s="14">
        <v>8.92</v>
      </c>
      <c r="E1543" s="15">
        <v>100</v>
      </c>
    </row>
    <row r="1544" spans="1:5">
      <c r="A1544">
        <v>2020</v>
      </c>
      <c r="B1544" t="s">
        <v>2216</v>
      </c>
      <c r="C1544" t="s">
        <v>2232</v>
      </c>
      <c r="D1544" s="14">
        <v>3.82</v>
      </c>
      <c r="E1544" s="15">
        <v>100</v>
      </c>
    </row>
    <row r="1545" spans="1:5">
      <c r="A1545">
        <v>2020</v>
      </c>
      <c r="B1545" t="s">
        <v>2217</v>
      </c>
      <c r="C1545" t="s">
        <v>2232</v>
      </c>
      <c r="D1545" s="14">
        <v>16.7</v>
      </c>
      <c r="E1545" s="15">
        <v>100</v>
      </c>
    </row>
    <row r="1546" spans="1:5">
      <c r="A1546">
        <v>2020</v>
      </c>
      <c r="B1546" t="s">
        <v>2218</v>
      </c>
      <c r="C1546" t="s">
        <v>2232</v>
      </c>
      <c r="D1546" s="14">
        <v>19.47</v>
      </c>
      <c r="E1546" s="15">
        <v>100</v>
      </c>
    </row>
    <row r="1547" spans="1:5">
      <c r="A1547">
        <v>2020</v>
      </c>
      <c r="B1547" t="s">
        <v>2219</v>
      </c>
      <c r="C1547" t="s">
        <v>2232</v>
      </c>
      <c r="D1547" s="14">
        <v>9.86</v>
      </c>
      <c r="E1547" s="15">
        <v>100</v>
      </c>
    </row>
    <row r="1548" spans="1:5">
      <c r="A1548">
        <v>2020</v>
      </c>
      <c r="B1548" t="s">
        <v>2220</v>
      </c>
      <c r="C1548" t="s">
        <v>2232</v>
      </c>
      <c r="D1548" s="14">
        <v>6.61</v>
      </c>
      <c r="E1548" s="15">
        <v>100</v>
      </c>
    </row>
    <row r="1549" spans="1:5">
      <c r="A1549">
        <v>2020</v>
      </c>
      <c r="B1549" t="s">
        <v>2221</v>
      </c>
      <c r="C1549" t="s">
        <v>2232</v>
      </c>
      <c r="D1549" s="14">
        <v>13.29</v>
      </c>
      <c r="E1549" s="15">
        <v>100</v>
      </c>
    </row>
    <row r="1550" spans="1:5">
      <c r="A1550">
        <v>2020</v>
      </c>
      <c r="B1550" t="s">
        <v>2222</v>
      </c>
      <c r="C1550" t="s">
        <v>2232</v>
      </c>
      <c r="D1550" s="14">
        <v>7.33</v>
      </c>
      <c r="E1550" s="15">
        <v>100</v>
      </c>
    </row>
    <row r="1551" spans="1:5">
      <c r="A1551">
        <v>2020</v>
      </c>
      <c r="B1551" t="s">
        <v>2223</v>
      </c>
      <c r="C1551" t="s">
        <v>2232</v>
      </c>
      <c r="D1551" s="14">
        <v>1.03</v>
      </c>
      <c r="E1551" s="15">
        <v>100</v>
      </c>
    </row>
    <row r="1552" spans="1:5">
      <c r="A1552">
        <v>2021</v>
      </c>
      <c r="B1552" t="s">
        <v>2213</v>
      </c>
      <c r="C1552" t="s">
        <v>2232</v>
      </c>
      <c r="D1552" s="14">
        <v>13.06</v>
      </c>
      <c r="E1552" s="15">
        <v>175</v>
      </c>
    </row>
    <row r="1553" spans="1:5">
      <c r="A1553">
        <v>2021</v>
      </c>
      <c r="B1553" t="s">
        <v>2215</v>
      </c>
      <c r="C1553" t="s">
        <v>2232</v>
      </c>
      <c r="D1553" s="14">
        <v>14.63</v>
      </c>
      <c r="E1553" s="15">
        <v>175</v>
      </c>
    </row>
    <row r="1554" spans="1:5">
      <c r="A1554">
        <v>2021</v>
      </c>
      <c r="B1554" t="s">
        <v>2216</v>
      </c>
      <c r="C1554" t="s">
        <v>2232</v>
      </c>
      <c r="D1554" s="14">
        <v>7.2</v>
      </c>
      <c r="E1554" s="15">
        <v>175</v>
      </c>
    </row>
    <row r="1555" spans="1:5">
      <c r="A1555">
        <v>2021</v>
      </c>
      <c r="B1555" t="s">
        <v>2217</v>
      </c>
      <c r="C1555" t="s">
        <v>2232</v>
      </c>
      <c r="D1555" s="14">
        <v>31.68</v>
      </c>
      <c r="E1555" s="15">
        <v>175</v>
      </c>
    </row>
    <row r="1556" spans="1:5">
      <c r="A1556">
        <v>2021</v>
      </c>
      <c r="B1556" t="s">
        <v>2218</v>
      </c>
      <c r="C1556" t="s">
        <v>2232</v>
      </c>
      <c r="D1556" s="14">
        <v>35.6</v>
      </c>
      <c r="E1556" s="15">
        <v>175</v>
      </c>
    </row>
    <row r="1557" spans="1:5">
      <c r="A1557">
        <v>2021</v>
      </c>
      <c r="B1557" t="s">
        <v>2219</v>
      </c>
      <c r="C1557" t="s">
        <v>2232</v>
      </c>
      <c r="D1557" s="14">
        <v>18.91</v>
      </c>
      <c r="E1557" s="15">
        <v>175</v>
      </c>
    </row>
    <row r="1558" spans="1:5">
      <c r="A1558">
        <v>2021</v>
      </c>
      <c r="B1558" t="s">
        <v>2220</v>
      </c>
      <c r="C1558" t="s">
        <v>2232</v>
      </c>
      <c r="D1558" s="14">
        <v>11.85</v>
      </c>
      <c r="E1558" s="15">
        <v>175</v>
      </c>
    </row>
    <row r="1559" spans="1:5">
      <c r="A1559">
        <v>2021</v>
      </c>
      <c r="B1559" t="s">
        <v>2221</v>
      </c>
      <c r="C1559" t="s">
        <v>2232</v>
      </c>
      <c r="D1559" s="14">
        <v>20.59</v>
      </c>
      <c r="E1559" s="15">
        <v>175</v>
      </c>
    </row>
    <row r="1560" spans="1:5">
      <c r="A1560">
        <v>2021</v>
      </c>
      <c r="B1560" t="s">
        <v>2222</v>
      </c>
      <c r="C1560" t="s">
        <v>2232</v>
      </c>
      <c r="D1560" s="14">
        <v>11.74</v>
      </c>
      <c r="E1560" s="15">
        <v>175</v>
      </c>
    </row>
    <row r="1561" spans="1:5">
      <c r="A1561">
        <v>2021</v>
      </c>
      <c r="B1561" t="s">
        <v>2223</v>
      </c>
      <c r="C1561" t="s">
        <v>2232</v>
      </c>
      <c r="D1561" s="14">
        <v>1.78</v>
      </c>
      <c r="E1561" s="15">
        <v>175</v>
      </c>
    </row>
    <row r="1562" spans="1:5">
      <c r="A1562">
        <v>2022</v>
      </c>
      <c r="B1562" t="s">
        <v>2213</v>
      </c>
      <c r="C1562" t="s">
        <v>2232</v>
      </c>
      <c r="D1562" s="14">
        <v>8.26</v>
      </c>
      <c r="E1562" s="15">
        <v>110</v>
      </c>
    </row>
    <row r="1563" spans="1:5">
      <c r="A1563">
        <v>2022</v>
      </c>
      <c r="B1563" t="s">
        <v>2215</v>
      </c>
      <c r="C1563" t="s">
        <v>2232</v>
      </c>
      <c r="D1563" s="14">
        <v>9.43</v>
      </c>
      <c r="E1563" s="15">
        <v>110</v>
      </c>
    </row>
    <row r="1564" spans="1:5">
      <c r="A1564">
        <v>2022</v>
      </c>
      <c r="B1564" t="s">
        <v>2216</v>
      </c>
      <c r="C1564" t="s">
        <v>2232</v>
      </c>
      <c r="D1564" s="14">
        <v>4.16</v>
      </c>
      <c r="E1564" s="15">
        <v>110</v>
      </c>
    </row>
    <row r="1565" spans="1:5">
      <c r="A1565">
        <v>2022</v>
      </c>
      <c r="B1565" t="s">
        <v>2217</v>
      </c>
      <c r="C1565" t="s">
        <v>2232</v>
      </c>
      <c r="D1565" s="14">
        <v>19.52</v>
      </c>
      <c r="E1565" s="15">
        <v>110</v>
      </c>
    </row>
    <row r="1566" spans="1:5">
      <c r="A1566">
        <v>2022</v>
      </c>
      <c r="B1566" t="s">
        <v>2218</v>
      </c>
      <c r="C1566" t="s">
        <v>2232</v>
      </c>
      <c r="D1566" s="14">
        <v>20.93</v>
      </c>
      <c r="E1566" s="15">
        <v>110</v>
      </c>
    </row>
    <row r="1567" spans="1:5">
      <c r="A1567">
        <v>2022</v>
      </c>
      <c r="B1567" t="s">
        <v>2219</v>
      </c>
      <c r="C1567" t="s">
        <v>2232</v>
      </c>
      <c r="D1567" s="14">
        <v>11.23</v>
      </c>
      <c r="E1567" s="15">
        <v>110</v>
      </c>
    </row>
    <row r="1568" spans="1:5">
      <c r="A1568">
        <v>2022</v>
      </c>
      <c r="B1568" t="s">
        <v>2220</v>
      </c>
      <c r="C1568" t="s">
        <v>2232</v>
      </c>
      <c r="D1568" s="14">
        <v>7.57</v>
      </c>
      <c r="E1568" s="15">
        <v>110</v>
      </c>
    </row>
    <row r="1569" spans="1:5">
      <c r="A1569">
        <v>2022</v>
      </c>
      <c r="B1569" t="s">
        <v>2221</v>
      </c>
      <c r="C1569" t="s">
        <v>2232</v>
      </c>
      <c r="D1569" s="14">
        <v>14.16</v>
      </c>
      <c r="E1569" s="15">
        <v>110</v>
      </c>
    </row>
    <row r="1570" spans="1:5">
      <c r="A1570">
        <v>2022</v>
      </c>
      <c r="B1570" t="s">
        <v>2222</v>
      </c>
      <c r="C1570" t="s">
        <v>2232</v>
      </c>
      <c r="D1570" s="14">
        <v>7.47</v>
      </c>
      <c r="E1570" s="15">
        <v>110</v>
      </c>
    </row>
    <row r="1571" spans="1:5">
      <c r="A1571">
        <v>2022</v>
      </c>
      <c r="B1571" t="s">
        <v>2223</v>
      </c>
      <c r="C1571" t="s">
        <v>2232</v>
      </c>
      <c r="D1571" s="14">
        <v>1.1100000000000001</v>
      </c>
      <c r="E1571" s="15">
        <v>110</v>
      </c>
    </row>
    <row r="1572" spans="1:5">
      <c r="A1572">
        <v>2023</v>
      </c>
      <c r="B1572" t="s">
        <v>2213</v>
      </c>
      <c r="C1572" t="s">
        <v>2232</v>
      </c>
      <c r="D1572" s="14">
        <v>3.76</v>
      </c>
      <c r="E1572" s="15">
        <v>50</v>
      </c>
    </row>
    <row r="1573" spans="1:5">
      <c r="A1573">
        <v>2023</v>
      </c>
      <c r="B1573" t="s">
        <v>2215</v>
      </c>
      <c r="C1573" t="s">
        <v>2232</v>
      </c>
      <c r="D1573" s="14">
        <v>4.54</v>
      </c>
      <c r="E1573" s="15">
        <v>50</v>
      </c>
    </row>
    <row r="1574" spans="1:5">
      <c r="A1574">
        <v>2023</v>
      </c>
      <c r="B1574" t="s">
        <v>2216</v>
      </c>
      <c r="C1574" t="s">
        <v>2232</v>
      </c>
      <c r="D1574" s="14">
        <v>2.0099999999999998</v>
      </c>
      <c r="E1574" s="15">
        <v>50</v>
      </c>
    </row>
    <row r="1575" spans="1:5">
      <c r="A1575">
        <v>2023</v>
      </c>
      <c r="B1575" t="s">
        <v>2217</v>
      </c>
      <c r="C1575" t="s">
        <v>2232</v>
      </c>
      <c r="D1575" s="14">
        <v>8.9700000000000006</v>
      </c>
      <c r="E1575" s="15">
        <v>50</v>
      </c>
    </row>
    <row r="1576" spans="1:5">
      <c r="A1576">
        <v>2023</v>
      </c>
      <c r="B1576" t="s">
        <v>2218</v>
      </c>
      <c r="C1576" t="s">
        <v>2232</v>
      </c>
      <c r="D1576" s="14">
        <v>9.6</v>
      </c>
      <c r="E1576" s="15">
        <v>50</v>
      </c>
    </row>
    <row r="1577" spans="1:5">
      <c r="A1577">
        <v>2023</v>
      </c>
      <c r="B1577" t="s">
        <v>2219</v>
      </c>
      <c r="C1577" t="s">
        <v>2232</v>
      </c>
      <c r="D1577" s="14">
        <v>4.8600000000000003</v>
      </c>
      <c r="E1577" s="15">
        <v>50</v>
      </c>
    </row>
    <row r="1578" spans="1:5">
      <c r="A1578">
        <v>2023</v>
      </c>
      <c r="B1578" t="s">
        <v>2220</v>
      </c>
      <c r="C1578" t="s">
        <v>2232</v>
      </c>
      <c r="D1578" s="14">
        <v>3.45</v>
      </c>
      <c r="E1578" s="15">
        <v>50</v>
      </c>
    </row>
    <row r="1579" spans="1:5">
      <c r="A1579">
        <v>2023</v>
      </c>
      <c r="B1579" t="s">
        <v>2221</v>
      </c>
      <c r="C1579" t="s">
        <v>2232</v>
      </c>
      <c r="D1579" s="14">
        <v>7.17</v>
      </c>
      <c r="E1579" s="15">
        <v>50</v>
      </c>
    </row>
    <row r="1580" spans="1:5">
      <c r="A1580">
        <v>2023</v>
      </c>
      <c r="B1580" t="s">
        <v>2222</v>
      </c>
      <c r="C1580" t="s">
        <v>2232</v>
      </c>
      <c r="D1580" s="14">
        <v>3.32</v>
      </c>
      <c r="E1580" s="15">
        <v>50</v>
      </c>
    </row>
    <row r="1581" spans="1:5">
      <c r="A1581">
        <v>2023</v>
      </c>
      <c r="B1581" t="s">
        <v>2223</v>
      </c>
      <c r="C1581" t="s">
        <v>2232</v>
      </c>
      <c r="D1581" s="14">
        <v>0.49</v>
      </c>
      <c r="E1581" s="15">
        <v>50</v>
      </c>
    </row>
    <row r="1582" spans="1:5">
      <c r="A1582">
        <v>2024</v>
      </c>
      <c r="B1582" t="s">
        <v>2213</v>
      </c>
      <c r="C1582" t="s">
        <v>2232</v>
      </c>
      <c r="D1582" s="14">
        <v>1.88</v>
      </c>
      <c r="E1582" s="15">
        <v>25</v>
      </c>
    </row>
    <row r="1583" spans="1:5">
      <c r="A1583">
        <v>2024</v>
      </c>
      <c r="B1583" t="s">
        <v>2215</v>
      </c>
      <c r="C1583" t="s">
        <v>2232</v>
      </c>
      <c r="D1583" s="14">
        <v>2.2200000000000002</v>
      </c>
      <c r="E1583" s="15">
        <v>25</v>
      </c>
    </row>
    <row r="1584" spans="1:5">
      <c r="A1584">
        <v>2024</v>
      </c>
      <c r="B1584" t="s">
        <v>2216</v>
      </c>
      <c r="C1584" t="s">
        <v>2232</v>
      </c>
      <c r="D1584" s="14">
        <v>1.04</v>
      </c>
      <c r="E1584" s="15">
        <v>25</v>
      </c>
    </row>
    <row r="1585" spans="1:5">
      <c r="A1585">
        <v>2024</v>
      </c>
      <c r="B1585" t="s">
        <v>2217</v>
      </c>
      <c r="C1585" t="s">
        <v>2232</v>
      </c>
      <c r="D1585" s="14">
        <v>4.4400000000000004</v>
      </c>
      <c r="E1585" s="15">
        <v>25</v>
      </c>
    </row>
    <row r="1586" spans="1:5">
      <c r="A1586">
        <v>2024</v>
      </c>
      <c r="B1586" t="s">
        <v>2218</v>
      </c>
      <c r="C1586" t="s">
        <v>2232</v>
      </c>
      <c r="D1586" s="14">
        <v>4.95</v>
      </c>
      <c r="E1586" s="15">
        <v>25</v>
      </c>
    </row>
    <row r="1587" spans="1:5">
      <c r="A1587">
        <v>2024</v>
      </c>
      <c r="B1587" t="s">
        <v>2219</v>
      </c>
      <c r="C1587" t="s">
        <v>2232</v>
      </c>
      <c r="D1587" s="14">
        <v>2.58</v>
      </c>
      <c r="E1587" s="15">
        <v>25</v>
      </c>
    </row>
    <row r="1588" spans="1:5">
      <c r="A1588">
        <v>2024</v>
      </c>
      <c r="B1588" t="s">
        <v>2220</v>
      </c>
      <c r="C1588" t="s">
        <v>2232</v>
      </c>
      <c r="D1588" s="14">
        <v>1.88</v>
      </c>
      <c r="E1588" s="15">
        <v>25</v>
      </c>
    </row>
    <row r="1589" spans="1:5">
      <c r="A1589">
        <v>2024</v>
      </c>
      <c r="B1589" t="s">
        <v>2221</v>
      </c>
      <c r="C1589" t="s">
        <v>2232</v>
      </c>
      <c r="D1589" s="14">
        <v>3.49</v>
      </c>
      <c r="E1589" s="15">
        <v>25</v>
      </c>
    </row>
    <row r="1590" spans="1:5">
      <c r="A1590">
        <v>2024</v>
      </c>
      <c r="B1590" t="s">
        <v>2222</v>
      </c>
      <c r="C1590" t="s">
        <v>2232</v>
      </c>
      <c r="D1590" s="14">
        <v>1.74</v>
      </c>
      <c r="E1590" s="15">
        <v>25</v>
      </c>
    </row>
    <row r="1591" spans="1:5">
      <c r="A1591">
        <v>2024</v>
      </c>
      <c r="B1591" t="s">
        <v>2223</v>
      </c>
      <c r="C1591" t="s">
        <v>2232</v>
      </c>
      <c r="D1591" s="14">
        <v>0.25</v>
      </c>
      <c r="E1591" s="15">
        <v>25</v>
      </c>
    </row>
    <row r="1592" spans="1:5">
      <c r="A1592">
        <v>2025</v>
      </c>
      <c r="B1592" t="s">
        <v>2213</v>
      </c>
      <c r="C1592" t="s">
        <v>2232</v>
      </c>
      <c r="D1592" s="14">
        <v>1.5</v>
      </c>
      <c r="E1592" s="15">
        <v>20</v>
      </c>
    </row>
    <row r="1593" spans="1:5">
      <c r="A1593">
        <v>2025</v>
      </c>
      <c r="B1593" t="s">
        <v>2215</v>
      </c>
      <c r="C1593" t="s">
        <v>2232</v>
      </c>
      <c r="D1593" s="14">
        <v>1.81</v>
      </c>
      <c r="E1593" s="15">
        <v>20</v>
      </c>
    </row>
    <row r="1594" spans="1:5">
      <c r="A1594">
        <v>2025</v>
      </c>
      <c r="B1594" t="s">
        <v>2216</v>
      </c>
      <c r="C1594" t="s">
        <v>2232</v>
      </c>
      <c r="D1594" s="14">
        <v>0.77</v>
      </c>
      <c r="E1594" s="15">
        <v>20</v>
      </c>
    </row>
    <row r="1595" spans="1:5">
      <c r="A1595">
        <v>2025</v>
      </c>
      <c r="B1595" t="s">
        <v>2217</v>
      </c>
      <c r="C1595" t="s">
        <v>2232</v>
      </c>
      <c r="D1595" s="14">
        <v>3.74</v>
      </c>
      <c r="E1595" s="15">
        <v>20</v>
      </c>
    </row>
    <row r="1596" spans="1:5">
      <c r="A1596">
        <v>2025</v>
      </c>
      <c r="B1596" t="s">
        <v>2218</v>
      </c>
      <c r="C1596" t="s">
        <v>2232</v>
      </c>
      <c r="D1596" s="14">
        <v>4.03</v>
      </c>
      <c r="E1596" s="15">
        <v>20</v>
      </c>
    </row>
    <row r="1597" spans="1:5">
      <c r="A1597">
        <v>2025</v>
      </c>
      <c r="B1597" t="s">
        <v>2219</v>
      </c>
      <c r="C1597" t="s">
        <v>2232</v>
      </c>
      <c r="D1597" s="14">
        <v>2</v>
      </c>
      <c r="E1597" s="15">
        <v>20</v>
      </c>
    </row>
    <row r="1598" spans="1:5">
      <c r="A1598">
        <v>2025</v>
      </c>
      <c r="B1598" t="s">
        <v>2220</v>
      </c>
      <c r="C1598" t="s">
        <v>2232</v>
      </c>
      <c r="D1598" s="14">
        <v>1.33</v>
      </c>
      <c r="E1598" s="15">
        <v>20</v>
      </c>
    </row>
    <row r="1599" spans="1:5">
      <c r="A1599">
        <v>2025</v>
      </c>
      <c r="B1599" t="s">
        <v>2221</v>
      </c>
      <c r="C1599" t="s">
        <v>2232</v>
      </c>
      <c r="D1599" s="14">
        <v>2.65</v>
      </c>
      <c r="E1599" s="15">
        <v>20</v>
      </c>
    </row>
    <row r="1600" spans="1:5">
      <c r="A1600">
        <v>2025</v>
      </c>
      <c r="B1600" t="s">
        <v>2222</v>
      </c>
      <c r="C1600" t="s">
        <v>2232</v>
      </c>
      <c r="D1600" s="14">
        <v>1.3</v>
      </c>
      <c r="E1600" s="15">
        <v>20</v>
      </c>
    </row>
    <row r="1601" spans="1:5">
      <c r="A1601">
        <v>2025</v>
      </c>
      <c r="B1601" t="s">
        <v>2223</v>
      </c>
      <c r="C1601" t="s">
        <v>2232</v>
      </c>
      <c r="D1601" s="14">
        <v>0.2</v>
      </c>
      <c r="E1601" s="15">
        <v>20</v>
      </c>
    </row>
    <row r="1602" spans="1:5">
      <c r="A1602">
        <v>2026</v>
      </c>
      <c r="B1602" t="s">
        <v>2213</v>
      </c>
      <c r="C1602" t="s">
        <v>2232</v>
      </c>
      <c r="D1602" s="14">
        <v>1.1000000000000001</v>
      </c>
      <c r="E1602" s="15">
        <v>15</v>
      </c>
    </row>
    <row r="1603" spans="1:5">
      <c r="A1603">
        <v>2026</v>
      </c>
      <c r="B1603" t="s">
        <v>2215</v>
      </c>
      <c r="C1603" t="s">
        <v>2232</v>
      </c>
      <c r="D1603" s="14">
        <v>1.37</v>
      </c>
      <c r="E1603" s="15">
        <v>15</v>
      </c>
    </row>
    <row r="1604" spans="1:5">
      <c r="A1604">
        <v>2026</v>
      </c>
      <c r="B1604" t="s">
        <v>2216</v>
      </c>
      <c r="C1604" t="s">
        <v>2232</v>
      </c>
      <c r="D1604" s="14">
        <v>0.65</v>
      </c>
      <c r="E1604" s="15">
        <v>15</v>
      </c>
    </row>
    <row r="1605" spans="1:5">
      <c r="A1605">
        <v>2026</v>
      </c>
      <c r="B1605" t="s">
        <v>2217</v>
      </c>
      <c r="C1605" t="s">
        <v>2232</v>
      </c>
      <c r="D1605" s="14">
        <v>2.76</v>
      </c>
      <c r="E1605" s="15">
        <v>15</v>
      </c>
    </row>
    <row r="1606" spans="1:5">
      <c r="A1606">
        <v>2026</v>
      </c>
      <c r="B1606" t="s">
        <v>2218</v>
      </c>
      <c r="C1606" t="s">
        <v>2232</v>
      </c>
      <c r="D1606" s="14">
        <v>3.18</v>
      </c>
      <c r="E1606" s="15">
        <v>15</v>
      </c>
    </row>
    <row r="1607" spans="1:5">
      <c r="A1607">
        <v>2026</v>
      </c>
      <c r="B1607" t="s">
        <v>2219</v>
      </c>
      <c r="C1607" t="s">
        <v>2232</v>
      </c>
      <c r="D1607" s="14">
        <v>1.54</v>
      </c>
      <c r="E1607" s="15">
        <v>15</v>
      </c>
    </row>
    <row r="1608" spans="1:5">
      <c r="A1608">
        <v>2026</v>
      </c>
      <c r="B1608" t="s">
        <v>2220</v>
      </c>
      <c r="C1608" t="s">
        <v>2232</v>
      </c>
      <c r="D1608" s="14">
        <v>1.1000000000000001</v>
      </c>
      <c r="E1608" s="15">
        <v>15</v>
      </c>
    </row>
    <row r="1609" spans="1:5">
      <c r="A1609">
        <v>2026</v>
      </c>
      <c r="B1609" t="s">
        <v>2221</v>
      </c>
      <c r="C1609" t="s">
        <v>2232</v>
      </c>
      <c r="D1609" s="14">
        <v>2.13</v>
      </c>
      <c r="E1609" s="15">
        <v>15</v>
      </c>
    </row>
    <row r="1610" spans="1:5">
      <c r="A1610">
        <v>2026</v>
      </c>
      <c r="B1610" t="s">
        <v>2222</v>
      </c>
      <c r="C1610" t="s">
        <v>2232</v>
      </c>
      <c r="D1610" s="14">
        <v>1.02</v>
      </c>
      <c r="E1610" s="15">
        <v>15</v>
      </c>
    </row>
    <row r="1611" spans="1:5">
      <c r="A1611">
        <v>2026</v>
      </c>
      <c r="B1611" t="s">
        <v>2223</v>
      </c>
      <c r="C1611" t="s">
        <v>2232</v>
      </c>
      <c r="D1611" s="14">
        <v>0.15</v>
      </c>
      <c r="E1611" s="15">
        <v>15</v>
      </c>
    </row>
    <row r="1612" spans="1:5">
      <c r="A1612">
        <v>2010</v>
      </c>
      <c r="B1612" t="s">
        <v>2213</v>
      </c>
      <c r="C1612" t="s">
        <v>2233</v>
      </c>
      <c r="D1612" s="14">
        <v>5.91</v>
      </c>
      <c r="E1612" s="15">
        <v>115</v>
      </c>
    </row>
    <row r="1613" spans="1:5">
      <c r="A1613">
        <v>2010</v>
      </c>
      <c r="B1613" t="s">
        <v>2215</v>
      </c>
      <c r="C1613" t="s">
        <v>2233</v>
      </c>
      <c r="D1613" s="14">
        <v>6.9</v>
      </c>
      <c r="E1613" s="15">
        <v>115</v>
      </c>
    </row>
    <row r="1614" spans="1:5">
      <c r="A1614">
        <v>2010</v>
      </c>
      <c r="B1614" t="s">
        <v>2216</v>
      </c>
      <c r="C1614" t="s">
        <v>2233</v>
      </c>
      <c r="D1614" s="14">
        <v>4.6399999999999997</v>
      </c>
      <c r="E1614" s="15">
        <v>115</v>
      </c>
    </row>
    <row r="1615" spans="1:5">
      <c r="A1615">
        <v>2010</v>
      </c>
      <c r="B1615" t="s">
        <v>2217</v>
      </c>
      <c r="C1615" t="s">
        <v>2233</v>
      </c>
      <c r="D1615" s="14">
        <v>20.5</v>
      </c>
      <c r="E1615" s="15">
        <v>115</v>
      </c>
    </row>
    <row r="1616" spans="1:5">
      <c r="A1616">
        <v>2010</v>
      </c>
      <c r="B1616" t="s">
        <v>2218</v>
      </c>
      <c r="C1616" t="s">
        <v>2233</v>
      </c>
      <c r="D1616" s="14">
        <v>22.46</v>
      </c>
      <c r="E1616" s="15">
        <v>115</v>
      </c>
    </row>
    <row r="1617" spans="1:5">
      <c r="A1617">
        <v>2010</v>
      </c>
      <c r="B1617" t="s">
        <v>2219</v>
      </c>
      <c r="C1617" t="s">
        <v>2233</v>
      </c>
      <c r="D1617" s="14">
        <v>12.27</v>
      </c>
      <c r="E1617" s="15">
        <v>115</v>
      </c>
    </row>
    <row r="1618" spans="1:5">
      <c r="A1618">
        <v>2010</v>
      </c>
      <c r="B1618" t="s">
        <v>2220</v>
      </c>
      <c r="C1618" t="s">
        <v>2233</v>
      </c>
      <c r="D1618" s="14">
        <v>7.7</v>
      </c>
      <c r="E1618" s="15">
        <v>115</v>
      </c>
    </row>
    <row r="1619" spans="1:5">
      <c r="A1619">
        <v>2010</v>
      </c>
      <c r="B1619" t="s">
        <v>2221</v>
      </c>
      <c r="C1619" t="s">
        <v>2233</v>
      </c>
      <c r="D1619" s="14">
        <v>26</v>
      </c>
      <c r="E1619" s="15">
        <v>115</v>
      </c>
    </row>
    <row r="1620" spans="1:5">
      <c r="A1620">
        <v>2010</v>
      </c>
      <c r="B1620" t="s">
        <v>2222</v>
      </c>
      <c r="C1620" t="s">
        <v>2233</v>
      </c>
      <c r="D1620" s="14">
        <v>8.2200000000000006</v>
      </c>
      <c r="E1620" s="15">
        <v>115</v>
      </c>
    </row>
    <row r="1621" spans="1:5">
      <c r="A1621">
        <v>2010</v>
      </c>
      <c r="B1621" t="s">
        <v>2223</v>
      </c>
      <c r="C1621" t="s">
        <v>2233</v>
      </c>
      <c r="D1621" s="14">
        <v>1.08</v>
      </c>
      <c r="E1621" s="15">
        <v>115</v>
      </c>
    </row>
    <row r="1622" spans="1:5">
      <c r="A1622">
        <v>2011</v>
      </c>
      <c r="B1622" t="s">
        <v>2213</v>
      </c>
      <c r="C1622" t="s">
        <v>2233</v>
      </c>
      <c r="D1622" s="14">
        <v>5.42</v>
      </c>
      <c r="E1622" s="15">
        <v>112</v>
      </c>
    </row>
    <row r="1623" spans="1:5">
      <c r="A1623">
        <v>2011</v>
      </c>
      <c r="B1623" t="s">
        <v>2215</v>
      </c>
      <c r="C1623" t="s">
        <v>2233</v>
      </c>
      <c r="D1623" s="14">
        <v>6.54</v>
      </c>
      <c r="E1623" s="15">
        <v>112</v>
      </c>
    </row>
    <row r="1624" spans="1:5">
      <c r="A1624">
        <v>2011</v>
      </c>
      <c r="B1624" t="s">
        <v>2216</v>
      </c>
      <c r="C1624" t="s">
        <v>2233</v>
      </c>
      <c r="D1624" s="14">
        <v>4.58</v>
      </c>
      <c r="E1624" s="15">
        <v>112</v>
      </c>
    </row>
    <row r="1625" spans="1:5">
      <c r="A1625">
        <v>2011</v>
      </c>
      <c r="B1625" t="s">
        <v>2217</v>
      </c>
      <c r="C1625" t="s">
        <v>2233</v>
      </c>
      <c r="D1625" s="14">
        <v>19.87</v>
      </c>
      <c r="E1625" s="15">
        <v>112</v>
      </c>
    </row>
    <row r="1626" spans="1:5">
      <c r="A1626">
        <v>2011</v>
      </c>
      <c r="B1626" t="s">
        <v>2218</v>
      </c>
      <c r="C1626" t="s">
        <v>2233</v>
      </c>
      <c r="D1626" s="14">
        <v>22.32</v>
      </c>
      <c r="E1626" s="15">
        <v>112</v>
      </c>
    </row>
    <row r="1627" spans="1:5">
      <c r="A1627">
        <v>2011</v>
      </c>
      <c r="B1627" t="s">
        <v>2219</v>
      </c>
      <c r="C1627" t="s">
        <v>2233</v>
      </c>
      <c r="D1627" s="14">
        <v>10.57</v>
      </c>
      <c r="E1627" s="15">
        <v>112</v>
      </c>
    </row>
    <row r="1628" spans="1:5">
      <c r="A1628">
        <v>2011</v>
      </c>
      <c r="B1628" t="s">
        <v>2220</v>
      </c>
      <c r="C1628" t="s">
        <v>2233</v>
      </c>
      <c r="D1628" s="14">
        <v>8.6</v>
      </c>
      <c r="E1628" s="15">
        <v>112</v>
      </c>
    </row>
    <row r="1629" spans="1:5">
      <c r="A1629">
        <v>2011</v>
      </c>
      <c r="B1629" t="s">
        <v>2221</v>
      </c>
      <c r="C1629" t="s">
        <v>2233</v>
      </c>
      <c r="D1629" s="14">
        <v>24.71</v>
      </c>
      <c r="E1629" s="15">
        <v>112</v>
      </c>
    </row>
    <row r="1630" spans="1:5">
      <c r="A1630">
        <v>2011</v>
      </c>
      <c r="B1630" t="s">
        <v>2222</v>
      </c>
      <c r="C1630" t="s">
        <v>2233</v>
      </c>
      <c r="D1630" s="14">
        <v>8</v>
      </c>
      <c r="E1630" s="15">
        <v>112</v>
      </c>
    </row>
    <row r="1631" spans="1:5">
      <c r="A1631">
        <v>2011</v>
      </c>
      <c r="B1631" t="s">
        <v>2223</v>
      </c>
      <c r="C1631" t="s">
        <v>2233</v>
      </c>
      <c r="D1631" s="14">
        <v>1.1000000000000001</v>
      </c>
      <c r="E1631" s="15">
        <v>112</v>
      </c>
    </row>
    <row r="1632" spans="1:5">
      <c r="A1632">
        <v>2012</v>
      </c>
      <c r="B1632" t="s">
        <v>2213</v>
      </c>
      <c r="C1632" t="s">
        <v>2233</v>
      </c>
      <c r="D1632" s="14">
        <v>5.31</v>
      </c>
      <c r="E1632" s="15">
        <v>109</v>
      </c>
    </row>
    <row r="1633" spans="1:5">
      <c r="A1633">
        <v>2012</v>
      </c>
      <c r="B1633" t="s">
        <v>2215</v>
      </c>
      <c r="C1633" t="s">
        <v>2233</v>
      </c>
      <c r="D1633" s="14">
        <v>7.06</v>
      </c>
      <c r="E1633" s="15">
        <v>109</v>
      </c>
    </row>
    <row r="1634" spans="1:5">
      <c r="A1634">
        <v>2012</v>
      </c>
      <c r="B1634" t="s">
        <v>2216</v>
      </c>
      <c r="C1634" t="s">
        <v>2233</v>
      </c>
      <c r="D1634" s="14">
        <v>4.04</v>
      </c>
      <c r="E1634" s="15">
        <v>109</v>
      </c>
    </row>
    <row r="1635" spans="1:5">
      <c r="A1635">
        <v>2012</v>
      </c>
      <c r="B1635" t="s">
        <v>2217</v>
      </c>
      <c r="C1635" t="s">
        <v>2233</v>
      </c>
      <c r="D1635" s="14">
        <v>19.84</v>
      </c>
      <c r="E1635" s="15">
        <v>109</v>
      </c>
    </row>
    <row r="1636" spans="1:5">
      <c r="A1636">
        <v>2012</v>
      </c>
      <c r="B1636" t="s">
        <v>2218</v>
      </c>
      <c r="C1636" t="s">
        <v>2233</v>
      </c>
      <c r="D1636" s="14">
        <v>20.77</v>
      </c>
      <c r="E1636" s="15">
        <v>109</v>
      </c>
    </row>
    <row r="1637" spans="1:5">
      <c r="A1637">
        <v>2012</v>
      </c>
      <c r="B1637" t="s">
        <v>2219</v>
      </c>
      <c r="C1637" t="s">
        <v>2233</v>
      </c>
      <c r="D1637" s="14">
        <v>10.72</v>
      </c>
      <c r="E1637" s="15">
        <v>109</v>
      </c>
    </row>
    <row r="1638" spans="1:5">
      <c r="A1638">
        <v>2012</v>
      </c>
      <c r="B1638" t="s">
        <v>2220</v>
      </c>
      <c r="C1638" t="s">
        <v>2233</v>
      </c>
      <c r="D1638" s="14">
        <v>7.44</v>
      </c>
      <c r="E1638" s="15">
        <v>109</v>
      </c>
    </row>
    <row r="1639" spans="1:5">
      <c r="A1639">
        <v>2012</v>
      </c>
      <c r="B1639" t="s">
        <v>2221</v>
      </c>
      <c r="C1639" t="s">
        <v>2233</v>
      </c>
      <c r="D1639" s="14">
        <v>23.05</v>
      </c>
      <c r="E1639" s="15">
        <v>109</v>
      </c>
    </row>
    <row r="1640" spans="1:5">
      <c r="A1640">
        <v>2012</v>
      </c>
      <c r="B1640" t="s">
        <v>2222</v>
      </c>
      <c r="C1640" t="s">
        <v>2233</v>
      </c>
      <c r="D1640" s="14">
        <v>7.64</v>
      </c>
      <c r="E1640" s="15">
        <v>109</v>
      </c>
    </row>
    <row r="1641" spans="1:5">
      <c r="A1641">
        <v>2012</v>
      </c>
      <c r="B1641" t="s">
        <v>2223</v>
      </c>
      <c r="C1641" t="s">
        <v>2233</v>
      </c>
      <c r="D1641" s="14">
        <v>0.98</v>
      </c>
      <c r="E1641" s="15">
        <v>109</v>
      </c>
    </row>
    <row r="1642" spans="1:5">
      <c r="A1642">
        <v>2013</v>
      </c>
      <c r="B1642" t="s">
        <v>2213</v>
      </c>
      <c r="C1642" t="s">
        <v>2233</v>
      </c>
      <c r="D1642" s="14">
        <v>5.23</v>
      </c>
      <c r="E1642" s="15">
        <v>106</v>
      </c>
    </row>
    <row r="1643" spans="1:5">
      <c r="A1643">
        <v>2013</v>
      </c>
      <c r="B1643" t="s">
        <v>2215</v>
      </c>
      <c r="C1643" t="s">
        <v>2233</v>
      </c>
      <c r="D1643" s="14">
        <v>6.34</v>
      </c>
      <c r="E1643" s="15">
        <v>106</v>
      </c>
    </row>
    <row r="1644" spans="1:5">
      <c r="A1644">
        <v>2013</v>
      </c>
      <c r="B1644" t="s">
        <v>2216</v>
      </c>
      <c r="C1644" t="s">
        <v>2233</v>
      </c>
      <c r="D1644" s="14">
        <v>4.0199999999999996</v>
      </c>
      <c r="E1644" s="15">
        <v>106</v>
      </c>
    </row>
    <row r="1645" spans="1:5">
      <c r="A1645">
        <v>2013</v>
      </c>
      <c r="B1645" t="s">
        <v>2217</v>
      </c>
      <c r="C1645" t="s">
        <v>2233</v>
      </c>
      <c r="D1645" s="14">
        <v>20.27</v>
      </c>
      <c r="E1645" s="15">
        <v>106</v>
      </c>
    </row>
    <row r="1646" spans="1:5">
      <c r="A1646">
        <v>2013</v>
      </c>
      <c r="B1646" t="s">
        <v>2218</v>
      </c>
      <c r="C1646" t="s">
        <v>2233</v>
      </c>
      <c r="D1646" s="14">
        <v>20.7</v>
      </c>
      <c r="E1646" s="15">
        <v>106</v>
      </c>
    </row>
    <row r="1647" spans="1:5">
      <c r="A1647">
        <v>2013</v>
      </c>
      <c r="B1647" t="s">
        <v>2219</v>
      </c>
      <c r="C1647" t="s">
        <v>2233</v>
      </c>
      <c r="D1647" s="14">
        <v>10.5</v>
      </c>
      <c r="E1647" s="15">
        <v>106</v>
      </c>
    </row>
    <row r="1648" spans="1:5">
      <c r="A1648">
        <v>2013</v>
      </c>
      <c r="B1648" t="s">
        <v>2220</v>
      </c>
      <c r="C1648" t="s">
        <v>2233</v>
      </c>
      <c r="D1648" s="14">
        <v>7.25</v>
      </c>
      <c r="E1648" s="15">
        <v>106</v>
      </c>
    </row>
    <row r="1649" spans="1:5">
      <c r="A1649">
        <v>2013</v>
      </c>
      <c r="B1649" t="s">
        <v>2221</v>
      </c>
      <c r="C1649" t="s">
        <v>2233</v>
      </c>
      <c r="D1649" s="14">
        <v>23.24</v>
      </c>
      <c r="E1649" s="15">
        <v>106</v>
      </c>
    </row>
    <row r="1650" spans="1:5">
      <c r="A1650">
        <v>2013</v>
      </c>
      <c r="B1650" t="s">
        <v>2222</v>
      </c>
      <c r="C1650" t="s">
        <v>2233</v>
      </c>
      <c r="D1650" s="14">
        <v>7.82</v>
      </c>
      <c r="E1650" s="15">
        <v>106</v>
      </c>
    </row>
    <row r="1651" spans="1:5">
      <c r="A1651">
        <v>2013</v>
      </c>
      <c r="B1651" t="s">
        <v>2223</v>
      </c>
      <c r="C1651" t="s">
        <v>2233</v>
      </c>
      <c r="D1651" s="14">
        <v>1.17</v>
      </c>
      <c r="E1651" s="15">
        <v>106</v>
      </c>
    </row>
    <row r="1652" spans="1:5">
      <c r="A1652">
        <v>2014</v>
      </c>
      <c r="B1652" t="s">
        <v>2213</v>
      </c>
      <c r="C1652" t="s">
        <v>2233</v>
      </c>
      <c r="D1652" s="14">
        <v>5.31</v>
      </c>
      <c r="E1652" s="15">
        <v>103</v>
      </c>
    </row>
    <row r="1653" spans="1:5">
      <c r="A1653">
        <v>2014</v>
      </c>
      <c r="B1653" t="s">
        <v>2215</v>
      </c>
      <c r="C1653" t="s">
        <v>2233</v>
      </c>
      <c r="D1653" s="14">
        <v>6.45</v>
      </c>
      <c r="E1653" s="15">
        <v>103</v>
      </c>
    </row>
    <row r="1654" spans="1:5">
      <c r="A1654">
        <v>2014</v>
      </c>
      <c r="B1654" t="s">
        <v>2216</v>
      </c>
      <c r="C1654" t="s">
        <v>2233</v>
      </c>
      <c r="D1654" s="14">
        <v>4.41</v>
      </c>
      <c r="E1654" s="15">
        <v>103</v>
      </c>
    </row>
    <row r="1655" spans="1:5">
      <c r="A1655">
        <v>2014</v>
      </c>
      <c r="B1655" t="s">
        <v>2217</v>
      </c>
      <c r="C1655" t="s">
        <v>2233</v>
      </c>
      <c r="D1655" s="14">
        <v>18.73</v>
      </c>
      <c r="E1655" s="15">
        <v>103</v>
      </c>
    </row>
    <row r="1656" spans="1:5">
      <c r="A1656">
        <v>2014</v>
      </c>
      <c r="B1656" t="s">
        <v>2218</v>
      </c>
      <c r="C1656" t="s">
        <v>2233</v>
      </c>
      <c r="D1656" s="14">
        <v>21.94</v>
      </c>
      <c r="E1656" s="15">
        <v>103</v>
      </c>
    </row>
    <row r="1657" spans="1:5">
      <c r="A1657">
        <v>2014</v>
      </c>
      <c r="B1657" t="s">
        <v>2219</v>
      </c>
      <c r="C1657" t="s">
        <v>2233</v>
      </c>
      <c r="D1657" s="14">
        <v>10.63</v>
      </c>
      <c r="E1657" s="15">
        <v>103</v>
      </c>
    </row>
    <row r="1658" spans="1:5">
      <c r="A1658">
        <v>2014</v>
      </c>
      <c r="B1658" t="s">
        <v>2220</v>
      </c>
      <c r="C1658" t="s">
        <v>2233</v>
      </c>
      <c r="D1658" s="14">
        <v>7.25</v>
      </c>
      <c r="E1658" s="15">
        <v>103</v>
      </c>
    </row>
    <row r="1659" spans="1:5">
      <c r="A1659">
        <v>2014</v>
      </c>
      <c r="B1659" t="s">
        <v>2221</v>
      </c>
      <c r="C1659" t="s">
        <v>2233</v>
      </c>
      <c r="D1659" s="14">
        <v>22.98</v>
      </c>
      <c r="E1659" s="15">
        <v>103</v>
      </c>
    </row>
    <row r="1660" spans="1:5">
      <c r="A1660">
        <v>2014</v>
      </c>
      <c r="B1660" t="s">
        <v>2222</v>
      </c>
      <c r="C1660" t="s">
        <v>2233</v>
      </c>
      <c r="D1660" s="14">
        <v>6.7</v>
      </c>
      <c r="E1660" s="15">
        <v>103</v>
      </c>
    </row>
    <row r="1661" spans="1:5">
      <c r="A1661">
        <v>2014</v>
      </c>
      <c r="B1661" t="s">
        <v>2223</v>
      </c>
      <c r="C1661" t="s">
        <v>2233</v>
      </c>
      <c r="D1661" s="14">
        <v>1.04</v>
      </c>
      <c r="E1661" s="15">
        <v>103</v>
      </c>
    </row>
    <row r="1662" spans="1:5">
      <c r="A1662">
        <v>2015</v>
      </c>
      <c r="B1662" t="s">
        <v>2213</v>
      </c>
      <c r="C1662" t="s">
        <v>2233</v>
      </c>
      <c r="D1662" s="14">
        <v>4.7</v>
      </c>
      <c r="E1662" s="15">
        <v>100</v>
      </c>
    </row>
    <row r="1663" spans="1:5">
      <c r="A1663">
        <v>2015</v>
      </c>
      <c r="B1663" t="s">
        <v>2215</v>
      </c>
      <c r="C1663" t="s">
        <v>2233</v>
      </c>
      <c r="D1663" s="14">
        <v>5.62</v>
      </c>
      <c r="E1663" s="15">
        <v>100</v>
      </c>
    </row>
    <row r="1664" spans="1:5">
      <c r="A1664">
        <v>2015</v>
      </c>
      <c r="B1664" t="s">
        <v>2216</v>
      </c>
      <c r="C1664" t="s">
        <v>2233</v>
      </c>
      <c r="D1664" s="14">
        <v>4.03</v>
      </c>
      <c r="E1664" s="15">
        <v>100</v>
      </c>
    </row>
    <row r="1665" spans="1:5">
      <c r="A1665">
        <v>2015</v>
      </c>
      <c r="B1665" t="s">
        <v>2217</v>
      </c>
      <c r="C1665" t="s">
        <v>2233</v>
      </c>
      <c r="D1665" s="14">
        <v>17.22</v>
      </c>
      <c r="E1665" s="15">
        <v>100</v>
      </c>
    </row>
    <row r="1666" spans="1:5">
      <c r="A1666">
        <v>2015</v>
      </c>
      <c r="B1666" t="s">
        <v>2218</v>
      </c>
      <c r="C1666" t="s">
        <v>2233</v>
      </c>
      <c r="D1666" s="14">
        <v>19.989999999999998</v>
      </c>
      <c r="E1666" s="15">
        <v>100</v>
      </c>
    </row>
    <row r="1667" spans="1:5">
      <c r="A1667">
        <v>2015</v>
      </c>
      <c r="B1667" t="s">
        <v>2219</v>
      </c>
      <c r="C1667" t="s">
        <v>2233</v>
      </c>
      <c r="D1667" s="14">
        <v>10.06</v>
      </c>
      <c r="E1667" s="15">
        <v>100</v>
      </c>
    </row>
    <row r="1668" spans="1:5">
      <c r="A1668">
        <v>2015</v>
      </c>
      <c r="B1668" t="s">
        <v>2220</v>
      </c>
      <c r="C1668" t="s">
        <v>2233</v>
      </c>
      <c r="D1668" s="14">
        <v>7.05</v>
      </c>
      <c r="E1668" s="15">
        <v>100</v>
      </c>
    </row>
    <row r="1669" spans="1:5">
      <c r="A1669">
        <v>2015</v>
      </c>
      <c r="B1669" t="s">
        <v>2221</v>
      </c>
      <c r="C1669" t="s">
        <v>2233</v>
      </c>
      <c r="D1669" s="14">
        <v>21.22</v>
      </c>
      <c r="E1669" s="15">
        <v>100</v>
      </c>
    </row>
    <row r="1670" spans="1:5">
      <c r="A1670">
        <v>2015</v>
      </c>
      <c r="B1670" t="s">
        <v>2222</v>
      </c>
      <c r="C1670" t="s">
        <v>2233</v>
      </c>
      <c r="D1670" s="14">
        <v>7.26</v>
      </c>
      <c r="E1670" s="15">
        <v>100</v>
      </c>
    </row>
    <row r="1671" spans="1:5">
      <c r="A1671">
        <v>2015</v>
      </c>
      <c r="B1671" t="s">
        <v>2223</v>
      </c>
      <c r="C1671" t="s">
        <v>2233</v>
      </c>
      <c r="D1671" s="14">
        <v>1</v>
      </c>
      <c r="E1671" s="15">
        <v>100</v>
      </c>
    </row>
    <row r="1672" spans="1:5">
      <c r="A1672">
        <v>2016</v>
      </c>
      <c r="B1672" t="s">
        <v>2213</v>
      </c>
      <c r="C1672" t="s">
        <v>2233</v>
      </c>
      <c r="D1672" s="14">
        <v>4.96</v>
      </c>
      <c r="E1672" s="15">
        <v>97.5</v>
      </c>
    </row>
    <row r="1673" spans="1:5">
      <c r="A1673">
        <v>2016</v>
      </c>
      <c r="B1673" t="s">
        <v>2215</v>
      </c>
      <c r="C1673" t="s">
        <v>2233</v>
      </c>
      <c r="D1673" s="14">
        <v>5.58</v>
      </c>
      <c r="E1673" s="15">
        <v>97.5</v>
      </c>
    </row>
    <row r="1674" spans="1:5">
      <c r="A1674">
        <v>2016</v>
      </c>
      <c r="B1674" t="s">
        <v>2216</v>
      </c>
      <c r="C1674" t="s">
        <v>2233</v>
      </c>
      <c r="D1674" s="14">
        <v>3.87</v>
      </c>
      <c r="E1674" s="15">
        <v>97.5</v>
      </c>
    </row>
    <row r="1675" spans="1:5">
      <c r="A1675">
        <v>2016</v>
      </c>
      <c r="B1675" t="s">
        <v>2217</v>
      </c>
      <c r="C1675" t="s">
        <v>2233</v>
      </c>
      <c r="D1675" s="14">
        <v>18.34</v>
      </c>
      <c r="E1675" s="15">
        <v>97.5</v>
      </c>
    </row>
    <row r="1676" spans="1:5">
      <c r="A1676">
        <v>2016</v>
      </c>
      <c r="B1676" t="s">
        <v>2218</v>
      </c>
      <c r="C1676" t="s">
        <v>2233</v>
      </c>
      <c r="D1676" s="14">
        <v>20.27</v>
      </c>
      <c r="E1676" s="15">
        <v>97.5</v>
      </c>
    </row>
    <row r="1677" spans="1:5">
      <c r="A1677">
        <v>2016</v>
      </c>
      <c r="B1677" t="s">
        <v>2219</v>
      </c>
      <c r="C1677" t="s">
        <v>2233</v>
      </c>
      <c r="D1677" s="14">
        <v>9.44</v>
      </c>
      <c r="E1677" s="15">
        <v>97.5</v>
      </c>
    </row>
    <row r="1678" spans="1:5">
      <c r="A1678">
        <v>2016</v>
      </c>
      <c r="B1678" t="s">
        <v>2220</v>
      </c>
      <c r="C1678" t="s">
        <v>2233</v>
      </c>
      <c r="D1678" s="14">
        <v>6.68</v>
      </c>
      <c r="E1678" s="15">
        <v>97.5</v>
      </c>
    </row>
    <row r="1679" spans="1:5">
      <c r="A1679">
        <v>2016</v>
      </c>
      <c r="B1679" t="s">
        <v>2221</v>
      </c>
      <c r="C1679" t="s">
        <v>2233</v>
      </c>
      <c r="D1679" s="14">
        <v>20.62</v>
      </c>
      <c r="E1679" s="15">
        <v>97.5</v>
      </c>
    </row>
    <row r="1680" spans="1:5">
      <c r="A1680">
        <v>2016</v>
      </c>
      <c r="B1680" t="s">
        <v>2222</v>
      </c>
      <c r="C1680" t="s">
        <v>2233</v>
      </c>
      <c r="D1680" s="14">
        <v>6.65</v>
      </c>
      <c r="E1680" s="15">
        <v>97.5</v>
      </c>
    </row>
    <row r="1681" spans="1:5">
      <c r="A1681">
        <v>2016</v>
      </c>
      <c r="B1681" t="s">
        <v>2223</v>
      </c>
      <c r="C1681" t="s">
        <v>2233</v>
      </c>
      <c r="D1681" s="14">
        <v>0.92</v>
      </c>
      <c r="E1681" s="15">
        <v>97.5</v>
      </c>
    </row>
    <row r="1682" spans="1:5">
      <c r="A1682">
        <v>2017</v>
      </c>
      <c r="B1682" t="s">
        <v>2213</v>
      </c>
      <c r="C1682" t="s">
        <v>2233</v>
      </c>
      <c r="D1682" s="14">
        <v>4.72</v>
      </c>
      <c r="E1682" s="15">
        <v>95</v>
      </c>
    </row>
    <row r="1683" spans="1:5">
      <c r="A1683">
        <v>2017</v>
      </c>
      <c r="B1683" t="s">
        <v>2215</v>
      </c>
      <c r="C1683" t="s">
        <v>2233</v>
      </c>
      <c r="D1683" s="14">
        <v>5.85</v>
      </c>
      <c r="E1683" s="15">
        <v>95</v>
      </c>
    </row>
    <row r="1684" spans="1:5">
      <c r="A1684">
        <v>2017</v>
      </c>
      <c r="B1684" t="s">
        <v>2216</v>
      </c>
      <c r="C1684" t="s">
        <v>2233</v>
      </c>
      <c r="D1684" s="14">
        <v>3.68</v>
      </c>
      <c r="E1684" s="15">
        <v>95</v>
      </c>
    </row>
    <row r="1685" spans="1:5">
      <c r="A1685">
        <v>2017</v>
      </c>
      <c r="B1685" t="s">
        <v>2217</v>
      </c>
      <c r="C1685" t="s">
        <v>2233</v>
      </c>
      <c r="D1685" s="14">
        <v>17.04</v>
      </c>
      <c r="E1685" s="15">
        <v>95</v>
      </c>
    </row>
    <row r="1686" spans="1:5">
      <c r="A1686">
        <v>2017</v>
      </c>
      <c r="B1686" t="s">
        <v>2218</v>
      </c>
      <c r="C1686" t="s">
        <v>2233</v>
      </c>
      <c r="D1686" s="14">
        <v>18.829999999999998</v>
      </c>
      <c r="E1686" s="15">
        <v>95</v>
      </c>
    </row>
    <row r="1687" spans="1:5">
      <c r="A1687">
        <v>2017</v>
      </c>
      <c r="B1687" t="s">
        <v>2219</v>
      </c>
      <c r="C1687" t="s">
        <v>2233</v>
      </c>
      <c r="D1687" s="14">
        <v>9.91</v>
      </c>
      <c r="E1687" s="15">
        <v>95</v>
      </c>
    </row>
    <row r="1688" spans="1:5">
      <c r="A1688">
        <v>2017</v>
      </c>
      <c r="B1688" t="s">
        <v>2220</v>
      </c>
      <c r="C1688" t="s">
        <v>2233</v>
      </c>
      <c r="D1688" s="14">
        <v>6.49</v>
      </c>
      <c r="E1688" s="15">
        <v>95</v>
      </c>
    </row>
    <row r="1689" spans="1:5">
      <c r="A1689">
        <v>2017</v>
      </c>
      <c r="B1689" t="s">
        <v>2221</v>
      </c>
      <c r="C1689" t="s">
        <v>2233</v>
      </c>
      <c r="D1689" s="14">
        <v>20.420000000000002</v>
      </c>
      <c r="E1689" s="15">
        <v>95</v>
      </c>
    </row>
    <row r="1690" spans="1:5">
      <c r="A1690">
        <v>2017</v>
      </c>
      <c r="B1690" t="s">
        <v>2222</v>
      </c>
      <c r="C1690" t="s">
        <v>2233</v>
      </c>
      <c r="D1690" s="14">
        <v>6.43</v>
      </c>
      <c r="E1690" s="15">
        <v>95</v>
      </c>
    </row>
    <row r="1691" spans="1:5">
      <c r="A1691">
        <v>2017</v>
      </c>
      <c r="B1691" t="s">
        <v>2223</v>
      </c>
      <c r="C1691" t="s">
        <v>2233</v>
      </c>
      <c r="D1691" s="14">
        <v>0.91</v>
      </c>
      <c r="E1691" s="15">
        <v>95</v>
      </c>
    </row>
    <row r="1692" spans="1:5">
      <c r="A1692">
        <v>2018</v>
      </c>
      <c r="B1692" t="s">
        <v>2213</v>
      </c>
      <c r="C1692" t="s">
        <v>2233</v>
      </c>
      <c r="D1692" s="14">
        <v>4.72</v>
      </c>
      <c r="E1692" s="15">
        <v>92.5</v>
      </c>
    </row>
    <row r="1693" spans="1:5">
      <c r="A1693">
        <v>2018</v>
      </c>
      <c r="B1693" t="s">
        <v>2215</v>
      </c>
      <c r="C1693" t="s">
        <v>2233</v>
      </c>
      <c r="D1693" s="14">
        <v>5.52</v>
      </c>
      <c r="E1693" s="15">
        <v>92.5</v>
      </c>
    </row>
    <row r="1694" spans="1:5">
      <c r="A1694">
        <v>2018</v>
      </c>
      <c r="B1694" t="s">
        <v>2216</v>
      </c>
      <c r="C1694" t="s">
        <v>2233</v>
      </c>
      <c r="D1694" s="14">
        <v>3.71</v>
      </c>
      <c r="E1694" s="15">
        <v>92.5</v>
      </c>
    </row>
    <row r="1695" spans="1:5">
      <c r="A1695">
        <v>2018</v>
      </c>
      <c r="B1695" t="s">
        <v>2217</v>
      </c>
      <c r="C1695" t="s">
        <v>2233</v>
      </c>
      <c r="D1695" s="14">
        <v>17.52</v>
      </c>
      <c r="E1695" s="15">
        <v>92.5</v>
      </c>
    </row>
    <row r="1696" spans="1:5">
      <c r="A1696">
        <v>2018</v>
      </c>
      <c r="B1696" t="s">
        <v>2218</v>
      </c>
      <c r="C1696" t="s">
        <v>2233</v>
      </c>
      <c r="D1696" s="14">
        <v>19.510000000000002</v>
      </c>
      <c r="E1696" s="15">
        <v>92.5</v>
      </c>
    </row>
    <row r="1697" spans="1:5">
      <c r="A1697">
        <v>2018</v>
      </c>
      <c r="B1697" t="s">
        <v>2219</v>
      </c>
      <c r="C1697" t="s">
        <v>2233</v>
      </c>
      <c r="D1697" s="14">
        <v>8.66</v>
      </c>
      <c r="E1697" s="15">
        <v>92.5</v>
      </c>
    </row>
    <row r="1698" spans="1:5">
      <c r="A1698">
        <v>2018</v>
      </c>
      <c r="B1698" t="s">
        <v>2220</v>
      </c>
      <c r="C1698" t="s">
        <v>2233</v>
      </c>
      <c r="D1698" s="14">
        <v>6.64</v>
      </c>
      <c r="E1698" s="15">
        <v>92.5</v>
      </c>
    </row>
    <row r="1699" spans="1:5">
      <c r="A1699">
        <v>2018</v>
      </c>
      <c r="B1699" t="s">
        <v>2221</v>
      </c>
      <c r="C1699" t="s">
        <v>2233</v>
      </c>
      <c r="D1699" s="14">
        <v>20.53</v>
      </c>
      <c r="E1699" s="15">
        <v>92.5</v>
      </c>
    </row>
    <row r="1700" spans="1:5">
      <c r="A1700">
        <v>2018</v>
      </c>
      <c r="B1700" t="s">
        <v>2222</v>
      </c>
      <c r="C1700" t="s">
        <v>2233</v>
      </c>
      <c r="D1700" s="14">
        <v>6.36</v>
      </c>
      <c r="E1700" s="15">
        <v>92.5</v>
      </c>
    </row>
    <row r="1701" spans="1:5">
      <c r="A1701">
        <v>2018</v>
      </c>
      <c r="B1701" t="s">
        <v>2223</v>
      </c>
      <c r="C1701" t="s">
        <v>2233</v>
      </c>
      <c r="D1701" s="14">
        <v>0.94</v>
      </c>
      <c r="E1701" s="15">
        <v>92.5</v>
      </c>
    </row>
    <row r="1702" spans="1:5">
      <c r="A1702">
        <v>2019</v>
      </c>
      <c r="B1702" t="s">
        <v>2213</v>
      </c>
      <c r="C1702" t="s">
        <v>2233</v>
      </c>
      <c r="D1702" s="14">
        <v>4.2</v>
      </c>
      <c r="E1702" s="15">
        <v>90</v>
      </c>
    </row>
    <row r="1703" spans="1:5">
      <c r="A1703">
        <v>2019</v>
      </c>
      <c r="B1703" t="s">
        <v>2215</v>
      </c>
      <c r="C1703" t="s">
        <v>2233</v>
      </c>
      <c r="D1703" s="14">
        <v>5.73</v>
      </c>
      <c r="E1703" s="15">
        <v>90</v>
      </c>
    </row>
    <row r="1704" spans="1:5">
      <c r="A1704">
        <v>2019</v>
      </c>
      <c r="B1704" t="s">
        <v>2216</v>
      </c>
      <c r="C1704" t="s">
        <v>2233</v>
      </c>
      <c r="D1704" s="14">
        <v>3.67</v>
      </c>
      <c r="E1704" s="15">
        <v>90</v>
      </c>
    </row>
    <row r="1705" spans="1:5">
      <c r="A1705">
        <v>2019</v>
      </c>
      <c r="B1705" t="s">
        <v>2217</v>
      </c>
      <c r="C1705" t="s">
        <v>2233</v>
      </c>
      <c r="D1705" s="14">
        <v>15.65</v>
      </c>
      <c r="E1705" s="15">
        <v>90</v>
      </c>
    </row>
    <row r="1706" spans="1:5">
      <c r="A1706">
        <v>2019</v>
      </c>
      <c r="B1706" t="s">
        <v>2218</v>
      </c>
      <c r="C1706" t="s">
        <v>2233</v>
      </c>
      <c r="D1706" s="14">
        <v>17.579999999999998</v>
      </c>
      <c r="E1706" s="15">
        <v>90</v>
      </c>
    </row>
    <row r="1707" spans="1:5">
      <c r="A1707">
        <v>2019</v>
      </c>
      <c r="B1707" t="s">
        <v>2219</v>
      </c>
      <c r="C1707" t="s">
        <v>2233</v>
      </c>
      <c r="D1707" s="14">
        <v>8.41</v>
      </c>
      <c r="E1707" s="15">
        <v>90</v>
      </c>
    </row>
    <row r="1708" spans="1:5">
      <c r="A1708">
        <v>2019</v>
      </c>
      <c r="B1708" t="s">
        <v>2220</v>
      </c>
      <c r="C1708" t="s">
        <v>2233</v>
      </c>
      <c r="D1708" s="14">
        <v>6.22</v>
      </c>
      <c r="E1708" s="15">
        <v>90</v>
      </c>
    </row>
    <row r="1709" spans="1:5">
      <c r="A1709">
        <v>2019</v>
      </c>
      <c r="B1709" t="s">
        <v>2221</v>
      </c>
      <c r="C1709" t="s">
        <v>2233</v>
      </c>
      <c r="D1709" s="14">
        <v>19.420000000000002</v>
      </c>
      <c r="E1709" s="15">
        <v>90</v>
      </c>
    </row>
    <row r="1710" spans="1:5">
      <c r="A1710">
        <v>2019</v>
      </c>
      <c r="B1710" t="s">
        <v>2222</v>
      </c>
      <c r="C1710" t="s">
        <v>2233</v>
      </c>
      <c r="D1710" s="14">
        <v>5.97</v>
      </c>
      <c r="E1710" s="15">
        <v>90</v>
      </c>
    </row>
    <row r="1711" spans="1:5">
      <c r="A1711">
        <v>2019</v>
      </c>
      <c r="B1711" t="s">
        <v>2223</v>
      </c>
      <c r="C1711" t="s">
        <v>2233</v>
      </c>
      <c r="D1711" s="14">
        <v>0.93</v>
      </c>
      <c r="E1711" s="15">
        <v>90</v>
      </c>
    </row>
    <row r="1712" spans="1:5">
      <c r="A1712">
        <v>2020</v>
      </c>
      <c r="B1712" t="s">
        <v>2213</v>
      </c>
      <c r="C1712" t="s">
        <v>2233</v>
      </c>
      <c r="D1712" s="14">
        <v>4.68</v>
      </c>
      <c r="E1712" s="15">
        <v>89</v>
      </c>
    </row>
    <row r="1713" spans="1:5">
      <c r="A1713">
        <v>2020</v>
      </c>
      <c r="B1713" t="s">
        <v>2215</v>
      </c>
      <c r="C1713" t="s">
        <v>2233</v>
      </c>
      <c r="D1713" s="14">
        <v>5.33</v>
      </c>
      <c r="E1713" s="15">
        <v>89</v>
      </c>
    </row>
    <row r="1714" spans="1:5">
      <c r="A1714">
        <v>2020</v>
      </c>
      <c r="B1714" t="s">
        <v>2216</v>
      </c>
      <c r="C1714" t="s">
        <v>2233</v>
      </c>
      <c r="D1714" s="14">
        <v>3.52</v>
      </c>
      <c r="E1714" s="15">
        <v>89</v>
      </c>
    </row>
    <row r="1715" spans="1:5">
      <c r="A1715">
        <v>2020</v>
      </c>
      <c r="B1715" t="s">
        <v>2217</v>
      </c>
      <c r="C1715" t="s">
        <v>2233</v>
      </c>
      <c r="D1715" s="14">
        <v>16.3</v>
      </c>
      <c r="E1715" s="15">
        <v>89</v>
      </c>
    </row>
    <row r="1716" spans="1:5">
      <c r="A1716">
        <v>2020</v>
      </c>
      <c r="B1716" t="s">
        <v>2218</v>
      </c>
      <c r="C1716" t="s">
        <v>2233</v>
      </c>
      <c r="D1716" s="14">
        <v>17.79</v>
      </c>
      <c r="E1716" s="15">
        <v>89</v>
      </c>
    </row>
    <row r="1717" spans="1:5">
      <c r="A1717">
        <v>2020</v>
      </c>
      <c r="B1717" t="s">
        <v>2219</v>
      </c>
      <c r="C1717" t="s">
        <v>2233</v>
      </c>
      <c r="D1717" s="14">
        <v>8.52</v>
      </c>
      <c r="E1717" s="15">
        <v>89</v>
      </c>
    </row>
    <row r="1718" spans="1:5">
      <c r="A1718">
        <v>2020</v>
      </c>
      <c r="B1718" t="s">
        <v>2220</v>
      </c>
      <c r="C1718" t="s">
        <v>2233</v>
      </c>
      <c r="D1718" s="14">
        <v>6.07</v>
      </c>
      <c r="E1718" s="15">
        <v>89</v>
      </c>
    </row>
    <row r="1719" spans="1:5">
      <c r="A1719">
        <v>2020</v>
      </c>
      <c r="B1719" t="s">
        <v>2221</v>
      </c>
      <c r="C1719" t="s">
        <v>2233</v>
      </c>
      <c r="D1719" s="14">
        <v>19.350000000000001</v>
      </c>
      <c r="E1719" s="15">
        <v>89</v>
      </c>
    </row>
    <row r="1720" spans="1:5">
      <c r="A1720">
        <v>2020</v>
      </c>
      <c r="B1720" t="s">
        <v>2222</v>
      </c>
      <c r="C1720" t="s">
        <v>2233</v>
      </c>
      <c r="D1720" s="14">
        <v>6.29</v>
      </c>
      <c r="E1720" s="15">
        <v>89</v>
      </c>
    </row>
    <row r="1721" spans="1:5">
      <c r="A1721">
        <v>2020</v>
      </c>
      <c r="B1721" t="s">
        <v>2223</v>
      </c>
      <c r="C1721" t="s">
        <v>2233</v>
      </c>
      <c r="D1721" s="14">
        <v>0.89</v>
      </c>
      <c r="E1721" s="15">
        <v>89</v>
      </c>
    </row>
    <row r="1722" spans="1:5">
      <c r="A1722">
        <v>2021</v>
      </c>
      <c r="B1722" t="s">
        <v>2213</v>
      </c>
      <c r="C1722" t="s">
        <v>2233</v>
      </c>
      <c r="D1722" s="14">
        <v>4.4400000000000004</v>
      </c>
      <c r="E1722" s="15">
        <v>88</v>
      </c>
    </row>
    <row r="1723" spans="1:5">
      <c r="A1723">
        <v>2021</v>
      </c>
      <c r="B1723" t="s">
        <v>2215</v>
      </c>
      <c r="C1723" t="s">
        <v>2233</v>
      </c>
      <c r="D1723" s="14">
        <v>4.97</v>
      </c>
      <c r="E1723" s="15">
        <v>88</v>
      </c>
    </row>
    <row r="1724" spans="1:5">
      <c r="A1724">
        <v>2021</v>
      </c>
      <c r="B1724" t="s">
        <v>2216</v>
      </c>
      <c r="C1724" t="s">
        <v>2233</v>
      </c>
      <c r="D1724" s="14">
        <v>3.61</v>
      </c>
      <c r="E1724" s="15">
        <v>88</v>
      </c>
    </row>
    <row r="1725" spans="1:5">
      <c r="A1725">
        <v>2021</v>
      </c>
      <c r="B1725" t="s">
        <v>2217</v>
      </c>
      <c r="C1725" t="s">
        <v>2233</v>
      </c>
      <c r="D1725" s="14">
        <v>15.84</v>
      </c>
      <c r="E1725" s="15">
        <v>88</v>
      </c>
    </row>
    <row r="1726" spans="1:5">
      <c r="A1726">
        <v>2021</v>
      </c>
      <c r="B1726" t="s">
        <v>2218</v>
      </c>
      <c r="C1726" t="s">
        <v>2233</v>
      </c>
      <c r="D1726" s="14">
        <v>19.489999999999998</v>
      </c>
      <c r="E1726" s="15">
        <v>88</v>
      </c>
    </row>
    <row r="1727" spans="1:5">
      <c r="A1727">
        <v>2021</v>
      </c>
      <c r="B1727" t="s">
        <v>2219</v>
      </c>
      <c r="C1727" t="s">
        <v>2233</v>
      </c>
      <c r="D1727" s="14">
        <v>8.66</v>
      </c>
      <c r="E1727" s="15">
        <v>88</v>
      </c>
    </row>
    <row r="1728" spans="1:5">
      <c r="A1728">
        <v>2021</v>
      </c>
      <c r="B1728" t="s">
        <v>2220</v>
      </c>
      <c r="C1728" t="s">
        <v>2233</v>
      </c>
      <c r="D1728" s="14">
        <v>6.24</v>
      </c>
      <c r="E1728" s="15">
        <v>88</v>
      </c>
    </row>
    <row r="1729" spans="1:5">
      <c r="A1729">
        <v>2021</v>
      </c>
      <c r="B1729" t="s">
        <v>2221</v>
      </c>
      <c r="C1729" t="s">
        <v>2233</v>
      </c>
      <c r="D1729" s="14">
        <v>21.68</v>
      </c>
      <c r="E1729" s="15">
        <v>88</v>
      </c>
    </row>
    <row r="1730" spans="1:5">
      <c r="A1730">
        <v>2021</v>
      </c>
      <c r="B1730" t="s">
        <v>2222</v>
      </c>
      <c r="C1730" t="s">
        <v>2233</v>
      </c>
      <c r="D1730" s="14">
        <v>6.21</v>
      </c>
      <c r="E1730" s="15">
        <v>88</v>
      </c>
    </row>
    <row r="1731" spans="1:5">
      <c r="A1731">
        <v>2021</v>
      </c>
      <c r="B1731" t="s">
        <v>2223</v>
      </c>
      <c r="C1731" t="s">
        <v>2233</v>
      </c>
      <c r="D1731" s="14">
        <v>0.88</v>
      </c>
      <c r="E1731" s="15">
        <v>88</v>
      </c>
    </row>
    <row r="1732" spans="1:5">
      <c r="A1732">
        <v>2022</v>
      </c>
      <c r="B1732" t="s">
        <v>2213</v>
      </c>
      <c r="C1732" t="s">
        <v>2233</v>
      </c>
      <c r="D1732" s="14">
        <v>4.18</v>
      </c>
      <c r="E1732" s="15">
        <v>87</v>
      </c>
    </row>
    <row r="1733" spans="1:5">
      <c r="A1733">
        <v>2022</v>
      </c>
      <c r="B1733" t="s">
        <v>2215</v>
      </c>
      <c r="C1733" t="s">
        <v>2233</v>
      </c>
      <c r="D1733" s="14">
        <v>5.55</v>
      </c>
      <c r="E1733" s="15">
        <v>87</v>
      </c>
    </row>
    <row r="1734" spans="1:5">
      <c r="A1734">
        <v>2022</v>
      </c>
      <c r="B1734" t="s">
        <v>2216</v>
      </c>
      <c r="C1734" t="s">
        <v>2233</v>
      </c>
      <c r="D1734" s="14">
        <v>3.32</v>
      </c>
      <c r="E1734" s="15">
        <v>87</v>
      </c>
    </row>
    <row r="1735" spans="1:5">
      <c r="A1735">
        <v>2022</v>
      </c>
      <c r="B1735" t="s">
        <v>2217</v>
      </c>
      <c r="C1735" t="s">
        <v>2233</v>
      </c>
      <c r="D1735" s="14">
        <v>15.93</v>
      </c>
      <c r="E1735" s="15">
        <v>87</v>
      </c>
    </row>
    <row r="1736" spans="1:5">
      <c r="A1736">
        <v>2022</v>
      </c>
      <c r="B1736" t="s">
        <v>2218</v>
      </c>
      <c r="C1736" t="s">
        <v>2233</v>
      </c>
      <c r="D1736" s="14">
        <v>17.07</v>
      </c>
      <c r="E1736" s="15">
        <v>87</v>
      </c>
    </row>
    <row r="1737" spans="1:5">
      <c r="A1737">
        <v>2022</v>
      </c>
      <c r="B1737" t="s">
        <v>2219</v>
      </c>
      <c r="C1737" t="s">
        <v>2233</v>
      </c>
      <c r="D1737" s="14">
        <v>8.6300000000000008</v>
      </c>
      <c r="E1737" s="15">
        <v>87</v>
      </c>
    </row>
    <row r="1738" spans="1:5">
      <c r="A1738">
        <v>2022</v>
      </c>
      <c r="B1738" t="s">
        <v>2220</v>
      </c>
      <c r="C1738" t="s">
        <v>2233</v>
      </c>
      <c r="D1738" s="14">
        <v>5.75</v>
      </c>
      <c r="E1738" s="15">
        <v>87</v>
      </c>
    </row>
    <row r="1739" spans="1:5">
      <c r="A1739">
        <v>2022</v>
      </c>
      <c r="B1739" t="s">
        <v>2221</v>
      </c>
      <c r="C1739" t="s">
        <v>2233</v>
      </c>
      <c r="D1739" s="14">
        <v>20.2</v>
      </c>
      <c r="E1739" s="15">
        <v>87</v>
      </c>
    </row>
    <row r="1740" spans="1:5">
      <c r="A1740">
        <v>2022</v>
      </c>
      <c r="B1740" t="s">
        <v>2222</v>
      </c>
      <c r="C1740" t="s">
        <v>2233</v>
      </c>
      <c r="D1740" s="14">
        <v>6.02</v>
      </c>
      <c r="E1740" s="15">
        <v>87</v>
      </c>
    </row>
    <row r="1741" spans="1:5">
      <c r="A1741">
        <v>2022</v>
      </c>
      <c r="B1741" t="s">
        <v>2223</v>
      </c>
      <c r="C1741" t="s">
        <v>2233</v>
      </c>
      <c r="D1741" s="14">
        <v>0.83</v>
      </c>
      <c r="E1741" s="15">
        <v>87</v>
      </c>
    </row>
    <row r="1742" spans="1:5">
      <c r="A1742">
        <v>2023</v>
      </c>
      <c r="B1742" t="s">
        <v>2213</v>
      </c>
      <c r="C1742" t="s">
        <v>2233</v>
      </c>
      <c r="D1742" s="14">
        <v>4.5199999999999996</v>
      </c>
      <c r="E1742" s="15">
        <v>86</v>
      </c>
    </row>
    <row r="1743" spans="1:5">
      <c r="A1743">
        <v>2023</v>
      </c>
      <c r="B1743" t="s">
        <v>2215</v>
      </c>
      <c r="C1743" t="s">
        <v>2233</v>
      </c>
      <c r="D1743" s="14">
        <v>5.0599999999999996</v>
      </c>
      <c r="E1743" s="15">
        <v>86</v>
      </c>
    </row>
    <row r="1744" spans="1:5">
      <c r="A1744">
        <v>2023</v>
      </c>
      <c r="B1744" t="s">
        <v>2216</v>
      </c>
      <c r="C1744" t="s">
        <v>2233</v>
      </c>
      <c r="D1744" s="14">
        <v>3.49</v>
      </c>
      <c r="E1744" s="15">
        <v>86</v>
      </c>
    </row>
    <row r="1745" spans="1:5">
      <c r="A1745">
        <v>2023</v>
      </c>
      <c r="B1745" t="s">
        <v>2217</v>
      </c>
      <c r="C1745" t="s">
        <v>2233</v>
      </c>
      <c r="D1745" s="14">
        <v>16.010000000000002</v>
      </c>
      <c r="E1745" s="15">
        <v>86</v>
      </c>
    </row>
    <row r="1746" spans="1:5">
      <c r="A1746">
        <v>2023</v>
      </c>
      <c r="B1746" t="s">
        <v>2218</v>
      </c>
      <c r="C1746" t="s">
        <v>2233</v>
      </c>
      <c r="D1746" s="14">
        <v>17.53</v>
      </c>
      <c r="E1746" s="15">
        <v>86</v>
      </c>
    </row>
    <row r="1747" spans="1:5">
      <c r="A1747">
        <v>2023</v>
      </c>
      <c r="B1747" t="s">
        <v>2219</v>
      </c>
      <c r="C1747" t="s">
        <v>2233</v>
      </c>
      <c r="D1747" s="14">
        <v>7.88</v>
      </c>
      <c r="E1747" s="15">
        <v>86</v>
      </c>
    </row>
    <row r="1748" spans="1:5">
      <c r="A1748">
        <v>2023</v>
      </c>
      <c r="B1748" t="s">
        <v>2220</v>
      </c>
      <c r="C1748" t="s">
        <v>2233</v>
      </c>
      <c r="D1748" s="14">
        <v>6.19</v>
      </c>
      <c r="E1748" s="15">
        <v>86</v>
      </c>
    </row>
    <row r="1749" spans="1:5">
      <c r="A1749">
        <v>2023</v>
      </c>
      <c r="B1749" t="s">
        <v>2221</v>
      </c>
      <c r="C1749" t="s">
        <v>2233</v>
      </c>
      <c r="D1749" s="14">
        <v>18.84</v>
      </c>
      <c r="E1749" s="15">
        <v>86</v>
      </c>
    </row>
    <row r="1750" spans="1:5">
      <c r="A1750">
        <v>2023</v>
      </c>
      <c r="B1750" t="s">
        <v>2222</v>
      </c>
      <c r="C1750" t="s">
        <v>2233</v>
      </c>
      <c r="D1750" s="14">
        <v>5.94</v>
      </c>
      <c r="E1750" s="15">
        <v>86</v>
      </c>
    </row>
    <row r="1751" spans="1:5">
      <c r="A1751">
        <v>2023</v>
      </c>
      <c r="B1751" t="s">
        <v>2223</v>
      </c>
      <c r="C1751" t="s">
        <v>2233</v>
      </c>
      <c r="D1751" s="14">
        <v>0.86</v>
      </c>
      <c r="E1751" s="15">
        <v>86</v>
      </c>
    </row>
    <row r="1752" spans="1:5">
      <c r="A1752">
        <v>2024</v>
      </c>
      <c r="B1752" t="s">
        <v>2213</v>
      </c>
      <c r="C1752" t="s">
        <v>2233</v>
      </c>
      <c r="D1752" s="14">
        <v>3.98</v>
      </c>
      <c r="E1752" s="15">
        <v>85</v>
      </c>
    </row>
    <row r="1753" spans="1:5">
      <c r="A1753">
        <v>2024</v>
      </c>
      <c r="B1753" t="s">
        <v>2215</v>
      </c>
      <c r="C1753" t="s">
        <v>2233</v>
      </c>
      <c r="D1753" s="14">
        <v>5.14</v>
      </c>
      <c r="E1753" s="15">
        <v>85</v>
      </c>
    </row>
    <row r="1754" spans="1:5">
      <c r="A1754">
        <v>2024</v>
      </c>
      <c r="B1754" t="s">
        <v>2216</v>
      </c>
      <c r="C1754" t="s">
        <v>2233</v>
      </c>
      <c r="D1754" s="14">
        <v>3.22</v>
      </c>
      <c r="E1754" s="15">
        <v>85</v>
      </c>
    </row>
    <row r="1755" spans="1:5">
      <c r="A1755">
        <v>2024</v>
      </c>
      <c r="B1755" t="s">
        <v>2217</v>
      </c>
      <c r="C1755" t="s">
        <v>2233</v>
      </c>
      <c r="D1755" s="14">
        <v>15.13</v>
      </c>
      <c r="E1755" s="15">
        <v>85</v>
      </c>
    </row>
    <row r="1756" spans="1:5">
      <c r="A1756">
        <v>2024</v>
      </c>
      <c r="B1756" t="s">
        <v>2218</v>
      </c>
      <c r="C1756" t="s">
        <v>2233</v>
      </c>
      <c r="D1756" s="14">
        <v>17.11</v>
      </c>
      <c r="E1756" s="15">
        <v>85</v>
      </c>
    </row>
    <row r="1757" spans="1:5">
      <c r="A1757">
        <v>2024</v>
      </c>
      <c r="B1757" t="s">
        <v>2219</v>
      </c>
      <c r="C1757" t="s">
        <v>2233</v>
      </c>
      <c r="D1757" s="14">
        <v>8.8699999999999992</v>
      </c>
      <c r="E1757" s="15">
        <v>85</v>
      </c>
    </row>
    <row r="1758" spans="1:5">
      <c r="A1758">
        <v>2024</v>
      </c>
      <c r="B1758" t="s">
        <v>2220</v>
      </c>
      <c r="C1758" t="s">
        <v>2233</v>
      </c>
      <c r="D1758" s="14">
        <v>5.76</v>
      </c>
      <c r="E1758" s="15">
        <v>85</v>
      </c>
    </row>
    <row r="1759" spans="1:5">
      <c r="A1759">
        <v>2024</v>
      </c>
      <c r="B1759" t="s">
        <v>2221</v>
      </c>
      <c r="C1759" t="s">
        <v>2233</v>
      </c>
      <c r="D1759" s="14">
        <v>19.82</v>
      </c>
      <c r="E1759" s="15">
        <v>85</v>
      </c>
    </row>
    <row r="1760" spans="1:5">
      <c r="A1760">
        <v>2024</v>
      </c>
      <c r="B1760" t="s">
        <v>2222</v>
      </c>
      <c r="C1760" t="s">
        <v>2233</v>
      </c>
      <c r="D1760" s="14">
        <v>6.18</v>
      </c>
      <c r="E1760" s="15">
        <v>85</v>
      </c>
    </row>
    <row r="1761" spans="1:5">
      <c r="A1761">
        <v>2024</v>
      </c>
      <c r="B1761" t="s">
        <v>2223</v>
      </c>
      <c r="C1761" t="s">
        <v>2233</v>
      </c>
      <c r="D1761" s="14">
        <v>0.84</v>
      </c>
      <c r="E1761" s="15">
        <v>85</v>
      </c>
    </row>
    <row r="1762" spans="1:5">
      <c r="A1762">
        <v>2025</v>
      </c>
      <c r="B1762" t="s">
        <v>2213</v>
      </c>
      <c r="C1762" t="s">
        <v>2233</v>
      </c>
      <c r="D1762" s="14">
        <v>3.99</v>
      </c>
      <c r="E1762" s="15">
        <v>83.5</v>
      </c>
    </row>
    <row r="1763" spans="1:5">
      <c r="A1763">
        <v>2025</v>
      </c>
      <c r="B1763" t="s">
        <v>2215</v>
      </c>
      <c r="C1763" t="s">
        <v>2233</v>
      </c>
      <c r="D1763" s="14">
        <v>4.7300000000000004</v>
      </c>
      <c r="E1763" s="15">
        <v>83.5</v>
      </c>
    </row>
    <row r="1764" spans="1:5">
      <c r="A1764">
        <v>2025</v>
      </c>
      <c r="B1764" t="s">
        <v>2216</v>
      </c>
      <c r="C1764" t="s">
        <v>2233</v>
      </c>
      <c r="D1764" s="14">
        <v>3.38</v>
      </c>
      <c r="E1764" s="15">
        <v>83.5</v>
      </c>
    </row>
    <row r="1765" spans="1:5">
      <c r="A1765">
        <v>2025</v>
      </c>
      <c r="B1765" t="s">
        <v>2217</v>
      </c>
      <c r="C1765" t="s">
        <v>2233</v>
      </c>
      <c r="D1765" s="14">
        <v>14.59</v>
      </c>
      <c r="E1765" s="15">
        <v>83.5</v>
      </c>
    </row>
    <row r="1766" spans="1:5">
      <c r="A1766">
        <v>2025</v>
      </c>
      <c r="B1766" t="s">
        <v>2218</v>
      </c>
      <c r="C1766" t="s">
        <v>2233</v>
      </c>
      <c r="D1766" s="14">
        <v>17.52</v>
      </c>
      <c r="E1766" s="15">
        <v>83.5</v>
      </c>
    </row>
    <row r="1767" spans="1:5">
      <c r="A1767">
        <v>2025</v>
      </c>
      <c r="B1767" t="s">
        <v>2219</v>
      </c>
      <c r="C1767" t="s">
        <v>2233</v>
      </c>
      <c r="D1767" s="14">
        <v>8.1300000000000008</v>
      </c>
      <c r="E1767" s="15">
        <v>83.5</v>
      </c>
    </row>
    <row r="1768" spans="1:5">
      <c r="A1768">
        <v>2025</v>
      </c>
      <c r="B1768" t="s">
        <v>2220</v>
      </c>
      <c r="C1768" t="s">
        <v>2233</v>
      </c>
      <c r="D1768" s="14">
        <v>5.64</v>
      </c>
      <c r="E1768" s="15">
        <v>83.5</v>
      </c>
    </row>
    <row r="1769" spans="1:5">
      <c r="A1769">
        <v>2025</v>
      </c>
      <c r="B1769" t="s">
        <v>2221</v>
      </c>
      <c r="C1769" t="s">
        <v>2233</v>
      </c>
      <c r="D1769" s="14">
        <v>18.54</v>
      </c>
      <c r="E1769" s="15">
        <v>83.5</v>
      </c>
    </row>
    <row r="1770" spans="1:5">
      <c r="A1770">
        <v>2025</v>
      </c>
      <c r="B1770" t="s">
        <v>2222</v>
      </c>
      <c r="C1770" t="s">
        <v>2233</v>
      </c>
      <c r="D1770" s="14">
        <v>5.69</v>
      </c>
      <c r="E1770" s="15">
        <v>83.5</v>
      </c>
    </row>
    <row r="1771" spans="1:5">
      <c r="A1771">
        <v>2025</v>
      </c>
      <c r="B1771" t="s">
        <v>2223</v>
      </c>
      <c r="C1771" t="s">
        <v>2233</v>
      </c>
      <c r="D1771" s="14">
        <v>0.84</v>
      </c>
      <c r="E1771" s="15">
        <v>83.5</v>
      </c>
    </row>
    <row r="1772" spans="1:5">
      <c r="A1772">
        <v>2026</v>
      </c>
      <c r="B1772" t="s">
        <v>2213</v>
      </c>
      <c r="C1772" t="s">
        <v>2233</v>
      </c>
      <c r="D1772" s="14">
        <v>4.26</v>
      </c>
      <c r="E1772" s="15">
        <v>82</v>
      </c>
    </row>
    <row r="1773" spans="1:5">
      <c r="A1773">
        <v>2026</v>
      </c>
      <c r="B1773" t="s">
        <v>2215</v>
      </c>
      <c r="C1773" t="s">
        <v>2233</v>
      </c>
      <c r="D1773" s="14">
        <v>4.9400000000000004</v>
      </c>
      <c r="E1773" s="15">
        <v>82</v>
      </c>
    </row>
    <row r="1774" spans="1:5">
      <c r="A1774">
        <v>2026</v>
      </c>
      <c r="B1774" t="s">
        <v>2216</v>
      </c>
      <c r="C1774" t="s">
        <v>2233</v>
      </c>
      <c r="D1774" s="14">
        <v>3.3</v>
      </c>
      <c r="E1774" s="15">
        <v>82</v>
      </c>
    </row>
    <row r="1775" spans="1:5">
      <c r="A1775">
        <v>2026</v>
      </c>
      <c r="B1775" t="s">
        <v>2217</v>
      </c>
      <c r="C1775" t="s">
        <v>2233</v>
      </c>
      <c r="D1775" s="14">
        <v>14.88</v>
      </c>
      <c r="E1775" s="15">
        <v>82</v>
      </c>
    </row>
    <row r="1776" spans="1:5">
      <c r="A1776">
        <v>2026</v>
      </c>
      <c r="B1776" t="s">
        <v>2218</v>
      </c>
      <c r="C1776" t="s">
        <v>2233</v>
      </c>
      <c r="D1776" s="14">
        <v>15.33</v>
      </c>
      <c r="E1776" s="15">
        <v>82</v>
      </c>
    </row>
    <row r="1777" spans="1:5">
      <c r="A1777">
        <v>2026</v>
      </c>
      <c r="B1777" t="s">
        <v>2219</v>
      </c>
      <c r="C1777" t="s">
        <v>2233</v>
      </c>
      <c r="D1777" s="14">
        <v>8.33</v>
      </c>
      <c r="E1777" s="15">
        <v>82</v>
      </c>
    </row>
    <row r="1778" spans="1:5">
      <c r="A1778">
        <v>2026</v>
      </c>
      <c r="B1778" t="s">
        <v>2220</v>
      </c>
      <c r="C1778" t="s">
        <v>2233</v>
      </c>
      <c r="D1778" s="14">
        <v>5.78</v>
      </c>
      <c r="E1778" s="15">
        <v>82</v>
      </c>
    </row>
    <row r="1779" spans="1:5">
      <c r="A1779">
        <v>2026</v>
      </c>
      <c r="B1779" t="s">
        <v>2221</v>
      </c>
      <c r="C1779" t="s">
        <v>2233</v>
      </c>
      <c r="D1779" s="14">
        <v>18.7</v>
      </c>
      <c r="E1779" s="15">
        <v>82</v>
      </c>
    </row>
    <row r="1780" spans="1:5">
      <c r="A1780">
        <v>2026</v>
      </c>
      <c r="B1780" t="s">
        <v>2222</v>
      </c>
      <c r="C1780" t="s">
        <v>2233</v>
      </c>
      <c r="D1780" s="14">
        <v>5.88</v>
      </c>
      <c r="E1780" s="15">
        <v>82</v>
      </c>
    </row>
    <row r="1781" spans="1:5">
      <c r="A1781">
        <v>2026</v>
      </c>
      <c r="B1781" t="s">
        <v>2223</v>
      </c>
      <c r="C1781" t="s">
        <v>2233</v>
      </c>
      <c r="D1781" s="14">
        <v>0.81</v>
      </c>
      <c r="E1781" s="15">
        <v>82</v>
      </c>
    </row>
    <row r="1782" spans="1:5">
      <c r="A1782">
        <v>2010</v>
      </c>
      <c r="B1782" t="s">
        <v>2213</v>
      </c>
      <c r="C1782" t="s">
        <v>2234</v>
      </c>
      <c r="D1782" s="14">
        <v>4.6900000000000004</v>
      </c>
      <c r="E1782" s="15">
        <v>90</v>
      </c>
    </row>
    <row r="1783" spans="1:5">
      <c r="A1783">
        <v>2010</v>
      </c>
      <c r="B1783" t="s">
        <v>2215</v>
      </c>
      <c r="C1783" t="s">
        <v>2234</v>
      </c>
      <c r="D1783" s="14">
        <v>5.34</v>
      </c>
      <c r="E1783" s="15">
        <v>90</v>
      </c>
    </row>
    <row r="1784" spans="1:5">
      <c r="A1784">
        <v>2010</v>
      </c>
      <c r="B1784" t="s">
        <v>2216</v>
      </c>
      <c r="C1784" t="s">
        <v>2234</v>
      </c>
      <c r="D1784" s="14">
        <v>3.64</v>
      </c>
      <c r="E1784" s="15">
        <v>90</v>
      </c>
    </row>
    <row r="1785" spans="1:5">
      <c r="A1785">
        <v>2010</v>
      </c>
      <c r="B1785" t="s">
        <v>2217</v>
      </c>
      <c r="C1785" t="s">
        <v>2234</v>
      </c>
      <c r="D1785" s="14">
        <v>16</v>
      </c>
      <c r="E1785" s="15">
        <v>90</v>
      </c>
    </row>
    <row r="1786" spans="1:5">
      <c r="A1786">
        <v>2010</v>
      </c>
      <c r="B1786" t="s">
        <v>2218</v>
      </c>
      <c r="C1786" t="s">
        <v>2234</v>
      </c>
      <c r="D1786" s="14">
        <v>18.34</v>
      </c>
      <c r="E1786" s="15">
        <v>90</v>
      </c>
    </row>
    <row r="1787" spans="1:5">
      <c r="A1787">
        <v>2010</v>
      </c>
      <c r="B1787" t="s">
        <v>2219</v>
      </c>
      <c r="C1787" t="s">
        <v>2234</v>
      </c>
      <c r="D1787" s="14">
        <v>8.8699999999999992</v>
      </c>
      <c r="E1787" s="15">
        <v>90</v>
      </c>
    </row>
    <row r="1788" spans="1:5">
      <c r="A1788">
        <v>2010</v>
      </c>
      <c r="B1788" t="s">
        <v>2220</v>
      </c>
      <c r="C1788" t="s">
        <v>2234</v>
      </c>
      <c r="D1788" s="14">
        <v>6.73</v>
      </c>
      <c r="E1788" s="15">
        <v>90</v>
      </c>
    </row>
    <row r="1789" spans="1:5">
      <c r="A1789">
        <v>2010</v>
      </c>
      <c r="B1789" t="s">
        <v>2221</v>
      </c>
      <c r="C1789" t="s">
        <v>2234</v>
      </c>
      <c r="D1789" s="14">
        <v>21.46</v>
      </c>
      <c r="E1789" s="15">
        <v>90</v>
      </c>
    </row>
    <row r="1790" spans="1:5">
      <c r="A1790">
        <v>2010</v>
      </c>
      <c r="B1790" t="s">
        <v>2222</v>
      </c>
      <c r="C1790" t="s">
        <v>2234</v>
      </c>
      <c r="D1790" s="14">
        <v>6.52</v>
      </c>
      <c r="E1790" s="15">
        <v>90</v>
      </c>
    </row>
    <row r="1791" spans="1:5">
      <c r="A1791">
        <v>2010</v>
      </c>
      <c r="B1791" t="s">
        <v>2223</v>
      </c>
      <c r="C1791" t="s">
        <v>2234</v>
      </c>
      <c r="D1791" s="14">
        <v>0.96</v>
      </c>
      <c r="E1791" s="15">
        <v>90</v>
      </c>
    </row>
    <row r="1792" spans="1:5">
      <c r="A1792">
        <v>2011</v>
      </c>
      <c r="B1792" t="s">
        <v>2213</v>
      </c>
      <c r="C1792" t="s">
        <v>2234</v>
      </c>
      <c r="D1792" s="14">
        <v>4.09</v>
      </c>
      <c r="E1792" s="15">
        <v>87</v>
      </c>
    </row>
    <row r="1793" spans="1:5">
      <c r="A1793">
        <v>2011</v>
      </c>
      <c r="B1793" t="s">
        <v>2215</v>
      </c>
      <c r="C1793" t="s">
        <v>2234</v>
      </c>
      <c r="D1793" s="14">
        <v>4.93</v>
      </c>
      <c r="E1793" s="15">
        <v>87</v>
      </c>
    </row>
    <row r="1794" spans="1:5">
      <c r="A1794">
        <v>2011</v>
      </c>
      <c r="B1794" t="s">
        <v>2216</v>
      </c>
      <c r="C1794" t="s">
        <v>2234</v>
      </c>
      <c r="D1794" s="14">
        <v>3.44</v>
      </c>
      <c r="E1794" s="15">
        <v>87</v>
      </c>
    </row>
    <row r="1795" spans="1:5">
      <c r="A1795">
        <v>2011</v>
      </c>
      <c r="B1795" t="s">
        <v>2217</v>
      </c>
      <c r="C1795" t="s">
        <v>2234</v>
      </c>
      <c r="D1795" s="14">
        <v>15.69</v>
      </c>
      <c r="E1795" s="15">
        <v>87</v>
      </c>
    </row>
    <row r="1796" spans="1:5">
      <c r="A1796">
        <v>2011</v>
      </c>
      <c r="B1796" t="s">
        <v>2218</v>
      </c>
      <c r="C1796" t="s">
        <v>2234</v>
      </c>
      <c r="D1796" s="14">
        <v>17.260000000000002</v>
      </c>
      <c r="E1796" s="15">
        <v>87</v>
      </c>
    </row>
    <row r="1797" spans="1:5">
      <c r="A1797">
        <v>2011</v>
      </c>
      <c r="B1797" t="s">
        <v>2219</v>
      </c>
      <c r="C1797" t="s">
        <v>2234</v>
      </c>
      <c r="D1797" s="14">
        <v>8.15</v>
      </c>
      <c r="E1797" s="15">
        <v>87</v>
      </c>
    </row>
    <row r="1798" spans="1:5">
      <c r="A1798">
        <v>2011</v>
      </c>
      <c r="B1798" t="s">
        <v>2220</v>
      </c>
      <c r="C1798" t="s">
        <v>2234</v>
      </c>
      <c r="D1798" s="14">
        <v>6.38</v>
      </c>
      <c r="E1798" s="15">
        <v>87</v>
      </c>
    </row>
    <row r="1799" spans="1:5">
      <c r="A1799">
        <v>2011</v>
      </c>
      <c r="B1799" t="s">
        <v>2221</v>
      </c>
      <c r="C1799" t="s">
        <v>2234</v>
      </c>
      <c r="D1799" s="14">
        <v>20.86</v>
      </c>
      <c r="E1799" s="15">
        <v>87</v>
      </c>
    </row>
    <row r="1800" spans="1:5">
      <c r="A1800">
        <v>2011</v>
      </c>
      <c r="B1800" t="s">
        <v>2222</v>
      </c>
      <c r="C1800" t="s">
        <v>2234</v>
      </c>
      <c r="D1800" s="14">
        <v>6.41</v>
      </c>
      <c r="E1800" s="15">
        <v>87</v>
      </c>
    </row>
    <row r="1801" spans="1:5">
      <c r="A1801">
        <v>2011</v>
      </c>
      <c r="B1801" t="s">
        <v>2223</v>
      </c>
      <c r="C1801" t="s">
        <v>2234</v>
      </c>
      <c r="D1801" s="14">
        <v>0.91</v>
      </c>
      <c r="E1801" s="15">
        <v>87</v>
      </c>
    </row>
    <row r="1802" spans="1:5">
      <c r="A1802">
        <v>2012</v>
      </c>
      <c r="B1802" t="s">
        <v>2213</v>
      </c>
      <c r="C1802" t="s">
        <v>2234</v>
      </c>
      <c r="D1802" s="14">
        <v>4.24</v>
      </c>
      <c r="E1802" s="15">
        <v>84</v>
      </c>
    </row>
    <row r="1803" spans="1:5">
      <c r="A1803">
        <v>2012</v>
      </c>
      <c r="B1803" t="s">
        <v>2215</v>
      </c>
      <c r="C1803" t="s">
        <v>2234</v>
      </c>
      <c r="D1803" s="14">
        <v>4.87</v>
      </c>
      <c r="E1803" s="15">
        <v>84</v>
      </c>
    </row>
    <row r="1804" spans="1:5">
      <c r="A1804">
        <v>2012</v>
      </c>
      <c r="B1804" t="s">
        <v>2216</v>
      </c>
      <c r="C1804" t="s">
        <v>2234</v>
      </c>
      <c r="D1804" s="14">
        <v>3.37</v>
      </c>
      <c r="E1804" s="15">
        <v>84</v>
      </c>
    </row>
    <row r="1805" spans="1:5">
      <c r="A1805">
        <v>2012</v>
      </c>
      <c r="B1805" t="s">
        <v>2217</v>
      </c>
      <c r="C1805" t="s">
        <v>2234</v>
      </c>
      <c r="D1805" s="14">
        <v>16.45</v>
      </c>
      <c r="E1805" s="15">
        <v>84</v>
      </c>
    </row>
    <row r="1806" spans="1:5">
      <c r="A1806">
        <v>2012</v>
      </c>
      <c r="B1806" t="s">
        <v>2218</v>
      </c>
      <c r="C1806" t="s">
        <v>2234</v>
      </c>
      <c r="D1806" s="14">
        <v>16.57</v>
      </c>
      <c r="E1806" s="15">
        <v>84</v>
      </c>
    </row>
    <row r="1807" spans="1:5">
      <c r="A1807">
        <v>2012</v>
      </c>
      <c r="B1807" t="s">
        <v>2219</v>
      </c>
      <c r="C1807" t="s">
        <v>2234</v>
      </c>
      <c r="D1807" s="14">
        <v>8.25</v>
      </c>
      <c r="E1807" s="15">
        <v>84</v>
      </c>
    </row>
    <row r="1808" spans="1:5">
      <c r="A1808">
        <v>2012</v>
      </c>
      <c r="B1808" t="s">
        <v>2220</v>
      </c>
      <c r="C1808" t="s">
        <v>2234</v>
      </c>
      <c r="D1808" s="14">
        <v>6.15</v>
      </c>
      <c r="E1808" s="15">
        <v>84</v>
      </c>
    </row>
    <row r="1809" spans="1:5">
      <c r="A1809">
        <v>2012</v>
      </c>
      <c r="B1809" t="s">
        <v>2221</v>
      </c>
      <c r="C1809" t="s">
        <v>2234</v>
      </c>
      <c r="D1809" s="14">
        <v>19.37</v>
      </c>
      <c r="E1809" s="15">
        <v>84</v>
      </c>
    </row>
    <row r="1810" spans="1:5">
      <c r="A1810">
        <v>2012</v>
      </c>
      <c r="B1810" t="s">
        <v>2222</v>
      </c>
      <c r="C1810" t="s">
        <v>2234</v>
      </c>
      <c r="D1810" s="14">
        <v>5.68</v>
      </c>
      <c r="E1810" s="15">
        <v>84</v>
      </c>
    </row>
    <row r="1811" spans="1:5">
      <c r="A1811">
        <v>2012</v>
      </c>
      <c r="B1811" t="s">
        <v>2223</v>
      </c>
      <c r="C1811" t="s">
        <v>2234</v>
      </c>
      <c r="D1811" s="14">
        <v>0.83</v>
      </c>
      <c r="E1811" s="15">
        <v>84</v>
      </c>
    </row>
    <row r="1812" spans="1:5">
      <c r="A1812">
        <v>2013</v>
      </c>
      <c r="B1812" t="s">
        <v>2213</v>
      </c>
      <c r="C1812" t="s">
        <v>2234</v>
      </c>
      <c r="D1812" s="14">
        <v>3.97</v>
      </c>
      <c r="E1812" s="15">
        <v>81</v>
      </c>
    </row>
    <row r="1813" spans="1:5">
      <c r="A1813">
        <v>2013</v>
      </c>
      <c r="B1813" t="s">
        <v>2215</v>
      </c>
      <c r="C1813" t="s">
        <v>2234</v>
      </c>
      <c r="D1813" s="14">
        <v>4.87</v>
      </c>
      <c r="E1813" s="15">
        <v>81</v>
      </c>
    </row>
    <row r="1814" spans="1:5">
      <c r="A1814">
        <v>2013</v>
      </c>
      <c r="B1814" t="s">
        <v>2216</v>
      </c>
      <c r="C1814" t="s">
        <v>2234</v>
      </c>
      <c r="D1814" s="14">
        <v>3.39</v>
      </c>
      <c r="E1814" s="15">
        <v>81</v>
      </c>
    </row>
    <row r="1815" spans="1:5">
      <c r="A1815">
        <v>2013</v>
      </c>
      <c r="B1815" t="s">
        <v>2217</v>
      </c>
      <c r="C1815" t="s">
        <v>2234</v>
      </c>
      <c r="D1815" s="14">
        <v>14.12</v>
      </c>
      <c r="E1815" s="15">
        <v>81</v>
      </c>
    </row>
    <row r="1816" spans="1:5">
      <c r="A1816">
        <v>2013</v>
      </c>
      <c r="B1816" t="s">
        <v>2218</v>
      </c>
      <c r="C1816" t="s">
        <v>2234</v>
      </c>
      <c r="D1816" s="14">
        <v>16.920000000000002</v>
      </c>
      <c r="E1816" s="15">
        <v>81</v>
      </c>
    </row>
    <row r="1817" spans="1:5">
      <c r="A1817">
        <v>2013</v>
      </c>
      <c r="B1817" t="s">
        <v>2219</v>
      </c>
      <c r="C1817" t="s">
        <v>2234</v>
      </c>
      <c r="D1817" s="14">
        <v>8.1300000000000008</v>
      </c>
      <c r="E1817" s="15">
        <v>81</v>
      </c>
    </row>
    <row r="1818" spans="1:5">
      <c r="A1818">
        <v>2013</v>
      </c>
      <c r="B1818" t="s">
        <v>2220</v>
      </c>
      <c r="C1818" t="s">
        <v>2234</v>
      </c>
      <c r="D1818" s="14">
        <v>6.22</v>
      </c>
      <c r="E1818" s="15">
        <v>81</v>
      </c>
    </row>
    <row r="1819" spans="1:5">
      <c r="A1819">
        <v>2013</v>
      </c>
      <c r="B1819" t="s">
        <v>2221</v>
      </c>
      <c r="C1819" t="s">
        <v>2234</v>
      </c>
      <c r="D1819" s="14">
        <v>18.05</v>
      </c>
      <c r="E1819" s="15">
        <v>81</v>
      </c>
    </row>
    <row r="1820" spans="1:5">
      <c r="A1820">
        <v>2013</v>
      </c>
      <c r="B1820" t="s">
        <v>2222</v>
      </c>
      <c r="C1820" t="s">
        <v>2234</v>
      </c>
      <c r="D1820" s="14">
        <v>5.65</v>
      </c>
      <c r="E1820" s="15">
        <v>81</v>
      </c>
    </row>
    <row r="1821" spans="1:5">
      <c r="A1821">
        <v>2013</v>
      </c>
      <c r="B1821" t="s">
        <v>2223</v>
      </c>
      <c r="C1821" t="s">
        <v>2234</v>
      </c>
      <c r="D1821" s="14">
        <v>0.83</v>
      </c>
      <c r="E1821" s="15">
        <v>81</v>
      </c>
    </row>
    <row r="1822" spans="1:5">
      <c r="A1822">
        <v>2014</v>
      </c>
      <c r="B1822" t="s">
        <v>2213</v>
      </c>
      <c r="C1822" t="s">
        <v>2234</v>
      </c>
      <c r="D1822" s="14">
        <v>3.85</v>
      </c>
      <c r="E1822" s="15">
        <v>78</v>
      </c>
    </row>
    <row r="1823" spans="1:5">
      <c r="A1823">
        <v>2014</v>
      </c>
      <c r="B1823" t="s">
        <v>2215</v>
      </c>
      <c r="C1823" t="s">
        <v>2234</v>
      </c>
      <c r="D1823" s="14">
        <v>4.3600000000000003</v>
      </c>
      <c r="E1823" s="15">
        <v>78</v>
      </c>
    </row>
    <row r="1824" spans="1:5">
      <c r="A1824">
        <v>2014</v>
      </c>
      <c r="B1824" t="s">
        <v>2216</v>
      </c>
      <c r="C1824" t="s">
        <v>2234</v>
      </c>
      <c r="D1824" s="14">
        <v>3.09</v>
      </c>
      <c r="E1824" s="15">
        <v>78</v>
      </c>
    </row>
    <row r="1825" spans="1:5">
      <c r="A1825">
        <v>2014</v>
      </c>
      <c r="B1825" t="s">
        <v>2217</v>
      </c>
      <c r="C1825" t="s">
        <v>2234</v>
      </c>
      <c r="D1825" s="14">
        <v>13.9</v>
      </c>
      <c r="E1825" s="15">
        <v>78</v>
      </c>
    </row>
    <row r="1826" spans="1:5">
      <c r="A1826">
        <v>2014</v>
      </c>
      <c r="B1826" t="s">
        <v>2218</v>
      </c>
      <c r="C1826" t="s">
        <v>2234</v>
      </c>
      <c r="D1826" s="14">
        <v>14.64</v>
      </c>
      <c r="E1826" s="15">
        <v>78</v>
      </c>
    </row>
    <row r="1827" spans="1:5">
      <c r="A1827">
        <v>2014</v>
      </c>
      <c r="B1827" t="s">
        <v>2219</v>
      </c>
      <c r="C1827" t="s">
        <v>2234</v>
      </c>
      <c r="D1827" s="14">
        <v>7.78</v>
      </c>
      <c r="E1827" s="15">
        <v>78</v>
      </c>
    </row>
    <row r="1828" spans="1:5">
      <c r="A1828">
        <v>2014</v>
      </c>
      <c r="B1828" t="s">
        <v>2220</v>
      </c>
      <c r="C1828" t="s">
        <v>2234</v>
      </c>
      <c r="D1828" s="14">
        <v>5.03</v>
      </c>
      <c r="E1828" s="15">
        <v>78</v>
      </c>
    </row>
    <row r="1829" spans="1:5">
      <c r="A1829">
        <v>2014</v>
      </c>
      <c r="B1829" t="s">
        <v>2221</v>
      </c>
      <c r="C1829" t="s">
        <v>2234</v>
      </c>
      <c r="D1829" s="14">
        <v>16.920000000000002</v>
      </c>
      <c r="E1829" s="15">
        <v>78</v>
      </c>
    </row>
    <row r="1830" spans="1:5">
      <c r="A1830">
        <v>2014</v>
      </c>
      <c r="B1830" t="s">
        <v>2222</v>
      </c>
      <c r="C1830" t="s">
        <v>2234</v>
      </c>
      <c r="D1830" s="14">
        <v>5.51</v>
      </c>
      <c r="E1830" s="15">
        <v>78</v>
      </c>
    </row>
    <row r="1831" spans="1:5">
      <c r="A1831">
        <v>2014</v>
      </c>
      <c r="B1831" t="s">
        <v>2223</v>
      </c>
      <c r="C1831" t="s">
        <v>2234</v>
      </c>
      <c r="D1831" s="14">
        <v>0.78</v>
      </c>
      <c r="E1831" s="15">
        <v>78</v>
      </c>
    </row>
    <row r="1832" spans="1:5">
      <c r="A1832">
        <v>2015</v>
      </c>
      <c r="B1832" t="s">
        <v>2213</v>
      </c>
      <c r="C1832" t="s">
        <v>2234</v>
      </c>
      <c r="D1832" s="14">
        <v>3.69</v>
      </c>
      <c r="E1832" s="15">
        <v>75</v>
      </c>
    </row>
    <row r="1833" spans="1:5">
      <c r="A1833">
        <v>2015</v>
      </c>
      <c r="B1833" t="s">
        <v>2215</v>
      </c>
      <c r="C1833" t="s">
        <v>2234</v>
      </c>
      <c r="D1833" s="14">
        <v>4.4800000000000004</v>
      </c>
      <c r="E1833" s="15">
        <v>75</v>
      </c>
    </row>
    <row r="1834" spans="1:5">
      <c r="A1834">
        <v>2015</v>
      </c>
      <c r="B1834" t="s">
        <v>2216</v>
      </c>
      <c r="C1834" t="s">
        <v>2234</v>
      </c>
      <c r="D1834" s="14">
        <v>2.91</v>
      </c>
      <c r="E1834" s="15">
        <v>75</v>
      </c>
    </row>
    <row r="1835" spans="1:5">
      <c r="A1835">
        <v>2015</v>
      </c>
      <c r="B1835" t="s">
        <v>2217</v>
      </c>
      <c r="C1835" t="s">
        <v>2234</v>
      </c>
      <c r="D1835" s="14">
        <v>13.51</v>
      </c>
      <c r="E1835" s="15">
        <v>75</v>
      </c>
    </row>
    <row r="1836" spans="1:5">
      <c r="A1836">
        <v>2015</v>
      </c>
      <c r="B1836" t="s">
        <v>2218</v>
      </c>
      <c r="C1836" t="s">
        <v>2234</v>
      </c>
      <c r="D1836" s="14">
        <v>15.03</v>
      </c>
      <c r="E1836" s="15">
        <v>75</v>
      </c>
    </row>
    <row r="1837" spans="1:5">
      <c r="A1837">
        <v>2015</v>
      </c>
      <c r="B1837" t="s">
        <v>2219</v>
      </c>
      <c r="C1837" t="s">
        <v>2234</v>
      </c>
      <c r="D1837" s="14">
        <v>7.23</v>
      </c>
      <c r="E1837" s="15">
        <v>75</v>
      </c>
    </row>
    <row r="1838" spans="1:5">
      <c r="A1838">
        <v>2015</v>
      </c>
      <c r="B1838" t="s">
        <v>2220</v>
      </c>
      <c r="C1838" t="s">
        <v>2234</v>
      </c>
      <c r="D1838" s="14">
        <v>5.31</v>
      </c>
      <c r="E1838" s="15">
        <v>75</v>
      </c>
    </row>
    <row r="1839" spans="1:5">
      <c r="A1839">
        <v>2015</v>
      </c>
      <c r="B1839" t="s">
        <v>2221</v>
      </c>
      <c r="C1839" t="s">
        <v>2234</v>
      </c>
      <c r="D1839" s="14">
        <v>16.670000000000002</v>
      </c>
      <c r="E1839" s="15">
        <v>75</v>
      </c>
    </row>
    <row r="1840" spans="1:5">
      <c r="A1840">
        <v>2015</v>
      </c>
      <c r="B1840" t="s">
        <v>2222</v>
      </c>
      <c r="C1840" t="s">
        <v>2234</v>
      </c>
      <c r="D1840" s="14">
        <v>5.22</v>
      </c>
      <c r="E1840" s="15">
        <v>75</v>
      </c>
    </row>
    <row r="1841" spans="1:5">
      <c r="A1841">
        <v>2015</v>
      </c>
      <c r="B1841" t="s">
        <v>2223</v>
      </c>
      <c r="C1841" t="s">
        <v>2234</v>
      </c>
      <c r="D1841" s="14">
        <v>0.83</v>
      </c>
      <c r="E1841" s="15">
        <v>75</v>
      </c>
    </row>
    <row r="1842" spans="1:5">
      <c r="A1842">
        <v>2016</v>
      </c>
      <c r="B1842" t="s">
        <v>2213</v>
      </c>
      <c r="C1842" t="s">
        <v>2234</v>
      </c>
      <c r="D1842" s="14">
        <v>3.54</v>
      </c>
      <c r="E1842" s="15">
        <v>71.2</v>
      </c>
    </row>
    <row r="1843" spans="1:5">
      <c r="A1843">
        <v>2016</v>
      </c>
      <c r="B1843" t="s">
        <v>2215</v>
      </c>
      <c r="C1843" t="s">
        <v>2234</v>
      </c>
      <c r="D1843" s="14">
        <v>4.2300000000000004</v>
      </c>
      <c r="E1843" s="15">
        <v>71.2</v>
      </c>
    </row>
    <row r="1844" spans="1:5">
      <c r="A1844">
        <v>2016</v>
      </c>
      <c r="B1844" t="s">
        <v>2216</v>
      </c>
      <c r="C1844" t="s">
        <v>2234</v>
      </c>
      <c r="D1844" s="14">
        <v>2.8</v>
      </c>
      <c r="E1844" s="15">
        <v>71.2</v>
      </c>
    </row>
    <row r="1845" spans="1:5">
      <c r="A1845">
        <v>2016</v>
      </c>
      <c r="B1845" t="s">
        <v>2217</v>
      </c>
      <c r="C1845" t="s">
        <v>2234</v>
      </c>
      <c r="D1845" s="14">
        <v>12.34</v>
      </c>
      <c r="E1845" s="15">
        <v>71.2</v>
      </c>
    </row>
    <row r="1846" spans="1:5">
      <c r="A1846">
        <v>2016</v>
      </c>
      <c r="B1846" t="s">
        <v>2218</v>
      </c>
      <c r="C1846" t="s">
        <v>2234</v>
      </c>
      <c r="D1846" s="14">
        <v>14.65</v>
      </c>
      <c r="E1846" s="15">
        <v>71.2</v>
      </c>
    </row>
    <row r="1847" spans="1:5">
      <c r="A1847">
        <v>2016</v>
      </c>
      <c r="B1847" t="s">
        <v>2219</v>
      </c>
      <c r="C1847" t="s">
        <v>2234</v>
      </c>
      <c r="D1847" s="14">
        <v>6.93</v>
      </c>
      <c r="E1847" s="15">
        <v>71.2</v>
      </c>
    </row>
    <row r="1848" spans="1:5">
      <c r="A1848">
        <v>2016</v>
      </c>
      <c r="B1848" t="s">
        <v>2220</v>
      </c>
      <c r="C1848" t="s">
        <v>2234</v>
      </c>
      <c r="D1848" s="14">
        <v>4.88</v>
      </c>
      <c r="E1848" s="15">
        <v>71.2</v>
      </c>
    </row>
    <row r="1849" spans="1:5">
      <c r="A1849">
        <v>2016</v>
      </c>
      <c r="B1849" t="s">
        <v>2221</v>
      </c>
      <c r="C1849" t="s">
        <v>2234</v>
      </c>
      <c r="D1849" s="14">
        <v>15.34</v>
      </c>
      <c r="E1849" s="15">
        <v>71.2</v>
      </c>
    </row>
    <row r="1850" spans="1:5">
      <c r="A1850">
        <v>2016</v>
      </c>
      <c r="B1850" t="s">
        <v>2222</v>
      </c>
      <c r="C1850" t="s">
        <v>2234</v>
      </c>
      <c r="D1850" s="14">
        <v>4.79</v>
      </c>
      <c r="E1850" s="15">
        <v>71.2</v>
      </c>
    </row>
    <row r="1851" spans="1:5">
      <c r="A1851">
        <v>2016</v>
      </c>
      <c r="B1851" t="s">
        <v>2223</v>
      </c>
      <c r="C1851" t="s">
        <v>2234</v>
      </c>
      <c r="D1851" s="14">
        <v>0.66</v>
      </c>
      <c r="E1851" s="15">
        <v>71.2</v>
      </c>
    </row>
    <row r="1852" spans="1:5">
      <c r="A1852">
        <v>2017</v>
      </c>
      <c r="B1852" t="s">
        <v>2213</v>
      </c>
      <c r="C1852" t="s">
        <v>2234</v>
      </c>
      <c r="D1852" s="14">
        <v>3.31</v>
      </c>
      <c r="E1852" s="15">
        <v>67.5</v>
      </c>
    </row>
    <row r="1853" spans="1:5">
      <c r="A1853">
        <v>2017</v>
      </c>
      <c r="B1853" t="s">
        <v>2215</v>
      </c>
      <c r="C1853" t="s">
        <v>2234</v>
      </c>
      <c r="D1853" s="14">
        <v>4.1900000000000004</v>
      </c>
      <c r="E1853" s="15">
        <v>67.5</v>
      </c>
    </row>
    <row r="1854" spans="1:5">
      <c r="A1854">
        <v>2017</v>
      </c>
      <c r="B1854" t="s">
        <v>2216</v>
      </c>
      <c r="C1854" t="s">
        <v>2234</v>
      </c>
      <c r="D1854" s="14">
        <v>2.72</v>
      </c>
      <c r="E1854" s="15">
        <v>67.5</v>
      </c>
    </row>
    <row r="1855" spans="1:5">
      <c r="A1855">
        <v>2017</v>
      </c>
      <c r="B1855" t="s">
        <v>2217</v>
      </c>
      <c r="C1855" t="s">
        <v>2234</v>
      </c>
      <c r="D1855" s="14">
        <v>12.93</v>
      </c>
      <c r="E1855" s="15">
        <v>67.5</v>
      </c>
    </row>
    <row r="1856" spans="1:5">
      <c r="A1856">
        <v>2017</v>
      </c>
      <c r="B1856" t="s">
        <v>2218</v>
      </c>
      <c r="C1856" t="s">
        <v>2234</v>
      </c>
      <c r="D1856" s="14">
        <v>13.91</v>
      </c>
      <c r="E1856" s="15">
        <v>67.5</v>
      </c>
    </row>
    <row r="1857" spans="1:5">
      <c r="A1857">
        <v>2017</v>
      </c>
      <c r="B1857" t="s">
        <v>2219</v>
      </c>
      <c r="C1857" t="s">
        <v>2234</v>
      </c>
      <c r="D1857" s="14">
        <v>6.89</v>
      </c>
      <c r="E1857" s="15">
        <v>67.5</v>
      </c>
    </row>
    <row r="1858" spans="1:5">
      <c r="A1858">
        <v>2017</v>
      </c>
      <c r="B1858" t="s">
        <v>2220</v>
      </c>
      <c r="C1858" t="s">
        <v>2234</v>
      </c>
      <c r="D1858" s="14">
        <v>5.09</v>
      </c>
      <c r="E1858" s="15">
        <v>67.5</v>
      </c>
    </row>
    <row r="1859" spans="1:5">
      <c r="A1859">
        <v>2017</v>
      </c>
      <c r="B1859" t="s">
        <v>2221</v>
      </c>
      <c r="C1859" t="s">
        <v>2234</v>
      </c>
      <c r="D1859" s="14">
        <v>14.79</v>
      </c>
      <c r="E1859" s="15">
        <v>67.5</v>
      </c>
    </row>
    <row r="1860" spans="1:5">
      <c r="A1860">
        <v>2017</v>
      </c>
      <c r="B1860" t="s">
        <v>2222</v>
      </c>
      <c r="C1860" t="s">
        <v>2234</v>
      </c>
      <c r="D1860" s="14">
        <v>4.74</v>
      </c>
      <c r="E1860" s="15">
        <v>67.5</v>
      </c>
    </row>
    <row r="1861" spans="1:5">
      <c r="A1861">
        <v>2017</v>
      </c>
      <c r="B1861" t="s">
        <v>2223</v>
      </c>
      <c r="C1861" t="s">
        <v>2234</v>
      </c>
      <c r="D1861" s="14">
        <v>0.67</v>
      </c>
      <c r="E1861" s="15">
        <v>67.5</v>
      </c>
    </row>
    <row r="1862" spans="1:5">
      <c r="A1862">
        <v>2018</v>
      </c>
      <c r="B1862" t="s">
        <v>2213</v>
      </c>
      <c r="C1862" t="s">
        <v>2234</v>
      </c>
      <c r="D1862" s="14">
        <v>3.39</v>
      </c>
      <c r="E1862" s="15">
        <v>63.8</v>
      </c>
    </row>
    <row r="1863" spans="1:5">
      <c r="A1863">
        <v>2018</v>
      </c>
      <c r="B1863" t="s">
        <v>2215</v>
      </c>
      <c r="C1863" t="s">
        <v>2234</v>
      </c>
      <c r="D1863" s="14">
        <v>3.83</v>
      </c>
      <c r="E1863" s="15">
        <v>63.8</v>
      </c>
    </row>
    <row r="1864" spans="1:5">
      <c r="A1864">
        <v>2018</v>
      </c>
      <c r="B1864" t="s">
        <v>2216</v>
      </c>
      <c r="C1864" t="s">
        <v>2234</v>
      </c>
      <c r="D1864" s="14">
        <v>2.48</v>
      </c>
      <c r="E1864" s="15">
        <v>63.8</v>
      </c>
    </row>
    <row r="1865" spans="1:5">
      <c r="A1865">
        <v>2018</v>
      </c>
      <c r="B1865" t="s">
        <v>2217</v>
      </c>
      <c r="C1865" t="s">
        <v>2234</v>
      </c>
      <c r="D1865" s="14">
        <v>11.75</v>
      </c>
      <c r="E1865" s="15">
        <v>63.8</v>
      </c>
    </row>
    <row r="1866" spans="1:5">
      <c r="A1866">
        <v>2018</v>
      </c>
      <c r="B1866" t="s">
        <v>2218</v>
      </c>
      <c r="C1866" t="s">
        <v>2234</v>
      </c>
      <c r="D1866" s="14">
        <v>12.34</v>
      </c>
      <c r="E1866" s="15">
        <v>63.8</v>
      </c>
    </row>
    <row r="1867" spans="1:5">
      <c r="A1867">
        <v>2018</v>
      </c>
      <c r="B1867" t="s">
        <v>2219</v>
      </c>
      <c r="C1867" t="s">
        <v>2234</v>
      </c>
      <c r="D1867" s="14">
        <v>6.51</v>
      </c>
      <c r="E1867" s="15">
        <v>63.8</v>
      </c>
    </row>
    <row r="1868" spans="1:5">
      <c r="A1868">
        <v>2018</v>
      </c>
      <c r="B1868" t="s">
        <v>2220</v>
      </c>
      <c r="C1868" t="s">
        <v>2234</v>
      </c>
      <c r="D1868" s="14">
        <v>4.54</v>
      </c>
      <c r="E1868" s="15">
        <v>63.8</v>
      </c>
    </row>
    <row r="1869" spans="1:5">
      <c r="A1869">
        <v>2018</v>
      </c>
      <c r="B1869" t="s">
        <v>2221</v>
      </c>
      <c r="C1869" t="s">
        <v>2234</v>
      </c>
      <c r="D1869" s="14">
        <v>13.92</v>
      </c>
      <c r="E1869" s="15">
        <v>63.8</v>
      </c>
    </row>
    <row r="1870" spans="1:5">
      <c r="A1870">
        <v>2018</v>
      </c>
      <c r="B1870" t="s">
        <v>2222</v>
      </c>
      <c r="C1870" t="s">
        <v>2234</v>
      </c>
      <c r="D1870" s="14">
        <v>4.5599999999999996</v>
      </c>
      <c r="E1870" s="15">
        <v>63.8</v>
      </c>
    </row>
    <row r="1871" spans="1:5">
      <c r="A1871">
        <v>2018</v>
      </c>
      <c r="B1871" t="s">
        <v>2223</v>
      </c>
      <c r="C1871" t="s">
        <v>2234</v>
      </c>
      <c r="D1871" s="14">
        <v>0.6</v>
      </c>
      <c r="E1871" s="15">
        <v>63.8</v>
      </c>
    </row>
    <row r="1872" spans="1:5">
      <c r="A1872">
        <v>2019</v>
      </c>
      <c r="B1872" t="s">
        <v>2213</v>
      </c>
      <c r="C1872" t="s">
        <v>2234</v>
      </c>
      <c r="D1872" s="14">
        <v>3.02</v>
      </c>
      <c r="E1872" s="15">
        <v>60</v>
      </c>
    </row>
    <row r="1873" spans="1:5">
      <c r="A1873">
        <v>2019</v>
      </c>
      <c r="B1873" t="s">
        <v>2215</v>
      </c>
      <c r="C1873" t="s">
        <v>2234</v>
      </c>
      <c r="D1873" s="14">
        <v>3.53</v>
      </c>
      <c r="E1873" s="15">
        <v>60</v>
      </c>
    </row>
    <row r="1874" spans="1:5">
      <c r="A1874">
        <v>2019</v>
      </c>
      <c r="B1874" t="s">
        <v>2216</v>
      </c>
      <c r="C1874" t="s">
        <v>2234</v>
      </c>
      <c r="D1874" s="14">
        <v>2.69</v>
      </c>
      <c r="E1874" s="15">
        <v>60</v>
      </c>
    </row>
    <row r="1875" spans="1:5">
      <c r="A1875">
        <v>2019</v>
      </c>
      <c r="B1875" t="s">
        <v>2217</v>
      </c>
      <c r="C1875" t="s">
        <v>2234</v>
      </c>
      <c r="D1875" s="14">
        <v>10.87</v>
      </c>
      <c r="E1875" s="15">
        <v>60</v>
      </c>
    </row>
    <row r="1876" spans="1:5">
      <c r="A1876">
        <v>2019</v>
      </c>
      <c r="B1876" t="s">
        <v>2218</v>
      </c>
      <c r="C1876" t="s">
        <v>2234</v>
      </c>
      <c r="D1876" s="14">
        <v>11.72</v>
      </c>
      <c r="E1876" s="15">
        <v>60</v>
      </c>
    </row>
    <row r="1877" spans="1:5">
      <c r="A1877">
        <v>2019</v>
      </c>
      <c r="B1877" t="s">
        <v>2219</v>
      </c>
      <c r="C1877" t="s">
        <v>2234</v>
      </c>
      <c r="D1877" s="14">
        <v>5.68</v>
      </c>
      <c r="E1877" s="15">
        <v>60</v>
      </c>
    </row>
    <row r="1878" spans="1:5">
      <c r="A1878">
        <v>2019</v>
      </c>
      <c r="B1878" t="s">
        <v>2220</v>
      </c>
      <c r="C1878" t="s">
        <v>2234</v>
      </c>
      <c r="D1878" s="14">
        <v>4.43</v>
      </c>
      <c r="E1878" s="15">
        <v>60</v>
      </c>
    </row>
    <row r="1879" spans="1:5">
      <c r="A1879">
        <v>2019</v>
      </c>
      <c r="B1879" t="s">
        <v>2221</v>
      </c>
      <c r="C1879" t="s">
        <v>2234</v>
      </c>
      <c r="D1879" s="14">
        <v>13.02</v>
      </c>
      <c r="E1879" s="15">
        <v>60</v>
      </c>
    </row>
    <row r="1880" spans="1:5">
      <c r="A1880">
        <v>2019</v>
      </c>
      <c r="B1880" t="s">
        <v>2222</v>
      </c>
      <c r="C1880" t="s">
        <v>2234</v>
      </c>
      <c r="D1880" s="14">
        <v>4.07</v>
      </c>
      <c r="E1880" s="15">
        <v>60</v>
      </c>
    </row>
    <row r="1881" spans="1:5">
      <c r="A1881">
        <v>2019</v>
      </c>
      <c r="B1881" t="s">
        <v>2223</v>
      </c>
      <c r="C1881" t="s">
        <v>2234</v>
      </c>
      <c r="D1881" s="14">
        <v>0.61</v>
      </c>
      <c r="E1881" s="15">
        <v>60</v>
      </c>
    </row>
    <row r="1882" spans="1:5">
      <c r="A1882">
        <v>2020</v>
      </c>
      <c r="B1882" t="s">
        <v>2213</v>
      </c>
      <c r="C1882" t="s">
        <v>2234</v>
      </c>
      <c r="D1882" s="14">
        <v>2.98</v>
      </c>
      <c r="E1882" s="15">
        <v>58</v>
      </c>
    </row>
    <row r="1883" spans="1:5">
      <c r="A1883">
        <v>2020</v>
      </c>
      <c r="B1883" t="s">
        <v>2215</v>
      </c>
      <c r="C1883" t="s">
        <v>2234</v>
      </c>
      <c r="D1883" s="14">
        <v>3.57</v>
      </c>
      <c r="E1883" s="15">
        <v>58</v>
      </c>
    </row>
    <row r="1884" spans="1:5">
      <c r="A1884">
        <v>2020</v>
      </c>
      <c r="B1884" t="s">
        <v>2216</v>
      </c>
      <c r="C1884" t="s">
        <v>2234</v>
      </c>
      <c r="D1884" s="14">
        <v>2.3199999999999998</v>
      </c>
      <c r="E1884" s="15">
        <v>58</v>
      </c>
    </row>
    <row r="1885" spans="1:5">
      <c r="A1885">
        <v>2020</v>
      </c>
      <c r="B1885" t="s">
        <v>2217</v>
      </c>
      <c r="C1885" t="s">
        <v>2234</v>
      </c>
      <c r="D1885" s="14">
        <v>10.51</v>
      </c>
      <c r="E1885" s="15">
        <v>58</v>
      </c>
    </row>
    <row r="1886" spans="1:5">
      <c r="A1886">
        <v>2020</v>
      </c>
      <c r="B1886" t="s">
        <v>2218</v>
      </c>
      <c r="C1886" t="s">
        <v>2234</v>
      </c>
      <c r="D1886" s="14">
        <v>11.71</v>
      </c>
      <c r="E1886" s="15">
        <v>58</v>
      </c>
    </row>
    <row r="1887" spans="1:5">
      <c r="A1887">
        <v>2020</v>
      </c>
      <c r="B1887" t="s">
        <v>2219</v>
      </c>
      <c r="C1887" t="s">
        <v>2234</v>
      </c>
      <c r="D1887" s="14">
        <v>5.88</v>
      </c>
      <c r="E1887" s="15">
        <v>58</v>
      </c>
    </row>
    <row r="1888" spans="1:5">
      <c r="A1888">
        <v>2020</v>
      </c>
      <c r="B1888" t="s">
        <v>2220</v>
      </c>
      <c r="C1888" t="s">
        <v>2234</v>
      </c>
      <c r="D1888" s="14">
        <v>4.13</v>
      </c>
      <c r="E1888" s="15">
        <v>58</v>
      </c>
    </row>
    <row r="1889" spans="1:5">
      <c r="A1889">
        <v>2020</v>
      </c>
      <c r="B1889" t="s">
        <v>2221</v>
      </c>
      <c r="C1889" t="s">
        <v>2234</v>
      </c>
      <c r="D1889" s="14">
        <v>13.33</v>
      </c>
      <c r="E1889" s="15">
        <v>58</v>
      </c>
    </row>
    <row r="1890" spans="1:5">
      <c r="A1890">
        <v>2020</v>
      </c>
      <c r="B1890" t="s">
        <v>2222</v>
      </c>
      <c r="C1890" t="s">
        <v>2234</v>
      </c>
      <c r="D1890" s="14">
        <v>4.07</v>
      </c>
      <c r="E1890" s="15">
        <v>58</v>
      </c>
    </row>
    <row r="1891" spans="1:5">
      <c r="A1891">
        <v>2020</v>
      </c>
      <c r="B1891" t="s">
        <v>2223</v>
      </c>
      <c r="C1891" t="s">
        <v>2234</v>
      </c>
      <c r="D1891" s="14">
        <v>0.56000000000000005</v>
      </c>
      <c r="E1891" s="15">
        <v>58</v>
      </c>
    </row>
    <row r="1892" spans="1:5">
      <c r="A1892">
        <v>2021</v>
      </c>
      <c r="B1892" t="s">
        <v>2213</v>
      </c>
      <c r="C1892" t="s">
        <v>2234</v>
      </c>
      <c r="D1892" s="14">
        <v>2.78</v>
      </c>
      <c r="E1892" s="15">
        <v>56</v>
      </c>
    </row>
    <row r="1893" spans="1:5">
      <c r="A1893">
        <v>2021</v>
      </c>
      <c r="B1893" t="s">
        <v>2215</v>
      </c>
      <c r="C1893" t="s">
        <v>2234</v>
      </c>
      <c r="D1893" s="14">
        <v>3.46</v>
      </c>
      <c r="E1893" s="15">
        <v>56</v>
      </c>
    </row>
    <row r="1894" spans="1:5">
      <c r="A1894">
        <v>2021</v>
      </c>
      <c r="B1894" t="s">
        <v>2216</v>
      </c>
      <c r="C1894" t="s">
        <v>2234</v>
      </c>
      <c r="D1894" s="14">
        <v>2.09</v>
      </c>
      <c r="E1894" s="15">
        <v>56</v>
      </c>
    </row>
    <row r="1895" spans="1:5">
      <c r="A1895">
        <v>2021</v>
      </c>
      <c r="B1895" t="s">
        <v>2217</v>
      </c>
      <c r="C1895" t="s">
        <v>2234</v>
      </c>
      <c r="D1895" s="14">
        <v>9.39</v>
      </c>
      <c r="E1895" s="15">
        <v>56</v>
      </c>
    </row>
    <row r="1896" spans="1:5">
      <c r="A1896">
        <v>2021</v>
      </c>
      <c r="B1896" t="s">
        <v>2218</v>
      </c>
      <c r="C1896" t="s">
        <v>2234</v>
      </c>
      <c r="D1896" s="14">
        <v>11.62</v>
      </c>
      <c r="E1896" s="15">
        <v>56</v>
      </c>
    </row>
    <row r="1897" spans="1:5">
      <c r="A1897">
        <v>2021</v>
      </c>
      <c r="B1897" t="s">
        <v>2219</v>
      </c>
      <c r="C1897" t="s">
        <v>2234</v>
      </c>
      <c r="D1897" s="14">
        <v>5.95</v>
      </c>
      <c r="E1897" s="15">
        <v>56</v>
      </c>
    </row>
    <row r="1898" spans="1:5">
      <c r="A1898">
        <v>2021</v>
      </c>
      <c r="B1898" t="s">
        <v>2220</v>
      </c>
      <c r="C1898" t="s">
        <v>2234</v>
      </c>
      <c r="D1898" s="14">
        <v>3.73</v>
      </c>
      <c r="E1898" s="15">
        <v>56</v>
      </c>
    </row>
    <row r="1899" spans="1:5">
      <c r="A1899">
        <v>2021</v>
      </c>
      <c r="B1899" t="s">
        <v>2221</v>
      </c>
      <c r="C1899" t="s">
        <v>2234</v>
      </c>
      <c r="D1899" s="14">
        <v>12.37</v>
      </c>
      <c r="E1899" s="15">
        <v>56</v>
      </c>
    </row>
    <row r="1900" spans="1:5">
      <c r="A1900">
        <v>2021</v>
      </c>
      <c r="B1900" t="s">
        <v>2222</v>
      </c>
      <c r="C1900" t="s">
        <v>2234</v>
      </c>
      <c r="D1900" s="14">
        <v>3.86</v>
      </c>
      <c r="E1900" s="15">
        <v>56</v>
      </c>
    </row>
    <row r="1901" spans="1:5">
      <c r="A1901">
        <v>2021</v>
      </c>
      <c r="B1901" t="s">
        <v>2223</v>
      </c>
      <c r="C1901" t="s">
        <v>2234</v>
      </c>
      <c r="D1901" s="14">
        <v>0.55000000000000004</v>
      </c>
      <c r="E1901" s="15">
        <v>56</v>
      </c>
    </row>
    <row r="1902" spans="1:5">
      <c r="A1902">
        <v>2022</v>
      </c>
      <c r="B1902" t="s">
        <v>2213</v>
      </c>
      <c r="C1902" t="s">
        <v>2234</v>
      </c>
      <c r="D1902" s="14">
        <v>2.73</v>
      </c>
      <c r="E1902" s="15">
        <v>54</v>
      </c>
    </row>
    <row r="1903" spans="1:5">
      <c r="A1903">
        <v>2022</v>
      </c>
      <c r="B1903" t="s">
        <v>2215</v>
      </c>
      <c r="C1903" t="s">
        <v>2234</v>
      </c>
      <c r="D1903" s="14">
        <v>3.08</v>
      </c>
      <c r="E1903" s="15">
        <v>54</v>
      </c>
    </row>
    <row r="1904" spans="1:5">
      <c r="A1904">
        <v>2022</v>
      </c>
      <c r="B1904" t="s">
        <v>2216</v>
      </c>
      <c r="C1904" t="s">
        <v>2234</v>
      </c>
      <c r="D1904" s="14">
        <v>2.0699999999999998</v>
      </c>
      <c r="E1904" s="15">
        <v>54</v>
      </c>
    </row>
    <row r="1905" spans="1:5">
      <c r="A1905">
        <v>2022</v>
      </c>
      <c r="B1905" t="s">
        <v>2217</v>
      </c>
      <c r="C1905" t="s">
        <v>2234</v>
      </c>
      <c r="D1905" s="14">
        <v>9.6</v>
      </c>
      <c r="E1905" s="15">
        <v>54</v>
      </c>
    </row>
    <row r="1906" spans="1:5">
      <c r="A1906">
        <v>2022</v>
      </c>
      <c r="B1906" t="s">
        <v>2218</v>
      </c>
      <c r="C1906" t="s">
        <v>2234</v>
      </c>
      <c r="D1906" s="14">
        <v>10.74</v>
      </c>
      <c r="E1906" s="15">
        <v>54</v>
      </c>
    </row>
    <row r="1907" spans="1:5">
      <c r="A1907">
        <v>2022</v>
      </c>
      <c r="B1907" t="s">
        <v>2219</v>
      </c>
      <c r="C1907" t="s">
        <v>2234</v>
      </c>
      <c r="D1907" s="14">
        <v>5.16</v>
      </c>
      <c r="E1907" s="15">
        <v>54</v>
      </c>
    </row>
    <row r="1908" spans="1:5">
      <c r="A1908">
        <v>2022</v>
      </c>
      <c r="B1908" t="s">
        <v>2220</v>
      </c>
      <c r="C1908" t="s">
        <v>2234</v>
      </c>
      <c r="D1908" s="14">
        <v>3.9</v>
      </c>
      <c r="E1908" s="15">
        <v>54</v>
      </c>
    </row>
    <row r="1909" spans="1:5">
      <c r="A1909">
        <v>2022</v>
      </c>
      <c r="B1909" t="s">
        <v>2221</v>
      </c>
      <c r="C1909" t="s">
        <v>2234</v>
      </c>
      <c r="D1909" s="14">
        <v>11.68</v>
      </c>
      <c r="E1909" s="15">
        <v>54</v>
      </c>
    </row>
    <row r="1910" spans="1:5">
      <c r="A1910">
        <v>2022</v>
      </c>
      <c r="B1910" t="s">
        <v>2222</v>
      </c>
      <c r="C1910" t="s">
        <v>2234</v>
      </c>
      <c r="D1910" s="14">
        <v>3.72</v>
      </c>
      <c r="E1910" s="15">
        <v>54</v>
      </c>
    </row>
    <row r="1911" spans="1:5">
      <c r="A1911">
        <v>2022</v>
      </c>
      <c r="B1911" t="s">
        <v>2223</v>
      </c>
      <c r="C1911" t="s">
        <v>2234</v>
      </c>
      <c r="D1911" s="14">
        <v>0.55000000000000004</v>
      </c>
      <c r="E1911" s="15">
        <v>54</v>
      </c>
    </row>
    <row r="1912" spans="1:5">
      <c r="A1912">
        <v>2023</v>
      </c>
      <c r="B1912" t="s">
        <v>2213</v>
      </c>
      <c r="C1912" t="s">
        <v>2234</v>
      </c>
      <c r="D1912" s="14">
        <v>2.59</v>
      </c>
      <c r="E1912" s="15">
        <v>52</v>
      </c>
    </row>
    <row r="1913" spans="1:5">
      <c r="A1913">
        <v>2023</v>
      </c>
      <c r="B1913" t="s">
        <v>2215</v>
      </c>
      <c r="C1913" t="s">
        <v>2234</v>
      </c>
      <c r="D1913" s="14">
        <v>3.23</v>
      </c>
      <c r="E1913" s="15">
        <v>52</v>
      </c>
    </row>
    <row r="1914" spans="1:5">
      <c r="A1914">
        <v>2023</v>
      </c>
      <c r="B1914" t="s">
        <v>2216</v>
      </c>
      <c r="C1914" t="s">
        <v>2234</v>
      </c>
      <c r="D1914" s="14">
        <v>2</v>
      </c>
      <c r="E1914" s="15">
        <v>52</v>
      </c>
    </row>
    <row r="1915" spans="1:5">
      <c r="A1915">
        <v>2023</v>
      </c>
      <c r="B1915" t="s">
        <v>2217</v>
      </c>
      <c r="C1915" t="s">
        <v>2234</v>
      </c>
      <c r="D1915" s="14">
        <v>8.85</v>
      </c>
      <c r="E1915" s="15">
        <v>52</v>
      </c>
    </row>
    <row r="1916" spans="1:5">
      <c r="A1916">
        <v>2023</v>
      </c>
      <c r="B1916" t="s">
        <v>2218</v>
      </c>
      <c r="C1916" t="s">
        <v>2234</v>
      </c>
      <c r="D1916" s="14">
        <v>10.27</v>
      </c>
      <c r="E1916" s="15">
        <v>52</v>
      </c>
    </row>
    <row r="1917" spans="1:5">
      <c r="A1917">
        <v>2023</v>
      </c>
      <c r="B1917" t="s">
        <v>2219</v>
      </c>
      <c r="C1917" t="s">
        <v>2234</v>
      </c>
      <c r="D1917" s="14">
        <v>5.21</v>
      </c>
      <c r="E1917" s="15">
        <v>52</v>
      </c>
    </row>
    <row r="1918" spans="1:5">
      <c r="A1918">
        <v>2023</v>
      </c>
      <c r="B1918" t="s">
        <v>2220</v>
      </c>
      <c r="C1918" t="s">
        <v>2234</v>
      </c>
      <c r="D1918" s="14">
        <v>3.46</v>
      </c>
      <c r="E1918" s="15">
        <v>52</v>
      </c>
    </row>
    <row r="1919" spans="1:5">
      <c r="A1919">
        <v>2023</v>
      </c>
      <c r="B1919" t="s">
        <v>2221</v>
      </c>
      <c r="C1919" t="s">
        <v>2234</v>
      </c>
      <c r="D1919" s="14">
        <v>10.82</v>
      </c>
      <c r="E1919" s="15">
        <v>52</v>
      </c>
    </row>
    <row r="1920" spans="1:5">
      <c r="A1920">
        <v>2023</v>
      </c>
      <c r="B1920" t="s">
        <v>2222</v>
      </c>
      <c r="C1920" t="s">
        <v>2234</v>
      </c>
      <c r="D1920" s="14">
        <v>3.67</v>
      </c>
      <c r="E1920" s="15">
        <v>52</v>
      </c>
    </row>
    <row r="1921" spans="1:5">
      <c r="A1921">
        <v>2023</v>
      </c>
      <c r="B1921" t="s">
        <v>2223</v>
      </c>
      <c r="C1921" t="s">
        <v>2234</v>
      </c>
      <c r="D1921" s="14">
        <v>0.5</v>
      </c>
      <c r="E1921" s="15">
        <v>52</v>
      </c>
    </row>
    <row r="1922" spans="1:5">
      <c r="A1922">
        <v>2024</v>
      </c>
      <c r="B1922" t="s">
        <v>2213</v>
      </c>
      <c r="C1922" t="s">
        <v>2234</v>
      </c>
      <c r="D1922" s="14">
        <v>2.36</v>
      </c>
      <c r="E1922" s="15">
        <v>50</v>
      </c>
    </row>
    <row r="1923" spans="1:5">
      <c r="A1923">
        <v>2024</v>
      </c>
      <c r="B1923" t="s">
        <v>2215</v>
      </c>
      <c r="C1923" t="s">
        <v>2234</v>
      </c>
      <c r="D1923" s="14">
        <v>3.12</v>
      </c>
      <c r="E1923" s="15">
        <v>50</v>
      </c>
    </row>
    <row r="1924" spans="1:5">
      <c r="A1924">
        <v>2024</v>
      </c>
      <c r="B1924" t="s">
        <v>2216</v>
      </c>
      <c r="C1924" t="s">
        <v>2234</v>
      </c>
      <c r="D1924" s="14">
        <v>1.95</v>
      </c>
      <c r="E1924" s="15">
        <v>50</v>
      </c>
    </row>
    <row r="1925" spans="1:5">
      <c r="A1925">
        <v>2024</v>
      </c>
      <c r="B1925" t="s">
        <v>2217</v>
      </c>
      <c r="C1925" t="s">
        <v>2234</v>
      </c>
      <c r="D1925" s="14">
        <v>9.42</v>
      </c>
      <c r="E1925" s="15">
        <v>50</v>
      </c>
    </row>
    <row r="1926" spans="1:5">
      <c r="A1926">
        <v>2024</v>
      </c>
      <c r="B1926" t="s">
        <v>2218</v>
      </c>
      <c r="C1926" t="s">
        <v>2234</v>
      </c>
      <c r="D1926" s="14">
        <v>10.01</v>
      </c>
      <c r="E1926" s="15">
        <v>50</v>
      </c>
    </row>
    <row r="1927" spans="1:5">
      <c r="A1927">
        <v>2024</v>
      </c>
      <c r="B1927" t="s">
        <v>2219</v>
      </c>
      <c r="C1927" t="s">
        <v>2234</v>
      </c>
      <c r="D1927" s="14">
        <v>5.0599999999999996</v>
      </c>
      <c r="E1927" s="15">
        <v>50</v>
      </c>
    </row>
    <row r="1928" spans="1:5">
      <c r="A1928">
        <v>2024</v>
      </c>
      <c r="B1928" t="s">
        <v>2220</v>
      </c>
      <c r="C1928" t="s">
        <v>2234</v>
      </c>
      <c r="D1928" s="14">
        <v>3.47</v>
      </c>
      <c r="E1928" s="15">
        <v>50</v>
      </c>
    </row>
    <row r="1929" spans="1:5">
      <c r="A1929">
        <v>2024</v>
      </c>
      <c r="B1929" t="s">
        <v>2221</v>
      </c>
      <c r="C1929" t="s">
        <v>2234</v>
      </c>
      <c r="D1929" s="14">
        <v>9.89</v>
      </c>
      <c r="E1929" s="15">
        <v>50</v>
      </c>
    </row>
    <row r="1930" spans="1:5">
      <c r="A1930">
        <v>2024</v>
      </c>
      <c r="B1930" t="s">
        <v>2222</v>
      </c>
      <c r="C1930" t="s">
        <v>2234</v>
      </c>
      <c r="D1930" s="14">
        <v>3.34</v>
      </c>
      <c r="E1930" s="15">
        <v>50</v>
      </c>
    </row>
    <row r="1931" spans="1:5">
      <c r="A1931">
        <v>2024</v>
      </c>
      <c r="B1931" t="s">
        <v>2223</v>
      </c>
      <c r="C1931" t="s">
        <v>2234</v>
      </c>
      <c r="D1931" s="14">
        <v>0.5</v>
      </c>
      <c r="E1931" s="15">
        <v>50</v>
      </c>
    </row>
    <row r="1932" spans="1:5">
      <c r="A1932">
        <v>2025</v>
      </c>
      <c r="B1932" t="s">
        <v>2213</v>
      </c>
      <c r="C1932" t="s">
        <v>2234</v>
      </c>
      <c r="D1932" s="14">
        <v>2.46</v>
      </c>
      <c r="E1932" s="15">
        <v>48.5</v>
      </c>
    </row>
    <row r="1933" spans="1:5">
      <c r="A1933">
        <v>2025</v>
      </c>
      <c r="B1933" t="s">
        <v>2215</v>
      </c>
      <c r="C1933" t="s">
        <v>2234</v>
      </c>
      <c r="D1933" s="14">
        <v>2.71</v>
      </c>
      <c r="E1933" s="15">
        <v>48.5</v>
      </c>
    </row>
    <row r="1934" spans="1:5">
      <c r="A1934">
        <v>2025</v>
      </c>
      <c r="B1934" t="s">
        <v>2216</v>
      </c>
      <c r="C1934" t="s">
        <v>2234</v>
      </c>
      <c r="D1934" s="14">
        <v>1.94</v>
      </c>
      <c r="E1934" s="15">
        <v>48.5</v>
      </c>
    </row>
    <row r="1935" spans="1:5">
      <c r="A1935">
        <v>2025</v>
      </c>
      <c r="B1935" t="s">
        <v>2217</v>
      </c>
      <c r="C1935" t="s">
        <v>2234</v>
      </c>
      <c r="D1935" s="14">
        <v>8.35</v>
      </c>
      <c r="E1935" s="15">
        <v>48.5</v>
      </c>
    </row>
    <row r="1936" spans="1:5">
      <c r="A1936">
        <v>2025</v>
      </c>
      <c r="B1936" t="s">
        <v>2218</v>
      </c>
      <c r="C1936" t="s">
        <v>2234</v>
      </c>
      <c r="D1936" s="14">
        <v>9.7899999999999991</v>
      </c>
      <c r="E1936" s="15">
        <v>48.5</v>
      </c>
    </row>
    <row r="1937" spans="1:5">
      <c r="A1937">
        <v>2025</v>
      </c>
      <c r="B1937" t="s">
        <v>2219</v>
      </c>
      <c r="C1937" t="s">
        <v>2234</v>
      </c>
      <c r="D1937" s="14">
        <v>4.8499999999999996</v>
      </c>
      <c r="E1937" s="15">
        <v>48.5</v>
      </c>
    </row>
    <row r="1938" spans="1:5">
      <c r="A1938">
        <v>2025</v>
      </c>
      <c r="B1938" t="s">
        <v>2220</v>
      </c>
      <c r="C1938" t="s">
        <v>2234</v>
      </c>
      <c r="D1938" s="14">
        <v>3.5</v>
      </c>
      <c r="E1938" s="15">
        <v>48.5</v>
      </c>
    </row>
    <row r="1939" spans="1:5">
      <c r="A1939">
        <v>2025</v>
      </c>
      <c r="B1939" t="s">
        <v>2221</v>
      </c>
      <c r="C1939" t="s">
        <v>2234</v>
      </c>
      <c r="D1939" s="14">
        <v>11.14</v>
      </c>
      <c r="E1939" s="15">
        <v>48.5</v>
      </c>
    </row>
    <row r="1940" spans="1:5">
      <c r="A1940">
        <v>2025</v>
      </c>
      <c r="B1940" t="s">
        <v>2222</v>
      </c>
      <c r="C1940" t="s">
        <v>2234</v>
      </c>
      <c r="D1940" s="14">
        <v>3.46</v>
      </c>
      <c r="E1940" s="15">
        <v>48.5</v>
      </c>
    </row>
    <row r="1941" spans="1:5">
      <c r="A1941">
        <v>2025</v>
      </c>
      <c r="B1941" t="s">
        <v>2223</v>
      </c>
      <c r="C1941" t="s">
        <v>2234</v>
      </c>
      <c r="D1941" s="14">
        <v>0.5</v>
      </c>
      <c r="E1941" s="15">
        <v>48.5</v>
      </c>
    </row>
    <row r="1942" spans="1:5">
      <c r="A1942">
        <v>2026</v>
      </c>
      <c r="B1942" t="s">
        <v>2213</v>
      </c>
      <c r="C1942" t="s">
        <v>2234</v>
      </c>
      <c r="D1942" s="14">
        <v>2.3199999999999998</v>
      </c>
      <c r="E1942" s="15">
        <v>47</v>
      </c>
    </row>
    <row r="1943" spans="1:5">
      <c r="A1943">
        <v>2026</v>
      </c>
      <c r="B1943" t="s">
        <v>2215</v>
      </c>
      <c r="C1943" t="s">
        <v>2234</v>
      </c>
      <c r="D1943" s="14">
        <v>3.16</v>
      </c>
      <c r="E1943" s="15">
        <v>47</v>
      </c>
    </row>
    <row r="1944" spans="1:5">
      <c r="A1944">
        <v>2026</v>
      </c>
      <c r="B1944" t="s">
        <v>2216</v>
      </c>
      <c r="C1944" t="s">
        <v>2234</v>
      </c>
      <c r="D1944" s="14">
        <v>1.79</v>
      </c>
      <c r="E1944" s="15">
        <v>47</v>
      </c>
    </row>
    <row r="1945" spans="1:5">
      <c r="A1945">
        <v>2026</v>
      </c>
      <c r="B1945" t="s">
        <v>2217</v>
      </c>
      <c r="C1945" t="s">
        <v>2234</v>
      </c>
      <c r="D1945" s="14">
        <v>8.2799999999999994</v>
      </c>
      <c r="E1945" s="15">
        <v>47</v>
      </c>
    </row>
    <row r="1946" spans="1:5">
      <c r="A1946">
        <v>2026</v>
      </c>
      <c r="B1946" t="s">
        <v>2218</v>
      </c>
      <c r="C1946" t="s">
        <v>2234</v>
      </c>
      <c r="D1946" s="14">
        <v>9.75</v>
      </c>
      <c r="E1946" s="15">
        <v>47</v>
      </c>
    </row>
    <row r="1947" spans="1:5">
      <c r="A1947">
        <v>2026</v>
      </c>
      <c r="B1947" t="s">
        <v>2219</v>
      </c>
      <c r="C1947" t="s">
        <v>2234</v>
      </c>
      <c r="D1947" s="14">
        <v>4.84</v>
      </c>
      <c r="E1947" s="15">
        <v>47</v>
      </c>
    </row>
    <row r="1948" spans="1:5">
      <c r="A1948">
        <v>2026</v>
      </c>
      <c r="B1948" t="s">
        <v>2220</v>
      </c>
      <c r="C1948" t="s">
        <v>2234</v>
      </c>
      <c r="D1948" s="14">
        <v>3.35</v>
      </c>
      <c r="E1948" s="15">
        <v>47</v>
      </c>
    </row>
    <row r="1949" spans="1:5">
      <c r="A1949">
        <v>2026</v>
      </c>
      <c r="B1949" t="s">
        <v>2221</v>
      </c>
      <c r="C1949" t="s">
        <v>2234</v>
      </c>
      <c r="D1949" s="14">
        <v>10.62</v>
      </c>
      <c r="E1949" s="15">
        <v>47</v>
      </c>
    </row>
    <row r="1950" spans="1:5">
      <c r="A1950">
        <v>2026</v>
      </c>
      <c r="B1950" t="s">
        <v>2222</v>
      </c>
      <c r="C1950" t="s">
        <v>2234</v>
      </c>
      <c r="D1950" s="14">
        <v>3.03</v>
      </c>
      <c r="E1950" s="15">
        <v>47</v>
      </c>
    </row>
    <row r="1951" spans="1:5">
      <c r="A1951">
        <v>2026</v>
      </c>
      <c r="B1951" t="s">
        <v>2223</v>
      </c>
      <c r="C1951" t="s">
        <v>2234</v>
      </c>
      <c r="D1951" s="14">
        <v>0.5</v>
      </c>
      <c r="E1951" s="15">
        <v>47</v>
      </c>
    </row>
    <row r="1952" spans="1:5">
      <c r="A1952">
        <v>2010</v>
      </c>
      <c r="B1952" t="s">
        <v>2213</v>
      </c>
      <c r="C1952" t="s">
        <v>2235</v>
      </c>
      <c r="D1952" s="14">
        <v>9.92</v>
      </c>
      <c r="E1952" s="15">
        <v>200</v>
      </c>
    </row>
    <row r="1953" spans="1:5">
      <c r="A1953">
        <v>2010</v>
      </c>
      <c r="B1953" t="s">
        <v>2215</v>
      </c>
      <c r="C1953" t="s">
        <v>2235</v>
      </c>
      <c r="D1953" s="14">
        <v>12.61</v>
      </c>
      <c r="E1953" s="15">
        <v>200</v>
      </c>
    </row>
    <row r="1954" spans="1:5">
      <c r="A1954">
        <v>2010</v>
      </c>
      <c r="B1954" t="s">
        <v>2216</v>
      </c>
      <c r="C1954" t="s">
        <v>2235</v>
      </c>
      <c r="D1954" s="14">
        <v>7.38</v>
      </c>
      <c r="E1954" s="15">
        <v>200</v>
      </c>
    </row>
    <row r="1955" spans="1:5">
      <c r="A1955">
        <v>2010</v>
      </c>
      <c r="B1955" t="s">
        <v>2217</v>
      </c>
      <c r="C1955" t="s">
        <v>2235</v>
      </c>
      <c r="D1955" s="14">
        <v>36.369999999999997</v>
      </c>
      <c r="E1955" s="15">
        <v>200</v>
      </c>
    </row>
    <row r="1956" spans="1:5">
      <c r="A1956">
        <v>2010</v>
      </c>
      <c r="B1956" t="s">
        <v>2218</v>
      </c>
      <c r="C1956" t="s">
        <v>2235</v>
      </c>
      <c r="D1956" s="14">
        <v>39.11</v>
      </c>
      <c r="E1956" s="15">
        <v>200</v>
      </c>
    </row>
    <row r="1957" spans="1:5">
      <c r="A1957">
        <v>2010</v>
      </c>
      <c r="B1957" t="s">
        <v>2219</v>
      </c>
      <c r="C1957" t="s">
        <v>2235</v>
      </c>
      <c r="D1957" s="14">
        <v>20.46</v>
      </c>
      <c r="E1957" s="15">
        <v>200</v>
      </c>
    </row>
    <row r="1958" spans="1:5">
      <c r="A1958">
        <v>2010</v>
      </c>
      <c r="B1958" t="s">
        <v>2220</v>
      </c>
      <c r="C1958" t="s">
        <v>2235</v>
      </c>
      <c r="D1958" s="14">
        <v>14.18</v>
      </c>
      <c r="E1958" s="15">
        <v>200</v>
      </c>
    </row>
    <row r="1959" spans="1:5">
      <c r="A1959">
        <v>2010</v>
      </c>
      <c r="B1959" t="s">
        <v>2221</v>
      </c>
      <c r="C1959" t="s">
        <v>2235</v>
      </c>
      <c r="D1959" s="14">
        <v>44.65</v>
      </c>
      <c r="E1959" s="15">
        <v>200</v>
      </c>
    </row>
    <row r="1960" spans="1:5">
      <c r="A1960">
        <v>2010</v>
      </c>
      <c r="B1960" t="s">
        <v>2222</v>
      </c>
      <c r="C1960" t="s">
        <v>2235</v>
      </c>
      <c r="D1960" s="14">
        <v>13.42</v>
      </c>
      <c r="E1960" s="15">
        <v>200</v>
      </c>
    </row>
    <row r="1961" spans="1:5">
      <c r="A1961">
        <v>2010</v>
      </c>
      <c r="B1961" t="s">
        <v>2223</v>
      </c>
      <c r="C1961" t="s">
        <v>2235</v>
      </c>
      <c r="D1961" s="14">
        <v>2</v>
      </c>
      <c r="E1961" s="15">
        <v>200</v>
      </c>
    </row>
    <row r="1962" spans="1:5">
      <c r="A1962">
        <v>2011</v>
      </c>
      <c r="B1962" t="s">
        <v>2213</v>
      </c>
      <c r="C1962" t="s">
        <v>2235</v>
      </c>
      <c r="D1962" s="14">
        <v>9.68</v>
      </c>
      <c r="E1962" s="15">
        <v>195</v>
      </c>
    </row>
    <row r="1963" spans="1:5">
      <c r="A1963">
        <v>2011</v>
      </c>
      <c r="B1963" t="s">
        <v>2215</v>
      </c>
      <c r="C1963" t="s">
        <v>2235</v>
      </c>
      <c r="D1963" s="14">
        <v>11.93</v>
      </c>
      <c r="E1963" s="15">
        <v>195</v>
      </c>
    </row>
    <row r="1964" spans="1:5">
      <c r="A1964">
        <v>2011</v>
      </c>
      <c r="B1964" t="s">
        <v>2216</v>
      </c>
      <c r="C1964" t="s">
        <v>2235</v>
      </c>
      <c r="D1964" s="14">
        <v>8.11</v>
      </c>
      <c r="E1964" s="15">
        <v>195</v>
      </c>
    </row>
    <row r="1965" spans="1:5">
      <c r="A1965">
        <v>2011</v>
      </c>
      <c r="B1965" t="s">
        <v>2217</v>
      </c>
      <c r="C1965" t="s">
        <v>2235</v>
      </c>
      <c r="D1965" s="14">
        <v>35.31</v>
      </c>
      <c r="E1965" s="15">
        <v>195</v>
      </c>
    </row>
    <row r="1966" spans="1:5">
      <c r="A1966">
        <v>2011</v>
      </c>
      <c r="B1966" t="s">
        <v>2218</v>
      </c>
      <c r="C1966" t="s">
        <v>2235</v>
      </c>
      <c r="D1966" s="14">
        <v>37.06</v>
      </c>
      <c r="E1966" s="15">
        <v>195</v>
      </c>
    </row>
    <row r="1967" spans="1:5">
      <c r="A1967">
        <v>2011</v>
      </c>
      <c r="B1967" t="s">
        <v>2219</v>
      </c>
      <c r="C1967" t="s">
        <v>2235</v>
      </c>
      <c r="D1967" s="14">
        <v>19.579999999999998</v>
      </c>
      <c r="E1967" s="15">
        <v>195</v>
      </c>
    </row>
    <row r="1968" spans="1:5">
      <c r="A1968">
        <v>2011</v>
      </c>
      <c r="B1968" t="s">
        <v>2220</v>
      </c>
      <c r="C1968" t="s">
        <v>2235</v>
      </c>
      <c r="D1968" s="14">
        <v>15.15</v>
      </c>
      <c r="E1968" s="15">
        <v>195</v>
      </c>
    </row>
    <row r="1969" spans="1:5">
      <c r="A1969">
        <v>2011</v>
      </c>
      <c r="B1969" t="s">
        <v>2221</v>
      </c>
      <c r="C1969" t="s">
        <v>2235</v>
      </c>
      <c r="D1969" s="14">
        <v>45.82</v>
      </c>
      <c r="E1969" s="15">
        <v>195</v>
      </c>
    </row>
    <row r="1970" spans="1:5">
      <c r="A1970">
        <v>2011</v>
      </c>
      <c r="B1970" t="s">
        <v>2222</v>
      </c>
      <c r="C1970" t="s">
        <v>2235</v>
      </c>
      <c r="D1970" s="14">
        <v>12.12</v>
      </c>
      <c r="E1970" s="15">
        <v>195</v>
      </c>
    </row>
    <row r="1971" spans="1:5">
      <c r="A1971">
        <v>2011</v>
      </c>
      <c r="B1971" t="s">
        <v>2223</v>
      </c>
      <c r="C1971" t="s">
        <v>2235</v>
      </c>
      <c r="D1971" s="14">
        <v>1.95</v>
      </c>
      <c r="E1971" s="15">
        <v>195</v>
      </c>
    </row>
    <row r="1972" spans="1:5">
      <c r="A1972">
        <v>2012</v>
      </c>
      <c r="B1972" t="s">
        <v>2213</v>
      </c>
      <c r="C1972" t="s">
        <v>2235</v>
      </c>
      <c r="D1972" s="14">
        <v>9.86</v>
      </c>
      <c r="E1972" s="15">
        <v>190</v>
      </c>
    </row>
    <row r="1973" spans="1:5">
      <c r="A1973">
        <v>2012</v>
      </c>
      <c r="B1973" t="s">
        <v>2215</v>
      </c>
      <c r="C1973" t="s">
        <v>2235</v>
      </c>
      <c r="D1973" s="14">
        <v>11.32</v>
      </c>
      <c r="E1973" s="15">
        <v>190</v>
      </c>
    </row>
    <row r="1974" spans="1:5">
      <c r="A1974">
        <v>2012</v>
      </c>
      <c r="B1974" t="s">
        <v>2216</v>
      </c>
      <c r="C1974" t="s">
        <v>2235</v>
      </c>
      <c r="D1974" s="14">
        <v>7.46</v>
      </c>
      <c r="E1974" s="15">
        <v>190</v>
      </c>
    </row>
    <row r="1975" spans="1:5">
      <c r="A1975">
        <v>2012</v>
      </c>
      <c r="B1975" t="s">
        <v>2217</v>
      </c>
      <c r="C1975" t="s">
        <v>2235</v>
      </c>
      <c r="D1975" s="14">
        <v>33.840000000000003</v>
      </c>
      <c r="E1975" s="15">
        <v>190</v>
      </c>
    </row>
    <row r="1976" spans="1:5">
      <c r="A1976">
        <v>2012</v>
      </c>
      <c r="B1976" t="s">
        <v>2218</v>
      </c>
      <c r="C1976" t="s">
        <v>2235</v>
      </c>
      <c r="D1976" s="14">
        <v>38.85</v>
      </c>
      <c r="E1976" s="15">
        <v>190</v>
      </c>
    </row>
    <row r="1977" spans="1:5">
      <c r="A1977">
        <v>2012</v>
      </c>
      <c r="B1977" t="s">
        <v>2219</v>
      </c>
      <c r="C1977" t="s">
        <v>2235</v>
      </c>
      <c r="D1977" s="14">
        <v>18.149999999999999</v>
      </c>
      <c r="E1977" s="15">
        <v>190</v>
      </c>
    </row>
    <row r="1978" spans="1:5">
      <c r="A1978">
        <v>2012</v>
      </c>
      <c r="B1978" t="s">
        <v>2220</v>
      </c>
      <c r="C1978" t="s">
        <v>2235</v>
      </c>
      <c r="D1978" s="14">
        <v>13.95</v>
      </c>
      <c r="E1978" s="15">
        <v>190</v>
      </c>
    </row>
    <row r="1979" spans="1:5">
      <c r="A1979">
        <v>2012</v>
      </c>
      <c r="B1979" t="s">
        <v>2221</v>
      </c>
      <c r="C1979" t="s">
        <v>2235</v>
      </c>
      <c r="D1979" s="14">
        <v>41.71</v>
      </c>
      <c r="E1979" s="15">
        <v>190</v>
      </c>
    </row>
    <row r="1980" spans="1:5">
      <c r="A1980">
        <v>2012</v>
      </c>
      <c r="B1980" t="s">
        <v>2222</v>
      </c>
      <c r="C1980" t="s">
        <v>2235</v>
      </c>
      <c r="D1980" s="14">
        <v>12.81</v>
      </c>
      <c r="E1980" s="15">
        <v>190</v>
      </c>
    </row>
    <row r="1981" spans="1:5">
      <c r="A1981">
        <v>2012</v>
      </c>
      <c r="B1981" t="s">
        <v>2223</v>
      </c>
      <c r="C1981" t="s">
        <v>2235</v>
      </c>
      <c r="D1981" s="14">
        <v>1.99</v>
      </c>
      <c r="E1981" s="15">
        <v>190</v>
      </c>
    </row>
    <row r="1982" spans="1:5">
      <c r="A1982">
        <v>2013</v>
      </c>
      <c r="B1982" t="s">
        <v>2213</v>
      </c>
      <c r="C1982" t="s">
        <v>2235</v>
      </c>
      <c r="D1982" s="14">
        <v>8.6999999999999993</v>
      </c>
      <c r="E1982" s="15">
        <v>185</v>
      </c>
    </row>
    <row r="1983" spans="1:5">
      <c r="A1983">
        <v>2013</v>
      </c>
      <c r="B1983" t="s">
        <v>2215</v>
      </c>
      <c r="C1983" t="s">
        <v>2235</v>
      </c>
      <c r="D1983" s="14">
        <v>10.86</v>
      </c>
      <c r="E1983" s="15">
        <v>185</v>
      </c>
    </row>
    <row r="1984" spans="1:5">
      <c r="A1984">
        <v>2013</v>
      </c>
      <c r="B1984" t="s">
        <v>2216</v>
      </c>
      <c r="C1984" t="s">
        <v>2235</v>
      </c>
      <c r="D1984" s="14">
        <v>7.23</v>
      </c>
      <c r="E1984" s="15">
        <v>185</v>
      </c>
    </row>
    <row r="1985" spans="1:5">
      <c r="A1985">
        <v>2013</v>
      </c>
      <c r="B1985" t="s">
        <v>2217</v>
      </c>
      <c r="C1985" t="s">
        <v>2235</v>
      </c>
      <c r="D1985" s="14">
        <v>36.28</v>
      </c>
      <c r="E1985" s="15">
        <v>185</v>
      </c>
    </row>
    <row r="1986" spans="1:5">
      <c r="A1986">
        <v>2013</v>
      </c>
      <c r="B1986" t="s">
        <v>2218</v>
      </c>
      <c r="C1986" t="s">
        <v>2235</v>
      </c>
      <c r="D1986" s="14">
        <v>36</v>
      </c>
      <c r="E1986" s="15">
        <v>185</v>
      </c>
    </row>
    <row r="1987" spans="1:5">
      <c r="A1987">
        <v>2013</v>
      </c>
      <c r="B1987" t="s">
        <v>2219</v>
      </c>
      <c r="C1987" t="s">
        <v>2235</v>
      </c>
      <c r="D1987" s="14">
        <v>16.97</v>
      </c>
      <c r="E1987" s="15">
        <v>185</v>
      </c>
    </row>
    <row r="1988" spans="1:5">
      <c r="A1988">
        <v>2013</v>
      </c>
      <c r="B1988" t="s">
        <v>2220</v>
      </c>
      <c r="C1988" t="s">
        <v>2235</v>
      </c>
      <c r="D1988" s="14">
        <v>12.65</v>
      </c>
      <c r="E1988" s="15">
        <v>185</v>
      </c>
    </row>
    <row r="1989" spans="1:5">
      <c r="A1989">
        <v>2013</v>
      </c>
      <c r="B1989" t="s">
        <v>2221</v>
      </c>
      <c r="C1989" t="s">
        <v>2235</v>
      </c>
      <c r="D1989" s="14">
        <v>41.45</v>
      </c>
      <c r="E1989" s="15">
        <v>185</v>
      </c>
    </row>
    <row r="1990" spans="1:5">
      <c r="A1990">
        <v>2013</v>
      </c>
      <c r="B1990" t="s">
        <v>2222</v>
      </c>
      <c r="C1990" t="s">
        <v>2235</v>
      </c>
      <c r="D1990" s="14">
        <v>13.36</v>
      </c>
      <c r="E1990" s="15">
        <v>185</v>
      </c>
    </row>
    <row r="1991" spans="1:5">
      <c r="A1991">
        <v>2013</v>
      </c>
      <c r="B1991" t="s">
        <v>2223</v>
      </c>
      <c r="C1991" t="s">
        <v>2235</v>
      </c>
      <c r="D1991" s="14">
        <v>2.0299999999999998</v>
      </c>
      <c r="E1991" s="15">
        <v>185</v>
      </c>
    </row>
    <row r="1992" spans="1:5">
      <c r="A1992">
        <v>2014</v>
      </c>
      <c r="B1992" t="s">
        <v>2213</v>
      </c>
      <c r="C1992" t="s">
        <v>2235</v>
      </c>
      <c r="D1992" s="14">
        <v>9.52</v>
      </c>
      <c r="E1992" s="15">
        <v>180</v>
      </c>
    </row>
    <row r="1993" spans="1:5">
      <c r="A1993">
        <v>2014</v>
      </c>
      <c r="B1993" t="s">
        <v>2215</v>
      </c>
      <c r="C1993" t="s">
        <v>2235</v>
      </c>
      <c r="D1993" s="14">
        <v>10.88</v>
      </c>
      <c r="E1993" s="15">
        <v>180</v>
      </c>
    </row>
    <row r="1994" spans="1:5">
      <c r="A1994">
        <v>2014</v>
      </c>
      <c r="B1994" t="s">
        <v>2216</v>
      </c>
      <c r="C1994" t="s">
        <v>2235</v>
      </c>
      <c r="D1994" s="14">
        <v>6.95</v>
      </c>
      <c r="E1994" s="15">
        <v>180</v>
      </c>
    </row>
    <row r="1995" spans="1:5">
      <c r="A1995">
        <v>2014</v>
      </c>
      <c r="B1995" t="s">
        <v>2217</v>
      </c>
      <c r="C1995" t="s">
        <v>2235</v>
      </c>
      <c r="D1995" s="14">
        <v>34.57</v>
      </c>
      <c r="E1995" s="15">
        <v>180</v>
      </c>
    </row>
    <row r="1996" spans="1:5">
      <c r="A1996">
        <v>2014</v>
      </c>
      <c r="B1996" t="s">
        <v>2218</v>
      </c>
      <c r="C1996" t="s">
        <v>2235</v>
      </c>
      <c r="D1996" s="14">
        <v>35.47</v>
      </c>
      <c r="E1996" s="15">
        <v>180</v>
      </c>
    </row>
    <row r="1997" spans="1:5">
      <c r="A1997">
        <v>2014</v>
      </c>
      <c r="B1997" t="s">
        <v>2219</v>
      </c>
      <c r="C1997" t="s">
        <v>2235</v>
      </c>
      <c r="D1997" s="14">
        <v>17.53</v>
      </c>
      <c r="E1997" s="15">
        <v>180</v>
      </c>
    </row>
    <row r="1998" spans="1:5">
      <c r="A1998">
        <v>2014</v>
      </c>
      <c r="B1998" t="s">
        <v>2220</v>
      </c>
      <c r="C1998" t="s">
        <v>2235</v>
      </c>
      <c r="D1998" s="14">
        <v>12.39</v>
      </c>
      <c r="E1998" s="15">
        <v>180</v>
      </c>
    </row>
    <row r="1999" spans="1:5">
      <c r="A1999">
        <v>2014</v>
      </c>
      <c r="B1999" t="s">
        <v>2221</v>
      </c>
      <c r="C1999" t="s">
        <v>2235</v>
      </c>
      <c r="D1999" s="14">
        <v>37.67</v>
      </c>
      <c r="E1999" s="15">
        <v>180</v>
      </c>
    </row>
    <row r="2000" spans="1:5">
      <c r="A2000">
        <v>2014</v>
      </c>
      <c r="B2000" t="s">
        <v>2222</v>
      </c>
      <c r="C2000" t="s">
        <v>2235</v>
      </c>
      <c r="D2000" s="14">
        <v>12.37</v>
      </c>
      <c r="E2000" s="15">
        <v>180</v>
      </c>
    </row>
    <row r="2001" spans="1:5">
      <c r="A2001">
        <v>2014</v>
      </c>
      <c r="B2001" t="s">
        <v>2223</v>
      </c>
      <c r="C2001" t="s">
        <v>2235</v>
      </c>
      <c r="D2001" s="14">
        <v>1.78</v>
      </c>
      <c r="E2001" s="15">
        <v>180</v>
      </c>
    </row>
    <row r="2002" spans="1:5">
      <c r="A2002">
        <v>2015</v>
      </c>
      <c r="B2002" t="s">
        <v>2213</v>
      </c>
      <c r="C2002" t="s">
        <v>2235</v>
      </c>
      <c r="D2002" s="14">
        <v>9.01</v>
      </c>
      <c r="E2002" s="15">
        <v>175</v>
      </c>
    </row>
    <row r="2003" spans="1:5">
      <c r="A2003">
        <v>2015</v>
      </c>
      <c r="B2003" t="s">
        <v>2215</v>
      </c>
      <c r="C2003" t="s">
        <v>2235</v>
      </c>
      <c r="D2003" s="14">
        <v>10.34</v>
      </c>
      <c r="E2003" s="15">
        <v>175</v>
      </c>
    </row>
    <row r="2004" spans="1:5">
      <c r="A2004">
        <v>2015</v>
      </c>
      <c r="B2004" t="s">
        <v>2216</v>
      </c>
      <c r="C2004" t="s">
        <v>2235</v>
      </c>
      <c r="D2004" s="14">
        <v>6.65</v>
      </c>
      <c r="E2004" s="15">
        <v>175</v>
      </c>
    </row>
    <row r="2005" spans="1:5">
      <c r="A2005">
        <v>2015</v>
      </c>
      <c r="B2005" t="s">
        <v>2217</v>
      </c>
      <c r="C2005" t="s">
        <v>2235</v>
      </c>
      <c r="D2005" s="14">
        <v>29.54</v>
      </c>
      <c r="E2005" s="15">
        <v>175</v>
      </c>
    </row>
    <row r="2006" spans="1:5">
      <c r="A2006">
        <v>2015</v>
      </c>
      <c r="B2006" t="s">
        <v>2218</v>
      </c>
      <c r="C2006" t="s">
        <v>2235</v>
      </c>
      <c r="D2006" s="14">
        <v>35.29</v>
      </c>
      <c r="E2006" s="15">
        <v>175</v>
      </c>
    </row>
    <row r="2007" spans="1:5">
      <c r="A2007">
        <v>2015</v>
      </c>
      <c r="B2007" t="s">
        <v>2219</v>
      </c>
      <c r="C2007" t="s">
        <v>2235</v>
      </c>
      <c r="D2007" s="14">
        <v>17.55</v>
      </c>
      <c r="E2007" s="15">
        <v>175</v>
      </c>
    </row>
    <row r="2008" spans="1:5">
      <c r="A2008">
        <v>2015</v>
      </c>
      <c r="B2008" t="s">
        <v>2220</v>
      </c>
      <c r="C2008" t="s">
        <v>2235</v>
      </c>
      <c r="D2008" s="14">
        <v>11.98</v>
      </c>
      <c r="E2008" s="15">
        <v>175</v>
      </c>
    </row>
    <row r="2009" spans="1:5">
      <c r="A2009">
        <v>2015</v>
      </c>
      <c r="B2009" t="s">
        <v>2221</v>
      </c>
      <c r="C2009" t="s">
        <v>2235</v>
      </c>
      <c r="D2009" s="14">
        <v>37.79</v>
      </c>
      <c r="E2009" s="15">
        <v>175</v>
      </c>
    </row>
    <row r="2010" spans="1:5">
      <c r="A2010">
        <v>2015</v>
      </c>
      <c r="B2010" t="s">
        <v>2222</v>
      </c>
      <c r="C2010" t="s">
        <v>2235</v>
      </c>
      <c r="D2010" s="14">
        <v>12.44</v>
      </c>
      <c r="E2010" s="15">
        <v>175</v>
      </c>
    </row>
    <row r="2011" spans="1:5">
      <c r="A2011">
        <v>2015</v>
      </c>
      <c r="B2011" t="s">
        <v>2223</v>
      </c>
      <c r="C2011" t="s">
        <v>2235</v>
      </c>
      <c r="D2011" s="14">
        <v>1.85</v>
      </c>
      <c r="E2011" s="15">
        <v>175</v>
      </c>
    </row>
    <row r="2012" spans="1:5">
      <c r="A2012">
        <v>2016</v>
      </c>
      <c r="B2012" t="s">
        <v>2213</v>
      </c>
      <c r="C2012" t="s">
        <v>2235</v>
      </c>
      <c r="D2012" s="14">
        <v>8.1999999999999993</v>
      </c>
      <c r="E2012" s="15">
        <v>169.2</v>
      </c>
    </row>
    <row r="2013" spans="1:5">
      <c r="A2013">
        <v>2016</v>
      </c>
      <c r="B2013" t="s">
        <v>2215</v>
      </c>
      <c r="C2013" t="s">
        <v>2235</v>
      </c>
      <c r="D2013" s="14">
        <v>10.19</v>
      </c>
      <c r="E2013" s="15">
        <v>169.2</v>
      </c>
    </row>
    <row r="2014" spans="1:5">
      <c r="A2014">
        <v>2016</v>
      </c>
      <c r="B2014" t="s">
        <v>2216</v>
      </c>
      <c r="C2014" t="s">
        <v>2235</v>
      </c>
      <c r="D2014" s="14">
        <v>7.03</v>
      </c>
      <c r="E2014" s="15">
        <v>169.2</v>
      </c>
    </row>
    <row r="2015" spans="1:5">
      <c r="A2015">
        <v>2016</v>
      </c>
      <c r="B2015" t="s">
        <v>2217</v>
      </c>
      <c r="C2015" t="s">
        <v>2235</v>
      </c>
      <c r="D2015" s="14">
        <v>29.53</v>
      </c>
      <c r="E2015" s="15">
        <v>169.2</v>
      </c>
    </row>
    <row r="2016" spans="1:5">
      <c r="A2016">
        <v>2016</v>
      </c>
      <c r="B2016" t="s">
        <v>2218</v>
      </c>
      <c r="C2016" t="s">
        <v>2235</v>
      </c>
      <c r="D2016" s="14">
        <v>33.83</v>
      </c>
      <c r="E2016" s="15">
        <v>169.2</v>
      </c>
    </row>
    <row r="2017" spans="1:5">
      <c r="A2017">
        <v>2016</v>
      </c>
      <c r="B2017" t="s">
        <v>2219</v>
      </c>
      <c r="C2017" t="s">
        <v>2235</v>
      </c>
      <c r="D2017" s="14">
        <v>16.899999999999999</v>
      </c>
      <c r="E2017" s="15">
        <v>169.2</v>
      </c>
    </row>
    <row r="2018" spans="1:5">
      <c r="A2018">
        <v>2016</v>
      </c>
      <c r="B2018" t="s">
        <v>2220</v>
      </c>
      <c r="C2018" t="s">
        <v>2235</v>
      </c>
      <c r="D2018" s="14">
        <v>11.24</v>
      </c>
      <c r="E2018" s="15">
        <v>169.2</v>
      </c>
    </row>
    <row r="2019" spans="1:5">
      <c r="A2019">
        <v>2016</v>
      </c>
      <c r="B2019" t="s">
        <v>2221</v>
      </c>
      <c r="C2019" t="s">
        <v>2235</v>
      </c>
      <c r="D2019" s="14">
        <v>37.49</v>
      </c>
      <c r="E2019" s="15">
        <v>169.2</v>
      </c>
    </row>
    <row r="2020" spans="1:5">
      <c r="A2020">
        <v>2016</v>
      </c>
      <c r="B2020" t="s">
        <v>2222</v>
      </c>
      <c r="C2020" t="s">
        <v>2235</v>
      </c>
      <c r="D2020" s="14">
        <v>11.86</v>
      </c>
      <c r="E2020" s="15">
        <v>169.2</v>
      </c>
    </row>
    <row r="2021" spans="1:5">
      <c r="A2021">
        <v>2016</v>
      </c>
      <c r="B2021" t="s">
        <v>2223</v>
      </c>
      <c r="C2021" t="s">
        <v>2235</v>
      </c>
      <c r="D2021" s="14">
        <v>1.73</v>
      </c>
      <c r="E2021" s="15">
        <v>169.2</v>
      </c>
    </row>
    <row r="2022" spans="1:5">
      <c r="A2022">
        <v>2017</v>
      </c>
      <c r="B2022" t="s">
        <v>2213</v>
      </c>
      <c r="C2022" t="s">
        <v>2235</v>
      </c>
      <c r="D2022" s="14">
        <v>7.8</v>
      </c>
      <c r="E2022" s="15">
        <v>163.5</v>
      </c>
    </row>
    <row r="2023" spans="1:5">
      <c r="A2023">
        <v>2017</v>
      </c>
      <c r="B2023" t="s">
        <v>2215</v>
      </c>
      <c r="C2023" t="s">
        <v>2235</v>
      </c>
      <c r="D2023" s="14">
        <v>9.81</v>
      </c>
      <c r="E2023" s="15">
        <v>163.5</v>
      </c>
    </row>
    <row r="2024" spans="1:5">
      <c r="A2024">
        <v>2017</v>
      </c>
      <c r="B2024" t="s">
        <v>2216</v>
      </c>
      <c r="C2024" t="s">
        <v>2235</v>
      </c>
      <c r="D2024" s="14">
        <v>6.91</v>
      </c>
      <c r="E2024" s="15">
        <v>163.5</v>
      </c>
    </row>
    <row r="2025" spans="1:5">
      <c r="A2025">
        <v>2017</v>
      </c>
      <c r="B2025" t="s">
        <v>2217</v>
      </c>
      <c r="C2025" t="s">
        <v>2235</v>
      </c>
      <c r="D2025" s="14">
        <v>31.98</v>
      </c>
      <c r="E2025" s="15">
        <v>163.5</v>
      </c>
    </row>
    <row r="2026" spans="1:5">
      <c r="A2026">
        <v>2017</v>
      </c>
      <c r="B2026" t="s">
        <v>2218</v>
      </c>
      <c r="C2026" t="s">
        <v>2235</v>
      </c>
      <c r="D2026" s="14">
        <v>34.42</v>
      </c>
      <c r="E2026" s="15">
        <v>163.5</v>
      </c>
    </row>
    <row r="2027" spans="1:5">
      <c r="A2027">
        <v>2017</v>
      </c>
      <c r="B2027" t="s">
        <v>2219</v>
      </c>
      <c r="C2027" t="s">
        <v>2235</v>
      </c>
      <c r="D2027" s="14">
        <v>15.6</v>
      </c>
      <c r="E2027" s="15">
        <v>163.5</v>
      </c>
    </row>
    <row r="2028" spans="1:5">
      <c r="A2028">
        <v>2017</v>
      </c>
      <c r="B2028" t="s">
        <v>2220</v>
      </c>
      <c r="C2028" t="s">
        <v>2235</v>
      </c>
      <c r="D2028" s="14">
        <v>11.65</v>
      </c>
      <c r="E2028" s="15">
        <v>163.5</v>
      </c>
    </row>
    <row r="2029" spans="1:5">
      <c r="A2029">
        <v>2017</v>
      </c>
      <c r="B2029" t="s">
        <v>2221</v>
      </c>
      <c r="C2029" t="s">
        <v>2235</v>
      </c>
      <c r="D2029" s="14">
        <v>35.28</v>
      </c>
      <c r="E2029" s="15">
        <v>163.5</v>
      </c>
    </row>
    <row r="2030" spans="1:5">
      <c r="A2030">
        <v>2017</v>
      </c>
      <c r="B2030" t="s">
        <v>2222</v>
      </c>
      <c r="C2030" t="s">
        <v>2235</v>
      </c>
      <c r="D2030" s="14">
        <v>11.58</v>
      </c>
      <c r="E2030" s="15">
        <v>163.5</v>
      </c>
    </row>
    <row r="2031" spans="1:5">
      <c r="A2031">
        <v>2017</v>
      </c>
      <c r="B2031" t="s">
        <v>2223</v>
      </c>
      <c r="C2031" t="s">
        <v>2235</v>
      </c>
      <c r="D2031" s="14">
        <v>1.59</v>
      </c>
      <c r="E2031" s="15">
        <v>163.5</v>
      </c>
    </row>
    <row r="2032" spans="1:5">
      <c r="A2032">
        <v>2018</v>
      </c>
      <c r="B2032" t="s">
        <v>2213</v>
      </c>
      <c r="C2032" t="s">
        <v>2235</v>
      </c>
      <c r="D2032" s="14">
        <v>7.37</v>
      </c>
      <c r="E2032" s="15">
        <v>157.80000000000001</v>
      </c>
    </row>
    <row r="2033" spans="1:5">
      <c r="A2033">
        <v>2018</v>
      </c>
      <c r="B2033" t="s">
        <v>2215</v>
      </c>
      <c r="C2033" t="s">
        <v>2235</v>
      </c>
      <c r="D2033" s="14">
        <v>9.34</v>
      </c>
      <c r="E2033" s="15">
        <v>157.80000000000001</v>
      </c>
    </row>
    <row r="2034" spans="1:5">
      <c r="A2034">
        <v>2018</v>
      </c>
      <c r="B2034" t="s">
        <v>2216</v>
      </c>
      <c r="C2034" t="s">
        <v>2235</v>
      </c>
      <c r="D2034" s="14">
        <v>6.5</v>
      </c>
      <c r="E2034" s="15">
        <v>157.80000000000001</v>
      </c>
    </row>
    <row r="2035" spans="1:5">
      <c r="A2035">
        <v>2018</v>
      </c>
      <c r="B2035" t="s">
        <v>2217</v>
      </c>
      <c r="C2035" t="s">
        <v>2235</v>
      </c>
      <c r="D2035" s="14">
        <v>28.72</v>
      </c>
      <c r="E2035" s="15">
        <v>157.80000000000001</v>
      </c>
    </row>
    <row r="2036" spans="1:5">
      <c r="A2036">
        <v>2018</v>
      </c>
      <c r="B2036" t="s">
        <v>2218</v>
      </c>
      <c r="C2036" t="s">
        <v>2235</v>
      </c>
      <c r="D2036" s="14">
        <v>32.06</v>
      </c>
      <c r="E2036" s="15">
        <v>157.80000000000001</v>
      </c>
    </row>
    <row r="2037" spans="1:5">
      <c r="A2037">
        <v>2018</v>
      </c>
      <c r="B2037" t="s">
        <v>2219</v>
      </c>
      <c r="C2037" t="s">
        <v>2235</v>
      </c>
      <c r="D2037" s="14">
        <v>15.91</v>
      </c>
      <c r="E2037" s="15">
        <v>157.80000000000001</v>
      </c>
    </row>
    <row r="2038" spans="1:5">
      <c r="A2038">
        <v>2018</v>
      </c>
      <c r="B2038" t="s">
        <v>2220</v>
      </c>
      <c r="C2038" t="s">
        <v>2235</v>
      </c>
      <c r="D2038" s="14">
        <v>11.22</v>
      </c>
      <c r="E2038" s="15">
        <v>157.80000000000001</v>
      </c>
    </row>
    <row r="2039" spans="1:5">
      <c r="A2039">
        <v>2018</v>
      </c>
      <c r="B2039" t="s">
        <v>2221</v>
      </c>
      <c r="C2039" t="s">
        <v>2235</v>
      </c>
      <c r="D2039" s="14">
        <v>35.450000000000003</v>
      </c>
      <c r="E2039" s="15">
        <v>157.80000000000001</v>
      </c>
    </row>
    <row r="2040" spans="1:5">
      <c r="A2040">
        <v>2018</v>
      </c>
      <c r="B2040" t="s">
        <v>2222</v>
      </c>
      <c r="C2040" t="s">
        <v>2235</v>
      </c>
      <c r="D2040" s="14">
        <v>10.92</v>
      </c>
      <c r="E2040" s="15">
        <v>157.80000000000001</v>
      </c>
    </row>
    <row r="2041" spans="1:5">
      <c r="A2041">
        <v>2018</v>
      </c>
      <c r="B2041" t="s">
        <v>2223</v>
      </c>
      <c r="C2041" t="s">
        <v>2235</v>
      </c>
      <c r="D2041" s="14">
        <v>1.58</v>
      </c>
      <c r="E2041" s="15">
        <v>157.80000000000001</v>
      </c>
    </row>
    <row r="2042" spans="1:5">
      <c r="A2042">
        <v>2019</v>
      </c>
      <c r="B2042" t="s">
        <v>2213</v>
      </c>
      <c r="C2042" t="s">
        <v>2235</v>
      </c>
      <c r="D2042" s="14">
        <v>8.15</v>
      </c>
      <c r="E2042" s="15">
        <v>152</v>
      </c>
    </row>
    <row r="2043" spans="1:5">
      <c r="A2043">
        <v>2019</v>
      </c>
      <c r="B2043" t="s">
        <v>2215</v>
      </c>
      <c r="C2043" t="s">
        <v>2235</v>
      </c>
      <c r="D2043" s="14">
        <v>9.17</v>
      </c>
      <c r="E2043" s="15">
        <v>152</v>
      </c>
    </row>
    <row r="2044" spans="1:5">
      <c r="A2044">
        <v>2019</v>
      </c>
      <c r="B2044" t="s">
        <v>2216</v>
      </c>
      <c r="C2044" t="s">
        <v>2235</v>
      </c>
      <c r="D2044" s="14">
        <v>6.09</v>
      </c>
      <c r="E2044" s="15">
        <v>152</v>
      </c>
    </row>
    <row r="2045" spans="1:5">
      <c r="A2045">
        <v>2019</v>
      </c>
      <c r="B2045" t="s">
        <v>2217</v>
      </c>
      <c r="C2045" t="s">
        <v>2235</v>
      </c>
      <c r="D2045" s="14">
        <v>27.47</v>
      </c>
      <c r="E2045" s="15">
        <v>152</v>
      </c>
    </row>
    <row r="2046" spans="1:5">
      <c r="A2046">
        <v>2019</v>
      </c>
      <c r="B2046" t="s">
        <v>2218</v>
      </c>
      <c r="C2046" t="s">
        <v>2235</v>
      </c>
      <c r="D2046" s="14">
        <v>30.14</v>
      </c>
      <c r="E2046" s="15">
        <v>152</v>
      </c>
    </row>
    <row r="2047" spans="1:5">
      <c r="A2047">
        <v>2019</v>
      </c>
      <c r="B2047" t="s">
        <v>2219</v>
      </c>
      <c r="C2047" t="s">
        <v>2235</v>
      </c>
      <c r="D2047" s="14">
        <v>14.94</v>
      </c>
      <c r="E2047" s="15">
        <v>152</v>
      </c>
    </row>
    <row r="2048" spans="1:5">
      <c r="A2048">
        <v>2019</v>
      </c>
      <c r="B2048" t="s">
        <v>2220</v>
      </c>
      <c r="C2048" t="s">
        <v>2235</v>
      </c>
      <c r="D2048" s="14">
        <v>10.73</v>
      </c>
      <c r="E2048" s="15">
        <v>152</v>
      </c>
    </row>
    <row r="2049" spans="1:5">
      <c r="A2049">
        <v>2019</v>
      </c>
      <c r="B2049" t="s">
        <v>2221</v>
      </c>
      <c r="C2049" t="s">
        <v>2235</v>
      </c>
      <c r="D2049" s="14">
        <v>32.770000000000003</v>
      </c>
      <c r="E2049" s="15">
        <v>152</v>
      </c>
    </row>
    <row r="2050" spans="1:5">
      <c r="A2050">
        <v>2019</v>
      </c>
      <c r="B2050" t="s">
        <v>2222</v>
      </c>
      <c r="C2050" t="s">
        <v>2235</v>
      </c>
      <c r="D2050" s="14">
        <v>10.58</v>
      </c>
      <c r="E2050" s="15">
        <v>152</v>
      </c>
    </row>
    <row r="2051" spans="1:5">
      <c r="A2051">
        <v>2019</v>
      </c>
      <c r="B2051" t="s">
        <v>2223</v>
      </c>
      <c r="C2051" t="s">
        <v>2235</v>
      </c>
      <c r="D2051" s="14">
        <v>1.47</v>
      </c>
      <c r="E2051" s="15">
        <v>152</v>
      </c>
    </row>
    <row r="2052" spans="1:5">
      <c r="A2052">
        <v>2020</v>
      </c>
      <c r="B2052" t="s">
        <v>2213</v>
      </c>
      <c r="C2052" t="s">
        <v>2235</v>
      </c>
      <c r="D2052" s="14">
        <v>7.46</v>
      </c>
      <c r="E2052" s="15">
        <v>148.5</v>
      </c>
    </row>
    <row r="2053" spans="1:5">
      <c r="A2053">
        <v>2020</v>
      </c>
      <c r="B2053" t="s">
        <v>2215</v>
      </c>
      <c r="C2053" t="s">
        <v>2235</v>
      </c>
      <c r="D2053" s="14">
        <v>9.1199999999999992</v>
      </c>
      <c r="E2053" s="15">
        <v>148.5</v>
      </c>
    </row>
    <row r="2054" spans="1:5">
      <c r="A2054">
        <v>2020</v>
      </c>
      <c r="B2054" t="s">
        <v>2216</v>
      </c>
      <c r="C2054" t="s">
        <v>2235</v>
      </c>
      <c r="D2054" s="14">
        <v>5.89</v>
      </c>
      <c r="E2054" s="15">
        <v>148.5</v>
      </c>
    </row>
    <row r="2055" spans="1:5">
      <c r="A2055">
        <v>2020</v>
      </c>
      <c r="B2055" t="s">
        <v>2217</v>
      </c>
      <c r="C2055" t="s">
        <v>2235</v>
      </c>
      <c r="D2055" s="14">
        <v>24.67</v>
      </c>
      <c r="E2055" s="15">
        <v>148.5</v>
      </c>
    </row>
    <row r="2056" spans="1:5">
      <c r="A2056">
        <v>2020</v>
      </c>
      <c r="B2056" t="s">
        <v>2218</v>
      </c>
      <c r="C2056" t="s">
        <v>2235</v>
      </c>
      <c r="D2056" s="14">
        <v>30.41</v>
      </c>
      <c r="E2056" s="15">
        <v>148.5</v>
      </c>
    </row>
    <row r="2057" spans="1:5">
      <c r="A2057">
        <v>2020</v>
      </c>
      <c r="B2057" t="s">
        <v>2219</v>
      </c>
      <c r="C2057" t="s">
        <v>2235</v>
      </c>
      <c r="D2057" s="14">
        <v>14.92</v>
      </c>
      <c r="E2057" s="15">
        <v>148.5</v>
      </c>
    </row>
    <row r="2058" spans="1:5">
      <c r="A2058">
        <v>2020</v>
      </c>
      <c r="B2058" t="s">
        <v>2220</v>
      </c>
      <c r="C2058" t="s">
        <v>2235</v>
      </c>
      <c r="D2058" s="14">
        <v>9.99</v>
      </c>
      <c r="E2058" s="15">
        <v>148.5</v>
      </c>
    </row>
    <row r="2059" spans="1:5">
      <c r="A2059">
        <v>2020</v>
      </c>
      <c r="B2059" t="s">
        <v>2221</v>
      </c>
      <c r="C2059" t="s">
        <v>2235</v>
      </c>
      <c r="D2059" s="14">
        <v>33.700000000000003</v>
      </c>
      <c r="E2059" s="15">
        <v>148.5</v>
      </c>
    </row>
    <row r="2060" spans="1:5">
      <c r="A2060">
        <v>2020</v>
      </c>
      <c r="B2060" t="s">
        <v>2222</v>
      </c>
      <c r="C2060" t="s">
        <v>2235</v>
      </c>
      <c r="D2060" s="14">
        <v>9.83</v>
      </c>
      <c r="E2060" s="15">
        <v>148.5</v>
      </c>
    </row>
    <row r="2061" spans="1:5">
      <c r="A2061">
        <v>2020</v>
      </c>
      <c r="B2061" t="s">
        <v>2223</v>
      </c>
      <c r="C2061" t="s">
        <v>2235</v>
      </c>
      <c r="D2061" s="14">
        <v>1.55</v>
      </c>
      <c r="E2061" s="15">
        <v>148.5</v>
      </c>
    </row>
    <row r="2062" spans="1:5">
      <c r="A2062">
        <v>2021</v>
      </c>
      <c r="B2062" t="s">
        <v>2213</v>
      </c>
      <c r="C2062" t="s">
        <v>2235</v>
      </c>
      <c r="D2062" s="14">
        <v>7.23</v>
      </c>
      <c r="E2062" s="15">
        <v>145</v>
      </c>
    </row>
    <row r="2063" spans="1:5">
      <c r="A2063">
        <v>2021</v>
      </c>
      <c r="B2063" t="s">
        <v>2215</v>
      </c>
      <c r="C2063" t="s">
        <v>2235</v>
      </c>
      <c r="D2063" s="14">
        <v>7.95</v>
      </c>
      <c r="E2063" s="15">
        <v>145</v>
      </c>
    </row>
    <row r="2064" spans="1:5">
      <c r="A2064">
        <v>2021</v>
      </c>
      <c r="B2064" t="s">
        <v>2216</v>
      </c>
      <c r="C2064" t="s">
        <v>2235</v>
      </c>
      <c r="D2064" s="14">
        <v>5.84</v>
      </c>
      <c r="E2064" s="15">
        <v>145</v>
      </c>
    </row>
    <row r="2065" spans="1:5">
      <c r="A2065">
        <v>2021</v>
      </c>
      <c r="B2065" t="s">
        <v>2217</v>
      </c>
      <c r="C2065" t="s">
        <v>2235</v>
      </c>
      <c r="D2065" s="14">
        <v>25.68</v>
      </c>
      <c r="E2065" s="15">
        <v>145</v>
      </c>
    </row>
    <row r="2066" spans="1:5">
      <c r="A2066">
        <v>2021</v>
      </c>
      <c r="B2066" t="s">
        <v>2218</v>
      </c>
      <c r="C2066" t="s">
        <v>2235</v>
      </c>
      <c r="D2066" s="14">
        <v>28.36</v>
      </c>
      <c r="E2066" s="15">
        <v>145</v>
      </c>
    </row>
    <row r="2067" spans="1:5">
      <c r="A2067">
        <v>2021</v>
      </c>
      <c r="B2067" t="s">
        <v>2219</v>
      </c>
      <c r="C2067" t="s">
        <v>2235</v>
      </c>
      <c r="D2067" s="14">
        <v>14.08</v>
      </c>
      <c r="E2067" s="15">
        <v>145</v>
      </c>
    </row>
    <row r="2068" spans="1:5">
      <c r="A2068">
        <v>2021</v>
      </c>
      <c r="B2068" t="s">
        <v>2220</v>
      </c>
      <c r="C2068" t="s">
        <v>2235</v>
      </c>
      <c r="D2068" s="14">
        <v>10.1</v>
      </c>
      <c r="E2068" s="15">
        <v>145</v>
      </c>
    </row>
    <row r="2069" spans="1:5">
      <c r="A2069">
        <v>2021</v>
      </c>
      <c r="B2069" t="s">
        <v>2221</v>
      </c>
      <c r="C2069" t="s">
        <v>2235</v>
      </c>
      <c r="D2069" s="14">
        <v>31.29</v>
      </c>
      <c r="E2069" s="15">
        <v>145</v>
      </c>
    </row>
    <row r="2070" spans="1:5">
      <c r="A2070">
        <v>2021</v>
      </c>
      <c r="B2070" t="s">
        <v>2222</v>
      </c>
      <c r="C2070" t="s">
        <v>2235</v>
      </c>
      <c r="D2070" s="14">
        <v>9.42</v>
      </c>
      <c r="E2070" s="15">
        <v>145</v>
      </c>
    </row>
    <row r="2071" spans="1:5">
      <c r="A2071">
        <v>2021</v>
      </c>
      <c r="B2071" t="s">
        <v>2223</v>
      </c>
      <c r="C2071" t="s">
        <v>2235</v>
      </c>
      <c r="D2071" s="14">
        <v>1.53</v>
      </c>
      <c r="E2071" s="15">
        <v>145</v>
      </c>
    </row>
    <row r="2072" spans="1:5">
      <c r="A2072">
        <v>2022</v>
      </c>
      <c r="B2072" t="s">
        <v>2213</v>
      </c>
      <c r="C2072" t="s">
        <v>2235</v>
      </c>
      <c r="D2072" s="14">
        <v>7.05</v>
      </c>
      <c r="E2072" s="15">
        <v>142.30000000000001</v>
      </c>
    </row>
    <row r="2073" spans="1:5">
      <c r="A2073">
        <v>2022</v>
      </c>
      <c r="B2073" t="s">
        <v>2215</v>
      </c>
      <c r="C2073" t="s">
        <v>2235</v>
      </c>
      <c r="D2073" s="14">
        <v>8.2899999999999991</v>
      </c>
      <c r="E2073" s="15">
        <v>142.30000000000001</v>
      </c>
    </row>
    <row r="2074" spans="1:5">
      <c r="A2074">
        <v>2022</v>
      </c>
      <c r="B2074" t="s">
        <v>2216</v>
      </c>
      <c r="C2074" t="s">
        <v>2235</v>
      </c>
      <c r="D2074" s="14">
        <v>5.44</v>
      </c>
      <c r="E2074" s="15">
        <v>142.30000000000001</v>
      </c>
    </row>
    <row r="2075" spans="1:5">
      <c r="A2075">
        <v>2022</v>
      </c>
      <c r="B2075" t="s">
        <v>2217</v>
      </c>
      <c r="C2075" t="s">
        <v>2235</v>
      </c>
      <c r="D2075" s="14">
        <v>26.42</v>
      </c>
      <c r="E2075" s="15">
        <v>142.30000000000001</v>
      </c>
    </row>
    <row r="2076" spans="1:5">
      <c r="A2076">
        <v>2022</v>
      </c>
      <c r="B2076" t="s">
        <v>2218</v>
      </c>
      <c r="C2076" t="s">
        <v>2235</v>
      </c>
      <c r="D2076" s="14">
        <v>27.03</v>
      </c>
      <c r="E2076" s="15">
        <v>142.30000000000001</v>
      </c>
    </row>
    <row r="2077" spans="1:5">
      <c r="A2077">
        <v>2022</v>
      </c>
      <c r="B2077" t="s">
        <v>2219</v>
      </c>
      <c r="C2077" t="s">
        <v>2235</v>
      </c>
      <c r="D2077" s="14">
        <v>14.31</v>
      </c>
      <c r="E2077" s="15">
        <v>142.30000000000001</v>
      </c>
    </row>
    <row r="2078" spans="1:5">
      <c r="A2078">
        <v>2022</v>
      </c>
      <c r="B2078" t="s">
        <v>2220</v>
      </c>
      <c r="C2078" t="s">
        <v>2235</v>
      </c>
      <c r="D2078" s="14">
        <v>9.73</v>
      </c>
      <c r="E2078" s="15">
        <v>142.30000000000001</v>
      </c>
    </row>
    <row r="2079" spans="1:5">
      <c r="A2079">
        <v>2022</v>
      </c>
      <c r="B2079" t="s">
        <v>2221</v>
      </c>
      <c r="C2079" t="s">
        <v>2235</v>
      </c>
      <c r="D2079" s="14">
        <v>30.66</v>
      </c>
      <c r="E2079" s="15">
        <v>142.30000000000001</v>
      </c>
    </row>
    <row r="2080" spans="1:5">
      <c r="A2080">
        <v>2022</v>
      </c>
      <c r="B2080" t="s">
        <v>2222</v>
      </c>
      <c r="C2080" t="s">
        <v>2235</v>
      </c>
      <c r="D2080" s="14">
        <v>9.5299999999999994</v>
      </c>
      <c r="E2080" s="15">
        <v>142.30000000000001</v>
      </c>
    </row>
    <row r="2081" spans="1:5">
      <c r="A2081">
        <v>2022</v>
      </c>
      <c r="B2081" t="s">
        <v>2223</v>
      </c>
      <c r="C2081" t="s">
        <v>2235</v>
      </c>
      <c r="D2081" s="14">
        <v>1.39</v>
      </c>
      <c r="E2081" s="15">
        <v>142.30000000000001</v>
      </c>
    </row>
    <row r="2082" spans="1:5">
      <c r="A2082">
        <v>2023</v>
      </c>
      <c r="B2082" t="s">
        <v>2213</v>
      </c>
      <c r="C2082" t="s">
        <v>2235</v>
      </c>
      <c r="D2082" s="14">
        <v>6.99</v>
      </c>
      <c r="E2082" s="15">
        <v>139.69999999999999</v>
      </c>
    </row>
    <row r="2083" spans="1:5">
      <c r="A2083">
        <v>2023</v>
      </c>
      <c r="B2083" t="s">
        <v>2215</v>
      </c>
      <c r="C2083" t="s">
        <v>2235</v>
      </c>
      <c r="D2083" s="14">
        <v>8.4600000000000009</v>
      </c>
      <c r="E2083" s="15">
        <v>139.69999999999999</v>
      </c>
    </row>
    <row r="2084" spans="1:5">
      <c r="A2084">
        <v>2023</v>
      </c>
      <c r="B2084" t="s">
        <v>2216</v>
      </c>
      <c r="C2084" t="s">
        <v>2235</v>
      </c>
      <c r="D2084" s="14">
        <v>5.41</v>
      </c>
      <c r="E2084" s="15">
        <v>139.69999999999999</v>
      </c>
    </row>
    <row r="2085" spans="1:5">
      <c r="A2085">
        <v>2023</v>
      </c>
      <c r="B2085" t="s">
        <v>2217</v>
      </c>
      <c r="C2085" t="s">
        <v>2235</v>
      </c>
      <c r="D2085" s="14">
        <v>25.05</v>
      </c>
      <c r="E2085" s="15">
        <v>139.69999999999999</v>
      </c>
    </row>
    <row r="2086" spans="1:5">
      <c r="A2086">
        <v>2023</v>
      </c>
      <c r="B2086" t="s">
        <v>2218</v>
      </c>
      <c r="C2086" t="s">
        <v>2235</v>
      </c>
      <c r="D2086" s="14">
        <v>28.94</v>
      </c>
      <c r="E2086" s="15">
        <v>139.69999999999999</v>
      </c>
    </row>
    <row r="2087" spans="1:5">
      <c r="A2087">
        <v>2023</v>
      </c>
      <c r="B2087" t="s">
        <v>2219</v>
      </c>
      <c r="C2087" t="s">
        <v>2235</v>
      </c>
      <c r="D2087" s="14">
        <v>13.07</v>
      </c>
      <c r="E2087" s="15">
        <v>139.69999999999999</v>
      </c>
    </row>
    <row r="2088" spans="1:5">
      <c r="A2088">
        <v>2023</v>
      </c>
      <c r="B2088" t="s">
        <v>2220</v>
      </c>
      <c r="C2088" t="s">
        <v>2235</v>
      </c>
      <c r="D2088" s="14">
        <v>9.77</v>
      </c>
      <c r="E2088" s="15">
        <v>139.69999999999999</v>
      </c>
    </row>
    <row r="2089" spans="1:5">
      <c r="A2089">
        <v>2023</v>
      </c>
      <c r="B2089" t="s">
        <v>2221</v>
      </c>
      <c r="C2089" t="s">
        <v>2235</v>
      </c>
      <c r="D2089" s="14">
        <v>29.58</v>
      </c>
      <c r="E2089" s="15">
        <v>139.69999999999999</v>
      </c>
    </row>
    <row r="2090" spans="1:5">
      <c r="A2090">
        <v>2023</v>
      </c>
      <c r="B2090" t="s">
        <v>2222</v>
      </c>
      <c r="C2090" t="s">
        <v>2235</v>
      </c>
      <c r="D2090" s="14">
        <v>9.3699999999999992</v>
      </c>
      <c r="E2090" s="15">
        <v>139.69999999999999</v>
      </c>
    </row>
    <row r="2091" spans="1:5">
      <c r="A2091">
        <v>2023</v>
      </c>
      <c r="B2091" t="s">
        <v>2223</v>
      </c>
      <c r="C2091" t="s">
        <v>2235</v>
      </c>
      <c r="D2091" s="14">
        <v>1.41</v>
      </c>
      <c r="E2091" s="15">
        <v>139.69999999999999</v>
      </c>
    </row>
    <row r="2092" spans="1:5">
      <c r="A2092">
        <v>2024</v>
      </c>
      <c r="B2092" t="s">
        <v>2213</v>
      </c>
      <c r="C2092" t="s">
        <v>2235</v>
      </c>
      <c r="D2092" s="14">
        <v>6.7</v>
      </c>
      <c r="E2092" s="15">
        <v>137</v>
      </c>
    </row>
    <row r="2093" spans="1:5">
      <c r="A2093">
        <v>2024</v>
      </c>
      <c r="B2093" t="s">
        <v>2215</v>
      </c>
      <c r="C2093" t="s">
        <v>2235</v>
      </c>
      <c r="D2093" s="14">
        <v>7.83</v>
      </c>
      <c r="E2093" s="15">
        <v>137</v>
      </c>
    </row>
    <row r="2094" spans="1:5">
      <c r="A2094">
        <v>2024</v>
      </c>
      <c r="B2094" t="s">
        <v>2216</v>
      </c>
      <c r="C2094" t="s">
        <v>2235</v>
      </c>
      <c r="D2094" s="14">
        <v>5.78</v>
      </c>
      <c r="E2094" s="15">
        <v>137</v>
      </c>
    </row>
    <row r="2095" spans="1:5">
      <c r="A2095">
        <v>2024</v>
      </c>
      <c r="B2095" t="s">
        <v>2217</v>
      </c>
      <c r="C2095" t="s">
        <v>2235</v>
      </c>
      <c r="D2095" s="14">
        <v>25.58</v>
      </c>
      <c r="E2095" s="15">
        <v>137</v>
      </c>
    </row>
    <row r="2096" spans="1:5">
      <c r="A2096">
        <v>2024</v>
      </c>
      <c r="B2096" t="s">
        <v>2218</v>
      </c>
      <c r="C2096" t="s">
        <v>2235</v>
      </c>
      <c r="D2096" s="14">
        <v>25.36</v>
      </c>
      <c r="E2096" s="15">
        <v>137</v>
      </c>
    </row>
    <row r="2097" spans="1:5">
      <c r="A2097">
        <v>2024</v>
      </c>
      <c r="B2097" t="s">
        <v>2219</v>
      </c>
      <c r="C2097" t="s">
        <v>2235</v>
      </c>
      <c r="D2097" s="14">
        <v>12.92</v>
      </c>
      <c r="E2097" s="15">
        <v>137</v>
      </c>
    </row>
    <row r="2098" spans="1:5">
      <c r="A2098">
        <v>2024</v>
      </c>
      <c r="B2098" t="s">
        <v>2220</v>
      </c>
      <c r="C2098" t="s">
        <v>2235</v>
      </c>
      <c r="D2098" s="14">
        <v>9.82</v>
      </c>
      <c r="E2098" s="15">
        <v>137</v>
      </c>
    </row>
    <row r="2099" spans="1:5">
      <c r="A2099">
        <v>2024</v>
      </c>
      <c r="B2099" t="s">
        <v>2221</v>
      </c>
      <c r="C2099" t="s">
        <v>2235</v>
      </c>
      <c r="D2099" s="14">
        <v>29.8</v>
      </c>
      <c r="E2099" s="15">
        <v>137</v>
      </c>
    </row>
    <row r="2100" spans="1:5">
      <c r="A2100">
        <v>2024</v>
      </c>
      <c r="B2100" t="s">
        <v>2222</v>
      </c>
      <c r="C2100" t="s">
        <v>2235</v>
      </c>
      <c r="D2100" s="14">
        <v>10.18</v>
      </c>
      <c r="E2100" s="15">
        <v>137</v>
      </c>
    </row>
    <row r="2101" spans="1:5">
      <c r="A2101">
        <v>2024</v>
      </c>
      <c r="B2101" t="s">
        <v>2223</v>
      </c>
      <c r="C2101" t="s">
        <v>2235</v>
      </c>
      <c r="D2101" s="14">
        <v>1.4</v>
      </c>
      <c r="E2101" s="15">
        <v>137</v>
      </c>
    </row>
    <row r="2102" spans="1:5">
      <c r="A2102">
        <v>2025</v>
      </c>
      <c r="B2102" t="s">
        <v>2213</v>
      </c>
      <c r="C2102" t="s">
        <v>2235</v>
      </c>
      <c r="D2102" s="14">
        <v>6.76</v>
      </c>
      <c r="E2102" s="15">
        <v>133.5</v>
      </c>
    </row>
    <row r="2103" spans="1:5">
      <c r="A2103">
        <v>2025</v>
      </c>
      <c r="B2103" t="s">
        <v>2215</v>
      </c>
      <c r="C2103" t="s">
        <v>2235</v>
      </c>
      <c r="D2103" s="14">
        <v>7.69</v>
      </c>
      <c r="E2103" s="15">
        <v>133.5</v>
      </c>
    </row>
    <row r="2104" spans="1:5">
      <c r="A2104">
        <v>2025</v>
      </c>
      <c r="B2104" t="s">
        <v>2216</v>
      </c>
      <c r="C2104" t="s">
        <v>2235</v>
      </c>
      <c r="D2104" s="14">
        <v>5.45</v>
      </c>
      <c r="E2104" s="15">
        <v>133.5</v>
      </c>
    </row>
    <row r="2105" spans="1:5">
      <c r="A2105">
        <v>2025</v>
      </c>
      <c r="B2105" t="s">
        <v>2217</v>
      </c>
      <c r="C2105" t="s">
        <v>2235</v>
      </c>
      <c r="D2105" s="14">
        <v>22.83</v>
      </c>
      <c r="E2105" s="15">
        <v>133.5</v>
      </c>
    </row>
    <row r="2106" spans="1:5">
      <c r="A2106">
        <v>2025</v>
      </c>
      <c r="B2106" t="s">
        <v>2218</v>
      </c>
      <c r="C2106" t="s">
        <v>2235</v>
      </c>
      <c r="D2106" s="14">
        <v>28.13</v>
      </c>
      <c r="E2106" s="15">
        <v>133.5</v>
      </c>
    </row>
    <row r="2107" spans="1:5">
      <c r="A2107">
        <v>2025</v>
      </c>
      <c r="B2107" t="s">
        <v>2219</v>
      </c>
      <c r="C2107" t="s">
        <v>2235</v>
      </c>
      <c r="D2107" s="14">
        <v>13.58</v>
      </c>
      <c r="E2107" s="15">
        <v>133.5</v>
      </c>
    </row>
    <row r="2108" spans="1:5">
      <c r="A2108">
        <v>2025</v>
      </c>
      <c r="B2108" t="s">
        <v>2220</v>
      </c>
      <c r="C2108" t="s">
        <v>2235</v>
      </c>
      <c r="D2108" s="14">
        <v>9.0399999999999991</v>
      </c>
      <c r="E2108" s="15">
        <v>133.5</v>
      </c>
    </row>
    <row r="2109" spans="1:5">
      <c r="A2109">
        <v>2025</v>
      </c>
      <c r="B2109" t="s">
        <v>2221</v>
      </c>
      <c r="C2109" t="s">
        <v>2235</v>
      </c>
      <c r="D2109" s="14">
        <v>30.33</v>
      </c>
      <c r="E2109" s="15">
        <v>133.5</v>
      </c>
    </row>
    <row r="2110" spans="1:5">
      <c r="A2110">
        <v>2025</v>
      </c>
      <c r="B2110" t="s">
        <v>2222</v>
      </c>
      <c r="C2110" t="s">
        <v>2235</v>
      </c>
      <c r="D2110" s="14">
        <v>10.220000000000001</v>
      </c>
      <c r="E2110" s="15">
        <v>133.5</v>
      </c>
    </row>
    <row r="2111" spans="1:5">
      <c r="A2111">
        <v>2025</v>
      </c>
      <c r="B2111" t="s">
        <v>2223</v>
      </c>
      <c r="C2111" t="s">
        <v>2235</v>
      </c>
      <c r="D2111" s="14">
        <v>1.32</v>
      </c>
      <c r="E2111" s="15">
        <v>133.5</v>
      </c>
    </row>
    <row r="2112" spans="1:5">
      <c r="A2112">
        <v>2026</v>
      </c>
      <c r="B2112" t="s">
        <v>2213</v>
      </c>
      <c r="C2112" t="s">
        <v>2235</v>
      </c>
      <c r="D2112" s="14">
        <v>6.64</v>
      </c>
      <c r="E2112" s="15">
        <v>130</v>
      </c>
    </row>
    <row r="2113" spans="1:5">
      <c r="A2113">
        <v>2026</v>
      </c>
      <c r="B2113" t="s">
        <v>2215</v>
      </c>
      <c r="C2113" t="s">
        <v>2235</v>
      </c>
      <c r="D2113" s="14">
        <v>7.67</v>
      </c>
      <c r="E2113" s="15">
        <v>130</v>
      </c>
    </row>
    <row r="2114" spans="1:5">
      <c r="A2114">
        <v>2026</v>
      </c>
      <c r="B2114" t="s">
        <v>2216</v>
      </c>
      <c r="C2114" t="s">
        <v>2235</v>
      </c>
      <c r="D2114" s="14">
        <v>5.22</v>
      </c>
      <c r="E2114" s="15">
        <v>130</v>
      </c>
    </row>
    <row r="2115" spans="1:5">
      <c r="A2115">
        <v>2026</v>
      </c>
      <c r="B2115" t="s">
        <v>2217</v>
      </c>
      <c r="C2115" t="s">
        <v>2235</v>
      </c>
      <c r="D2115" s="14">
        <v>22.03</v>
      </c>
      <c r="E2115" s="15">
        <v>130</v>
      </c>
    </row>
    <row r="2116" spans="1:5">
      <c r="A2116">
        <v>2026</v>
      </c>
      <c r="B2116" t="s">
        <v>2218</v>
      </c>
      <c r="C2116" t="s">
        <v>2235</v>
      </c>
      <c r="D2116" s="14">
        <v>26</v>
      </c>
      <c r="E2116" s="15">
        <v>130</v>
      </c>
    </row>
    <row r="2117" spans="1:5">
      <c r="A2117">
        <v>2026</v>
      </c>
      <c r="B2117" t="s">
        <v>2219</v>
      </c>
      <c r="C2117" t="s">
        <v>2235</v>
      </c>
      <c r="D2117" s="14">
        <v>13.02</v>
      </c>
      <c r="E2117" s="15">
        <v>130</v>
      </c>
    </row>
    <row r="2118" spans="1:5">
      <c r="A2118">
        <v>2026</v>
      </c>
      <c r="B2118" t="s">
        <v>2220</v>
      </c>
      <c r="C2118" t="s">
        <v>2235</v>
      </c>
      <c r="D2118" s="14">
        <v>9.7799999999999994</v>
      </c>
      <c r="E2118" s="15">
        <v>130</v>
      </c>
    </row>
    <row r="2119" spans="1:5">
      <c r="A2119">
        <v>2026</v>
      </c>
      <c r="B2119" t="s">
        <v>2221</v>
      </c>
      <c r="C2119" t="s">
        <v>2235</v>
      </c>
      <c r="D2119" s="14">
        <v>26.62</v>
      </c>
      <c r="E2119" s="15">
        <v>130</v>
      </c>
    </row>
    <row r="2120" spans="1:5">
      <c r="A2120">
        <v>2026</v>
      </c>
      <c r="B2120" t="s">
        <v>2222</v>
      </c>
      <c r="C2120" t="s">
        <v>2235</v>
      </c>
      <c r="D2120" s="14">
        <v>9</v>
      </c>
      <c r="E2120" s="15">
        <v>130</v>
      </c>
    </row>
    <row r="2121" spans="1:5">
      <c r="A2121">
        <v>2026</v>
      </c>
      <c r="B2121" t="s">
        <v>2223</v>
      </c>
      <c r="C2121" t="s">
        <v>2235</v>
      </c>
      <c r="D2121" s="14">
        <v>1.37</v>
      </c>
      <c r="E2121" s="15">
        <v>130</v>
      </c>
    </row>
    <row r="2122" spans="1:5">
      <c r="A2122">
        <v>2010</v>
      </c>
      <c r="B2122" t="s">
        <v>2213</v>
      </c>
      <c r="C2122" t="s">
        <v>2236</v>
      </c>
      <c r="D2122" s="14">
        <v>0.28000000000000003</v>
      </c>
      <c r="E2122" s="15">
        <v>28</v>
      </c>
    </row>
    <row r="2123" spans="1:5">
      <c r="A2123">
        <v>2010</v>
      </c>
      <c r="B2123" t="s">
        <v>2215</v>
      </c>
      <c r="C2123" t="s">
        <v>2236</v>
      </c>
      <c r="D2123" s="14">
        <v>1.67</v>
      </c>
      <c r="E2123" s="15">
        <v>28</v>
      </c>
    </row>
    <row r="2124" spans="1:5">
      <c r="A2124">
        <v>2010</v>
      </c>
      <c r="B2124" t="s">
        <v>2216</v>
      </c>
      <c r="C2124" t="s">
        <v>2236</v>
      </c>
      <c r="D2124" s="14">
        <v>1.08</v>
      </c>
      <c r="E2124" s="15">
        <v>28</v>
      </c>
    </row>
    <row r="2125" spans="1:5">
      <c r="A2125">
        <v>2010</v>
      </c>
      <c r="B2125" t="s">
        <v>2217</v>
      </c>
      <c r="C2125" t="s">
        <v>2236</v>
      </c>
      <c r="D2125" s="14">
        <v>4.8600000000000003</v>
      </c>
      <c r="E2125" s="15">
        <v>28</v>
      </c>
    </row>
    <row r="2126" spans="1:5">
      <c r="A2126">
        <v>2010</v>
      </c>
      <c r="B2126" t="s">
        <v>2218</v>
      </c>
      <c r="C2126" t="s">
        <v>2236</v>
      </c>
      <c r="D2126" s="14">
        <v>5.21</v>
      </c>
      <c r="E2126" s="15">
        <v>28</v>
      </c>
    </row>
    <row r="2127" spans="1:5">
      <c r="A2127">
        <v>2010</v>
      </c>
      <c r="B2127" t="s">
        <v>2219</v>
      </c>
      <c r="C2127" t="s">
        <v>2236</v>
      </c>
      <c r="D2127" s="14">
        <v>2.73</v>
      </c>
      <c r="E2127" s="15">
        <v>28</v>
      </c>
    </row>
    <row r="2128" spans="1:5">
      <c r="A2128">
        <v>2010</v>
      </c>
      <c r="B2128" t="s">
        <v>2220</v>
      </c>
      <c r="C2128" t="s">
        <v>2236</v>
      </c>
      <c r="D2128" s="14">
        <v>1.88</v>
      </c>
      <c r="E2128" s="15">
        <v>28</v>
      </c>
    </row>
    <row r="2129" spans="1:5">
      <c r="A2129">
        <v>2010</v>
      </c>
      <c r="B2129" t="s">
        <v>2221</v>
      </c>
      <c r="C2129" t="s">
        <v>2236</v>
      </c>
      <c r="D2129" s="14">
        <v>15.47</v>
      </c>
      <c r="E2129" s="15">
        <v>28</v>
      </c>
    </row>
    <row r="2130" spans="1:5">
      <c r="A2130">
        <v>2010</v>
      </c>
      <c r="B2130" t="s">
        <v>2222</v>
      </c>
      <c r="C2130" t="s">
        <v>2236</v>
      </c>
      <c r="D2130" s="14">
        <v>1.9</v>
      </c>
      <c r="E2130" s="15">
        <v>28</v>
      </c>
    </row>
    <row r="2131" spans="1:5">
      <c r="A2131">
        <v>2010</v>
      </c>
      <c r="B2131" t="s">
        <v>2223</v>
      </c>
      <c r="C2131" t="s">
        <v>2236</v>
      </c>
      <c r="D2131" s="14">
        <v>0.27</v>
      </c>
      <c r="E2131" s="15">
        <v>28</v>
      </c>
    </row>
    <row r="2132" spans="1:5">
      <c r="A2132">
        <v>2011</v>
      </c>
      <c r="B2132" t="s">
        <v>2213</v>
      </c>
      <c r="C2132" t="s">
        <v>2236</v>
      </c>
      <c r="D2132" s="14">
        <v>0.26</v>
      </c>
      <c r="E2132" s="15">
        <v>26.8</v>
      </c>
    </row>
    <row r="2133" spans="1:5">
      <c r="A2133">
        <v>2011</v>
      </c>
      <c r="B2133" t="s">
        <v>2215</v>
      </c>
      <c r="C2133" t="s">
        <v>2236</v>
      </c>
      <c r="D2133" s="14">
        <v>1.6</v>
      </c>
      <c r="E2133" s="15">
        <v>26.8</v>
      </c>
    </row>
    <row r="2134" spans="1:5">
      <c r="A2134">
        <v>2011</v>
      </c>
      <c r="B2134" t="s">
        <v>2216</v>
      </c>
      <c r="C2134" t="s">
        <v>2236</v>
      </c>
      <c r="D2134" s="14">
        <v>1.05</v>
      </c>
      <c r="E2134" s="15">
        <v>26.8</v>
      </c>
    </row>
    <row r="2135" spans="1:5">
      <c r="A2135">
        <v>2011</v>
      </c>
      <c r="B2135" t="s">
        <v>2217</v>
      </c>
      <c r="C2135" t="s">
        <v>2236</v>
      </c>
      <c r="D2135" s="14">
        <v>4.62</v>
      </c>
      <c r="E2135" s="15">
        <v>26.8</v>
      </c>
    </row>
    <row r="2136" spans="1:5">
      <c r="A2136">
        <v>2011</v>
      </c>
      <c r="B2136" t="s">
        <v>2218</v>
      </c>
      <c r="C2136" t="s">
        <v>2236</v>
      </c>
      <c r="D2136" s="14">
        <v>5.38</v>
      </c>
      <c r="E2136" s="15">
        <v>26.8</v>
      </c>
    </row>
    <row r="2137" spans="1:5">
      <c r="A2137">
        <v>2011</v>
      </c>
      <c r="B2137" t="s">
        <v>2219</v>
      </c>
      <c r="C2137" t="s">
        <v>2236</v>
      </c>
      <c r="D2137" s="14">
        <v>2.8</v>
      </c>
      <c r="E2137" s="15">
        <v>26.8</v>
      </c>
    </row>
    <row r="2138" spans="1:5">
      <c r="A2138">
        <v>2011</v>
      </c>
      <c r="B2138" t="s">
        <v>2220</v>
      </c>
      <c r="C2138" t="s">
        <v>2236</v>
      </c>
      <c r="D2138" s="14">
        <v>1.89</v>
      </c>
      <c r="E2138" s="15">
        <v>26.8</v>
      </c>
    </row>
    <row r="2139" spans="1:5">
      <c r="A2139">
        <v>2011</v>
      </c>
      <c r="B2139" t="s">
        <v>2221</v>
      </c>
      <c r="C2139" t="s">
        <v>2236</v>
      </c>
      <c r="D2139" s="14">
        <v>14.38</v>
      </c>
      <c r="E2139" s="15">
        <v>26.8</v>
      </c>
    </row>
    <row r="2140" spans="1:5">
      <c r="A2140">
        <v>2011</v>
      </c>
      <c r="B2140" t="s">
        <v>2222</v>
      </c>
      <c r="C2140" t="s">
        <v>2236</v>
      </c>
      <c r="D2140" s="14">
        <v>1.87</v>
      </c>
      <c r="E2140" s="15">
        <v>26.8</v>
      </c>
    </row>
    <row r="2141" spans="1:5">
      <c r="A2141">
        <v>2011</v>
      </c>
      <c r="B2141" t="s">
        <v>2223</v>
      </c>
      <c r="C2141" t="s">
        <v>2236</v>
      </c>
      <c r="D2141" s="14">
        <v>0.25</v>
      </c>
      <c r="E2141" s="15">
        <v>26.8</v>
      </c>
    </row>
    <row r="2142" spans="1:5">
      <c r="A2142">
        <v>2012</v>
      </c>
      <c r="B2142" t="s">
        <v>2213</v>
      </c>
      <c r="C2142" t="s">
        <v>2236</v>
      </c>
      <c r="D2142" s="14">
        <v>0.25</v>
      </c>
      <c r="E2142" s="15">
        <v>25.6</v>
      </c>
    </row>
    <row r="2143" spans="1:5">
      <c r="A2143">
        <v>2012</v>
      </c>
      <c r="B2143" t="s">
        <v>2215</v>
      </c>
      <c r="C2143" t="s">
        <v>2236</v>
      </c>
      <c r="D2143" s="14">
        <v>1.51</v>
      </c>
      <c r="E2143" s="15">
        <v>25.6</v>
      </c>
    </row>
    <row r="2144" spans="1:5">
      <c r="A2144">
        <v>2012</v>
      </c>
      <c r="B2144" t="s">
        <v>2216</v>
      </c>
      <c r="C2144" t="s">
        <v>2236</v>
      </c>
      <c r="D2144" s="14">
        <v>0.99</v>
      </c>
      <c r="E2144" s="15">
        <v>25.6</v>
      </c>
    </row>
    <row r="2145" spans="1:5">
      <c r="A2145">
        <v>2012</v>
      </c>
      <c r="B2145" t="s">
        <v>2217</v>
      </c>
      <c r="C2145" t="s">
        <v>2236</v>
      </c>
      <c r="D2145" s="14">
        <v>4.47</v>
      </c>
      <c r="E2145" s="15">
        <v>25.6</v>
      </c>
    </row>
    <row r="2146" spans="1:5">
      <c r="A2146">
        <v>2012</v>
      </c>
      <c r="B2146" t="s">
        <v>2218</v>
      </c>
      <c r="C2146" t="s">
        <v>2236</v>
      </c>
      <c r="D2146" s="14">
        <v>5.04</v>
      </c>
      <c r="E2146" s="15">
        <v>25.6</v>
      </c>
    </row>
    <row r="2147" spans="1:5">
      <c r="A2147">
        <v>2012</v>
      </c>
      <c r="B2147" t="s">
        <v>2219</v>
      </c>
      <c r="C2147" t="s">
        <v>2236</v>
      </c>
      <c r="D2147" s="14">
        <v>2.66</v>
      </c>
      <c r="E2147" s="15">
        <v>25.6</v>
      </c>
    </row>
    <row r="2148" spans="1:5">
      <c r="A2148">
        <v>2012</v>
      </c>
      <c r="B2148" t="s">
        <v>2220</v>
      </c>
      <c r="C2148" t="s">
        <v>2236</v>
      </c>
      <c r="D2148" s="14">
        <v>1.87</v>
      </c>
      <c r="E2148" s="15">
        <v>25.6</v>
      </c>
    </row>
    <row r="2149" spans="1:5">
      <c r="A2149">
        <v>2012</v>
      </c>
      <c r="B2149" t="s">
        <v>2221</v>
      </c>
      <c r="C2149" t="s">
        <v>2236</v>
      </c>
      <c r="D2149" s="14">
        <v>13.57</v>
      </c>
      <c r="E2149" s="15">
        <v>25.6</v>
      </c>
    </row>
    <row r="2150" spans="1:5">
      <c r="A2150">
        <v>2012</v>
      </c>
      <c r="B2150" t="s">
        <v>2222</v>
      </c>
      <c r="C2150" t="s">
        <v>2236</v>
      </c>
      <c r="D2150" s="14">
        <v>1.76</v>
      </c>
      <c r="E2150" s="15">
        <v>25.6</v>
      </c>
    </row>
    <row r="2151" spans="1:5">
      <c r="A2151">
        <v>2012</v>
      </c>
      <c r="B2151" t="s">
        <v>2223</v>
      </c>
      <c r="C2151" t="s">
        <v>2236</v>
      </c>
      <c r="D2151" s="14">
        <v>0.25</v>
      </c>
      <c r="E2151" s="15">
        <v>25.6</v>
      </c>
    </row>
    <row r="2152" spans="1:5">
      <c r="A2152">
        <v>2013</v>
      </c>
      <c r="B2152" t="s">
        <v>2213</v>
      </c>
      <c r="C2152" t="s">
        <v>2236</v>
      </c>
      <c r="D2152" s="14">
        <v>0.25</v>
      </c>
      <c r="E2152" s="15">
        <v>24.4</v>
      </c>
    </row>
    <row r="2153" spans="1:5">
      <c r="A2153">
        <v>2013</v>
      </c>
      <c r="B2153" t="s">
        <v>2215</v>
      </c>
      <c r="C2153" t="s">
        <v>2236</v>
      </c>
      <c r="D2153" s="14">
        <v>1.47</v>
      </c>
      <c r="E2153" s="15">
        <v>24.4</v>
      </c>
    </row>
    <row r="2154" spans="1:5">
      <c r="A2154">
        <v>2013</v>
      </c>
      <c r="B2154" t="s">
        <v>2216</v>
      </c>
      <c r="C2154" t="s">
        <v>2236</v>
      </c>
      <c r="D2154" s="14">
        <v>0.98</v>
      </c>
      <c r="E2154" s="15">
        <v>24.4</v>
      </c>
    </row>
    <row r="2155" spans="1:5">
      <c r="A2155">
        <v>2013</v>
      </c>
      <c r="B2155" t="s">
        <v>2217</v>
      </c>
      <c r="C2155" t="s">
        <v>2236</v>
      </c>
      <c r="D2155" s="14">
        <v>4.49</v>
      </c>
      <c r="E2155" s="15">
        <v>24.4</v>
      </c>
    </row>
    <row r="2156" spans="1:5">
      <c r="A2156">
        <v>2013</v>
      </c>
      <c r="B2156" t="s">
        <v>2218</v>
      </c>
      <c r="C2156" t="s">
        <v>2236</v>
      </c>
      <c r="D2156" s="14">
        <v>4.76</v>
      </c>
      <c r="E2156" s="15">
        <v>24.4</v>
      </c>
    </row>
    <row r="2157" spans="1:5">
      <c r="A2157">
        <v>2013</v>
      </c>
      <c r="B2157" t="s">
        <v>2219</v>
      </c>
      <c r="C2157" t="s">
        <v>2236</v>
      </c>
      <c r="D2157" s="14">
        <v>2.58</v>
      </c>
      <c r="E2157" s="15">
        <v>24.4</v>
      </c>
    </row>
    <row r="2158" spans="1:5">
      <c r="A2158">
        <v>2013</v>
      </c>
      <c r="B2158" t="s">
        <v>2220</v>
      </c>
      <c r="C2158" t="s">
        <v>2236</v>
      </c>
      <c r="D2158" s="14">
        <v>1.71</v>
      </c>
      <c r="E2158" s="15">
        <v>24.4</v>
      </c>
    </row>
    <row r="2159" spans="1:5">
      <c r="A2159">
        <v>2013</v>
      </c>
      <c r="B2159" t="s">
        <v>2221</v>
      </c>
      <c r="C2159" t="s">
        <v>2236</v>
      </c>
      <c r="D2159" s="14">
        <v>12.97</v>
      </c>
      <c r="E2159" s="15">
        <v>24.4</v>
      </c>
    </row>
    <row r="2160" spans="1:5">
      <c r="A2160">
        <v>2013</v>
      </c>
      <c r="B2160" t="s">
        <v>2222</v>
      </c>
      <c r="C2160" t="s">
        <v>2236</v>
      </c>
      <c r="D2160" s="14">
        <v>1.69</v>
      </c>
      <c r="E2160" s="15">
        <v>24.4</v>
      </c>
    </row>
    <row r="2161" spans="1:5">
      <c r="A2161">
        <v>2013</v>
      </c>
      <c r="B2161" t="s">
        <v>2223</v>
      </c>
      <c r="C2161" t="s">
        <v>2236</v>
      </c>
      <c r="D2161" s="14">
        <v>0.26</v>
      </c>
      <c r="E2161" s="15">
        <v>24.4</v>
      </c>
    </row>
    <row r="2162" spans="1:5">
      <c r="A2162">
        <v>2014</v>
      </c>
      <c r="B2162" t="s">
        <v>2213</v>
      </c>
      <c r="C2162" t="s">
        <v>2236</v>
      </c>
      <c r="D2162" s="14">
        <v>0.23</v>
      </c>
      <c r="E2162" s="15">
        <v>23.2</v>
      </c>
    </row>
    <row r="2163" spans="1:5">
      <c r="A2163">
        <v>2014</v>
      </c>
      <c r="B2163" t="s">
        <v>2215</v>
      </c>
      <c r="C2163" t="s">
        <v>2236</v>
      </c>
      <c r="D2163" s="14">
        <v>1.45</v>
      </c>
      <c r="E2163" s="15">
        <v>23.2</v>
      </c>
    </row>
    <row r="2164" spans="1:5">
      <c r="A2164">
        <v>2014</v>
      </c>
      <c r="B2164" t="s">
        <v>2216</v>
      </c>
      <c r="C2164" t="s">
        <v>2236</v>
      </c>
      <c r="D2164" s="14">
        <v>0.91</v>
      </c>
      <c r="E2164" s="15">
        <v>23.2</v>
      </c>
    </row>
    <row r="2165" spans="1:5">
      <c r="A2165">
        <v>2014</v>
      </c>
      <c r="B2165" t="s">
        <v>2217</v>
      </c>
      <c r="C2165" t="s">
        <v>2236</v>
      </c>
      <c r="D2165" s="14">
        <v>4.05</v>
      </c>
      <c r="E2165" s="15">
        <v>23.2</v>
      </c>
    </row>
    <row r="2166" spans="1:5">
      <c r="A2166">
        <v>2014</v>
      </c>
      <c r="B2166" t="s">
        <v>2218</v>
      </c>
      <c r="C2166" t="s">
        <v>2236</v>
      </c>
      <c r="D2166" s="14">
        <v>4.76</v>
      </c>
      <c r="E2166" s="15">
        <v>23.2</v>
      </c>
    </row>
    <row r="2167" spans="1:5">
      <c r="A2167">
        <v>2014</v>
      </c>
      <c r="B2167" t="s">
        <v>2219</v>
      </c>
      <c r="C2167" t="s">
        <v>2236</v>
      </c>
      <c r="D2167" s="14">
        <v>2.2400000000000002</v>
      </c>
      <c r="E2167" s="15">
        <v>23.2</v>
      </c>
    </row>
    <row r="2168" spans="1:5">
      <c r="A2168">
        <v>2014</v>
      </c>
      <c r="B2168" t="s">
        <v>2220</v>
      </c>
      <c r="C2168" t="s">
        <v>2236</v>
      </c>
      <c r="D2168" s="14">
        <v>1.68</v>
      </c>
      <c r="E2168" s="15">
        <v>23.2</v>
      </c>
    </row>
    <row r="2169" spans="1:5">
      <c r="A2169">
        <v>2014</v>
      </c>
      <c r="B2169" t="s">
        <v>2221</v>
      </c>
      <c r="C2169" t="s">
        <v>2236</v>
      </c>
      <c r="D2169" s="14">
        <v>12.94</v>
      </c>
      <c r="E2169" s="15">
        <v>23.2</v>
      </c>
    </row>
    <row r="2170" spans="1:5">
      <c r="A2170">
        <v>2014</v>
      </c>
      <c r="B2170" t="s">
        <v>2222</v>
      </c>
      <c r="C2170" t="s">
        <v>2236</v>
      </c>
      <c r="D2170" s="14">
        <v>1.57</v>
      </c>
      <c r="E2170" s="15">
        <v>23.2</v>
      </c>
    </row>
    <row r="2171" spans="1:5">
      <c r="A2171">
        <v>2014</v>
      </c>
      <c r="B2171" t="s">
        <v>2223</v>
      </c>
      <c r="C2171" t="s">
        <v>2236</v>
      </c>
      <c r="D2171" s="14">
        <v>0.23</v>
      </c>
      <c r="E2171" s="15">
        <v>23.2</v>
      </c>
    </row>
    <row r="2172" spans="1:5">
      <c r="A2172">
        <v>2015</v>
      </c>
      <c r="B2172" t="s">
        <v>2213</v>
      </c>
      <c r="C2172" t="s">
        <v>2236</v>
      </c>
      <c r="D2172" s="14">
        <v>0.22</v>
      </c>
      <c r="E2172" s="15">
        <v>22</v>
      </c>
    </row>
    <row r="2173" spans="1:5">
      <c r="A2173">
        <v>2015</v>
      </c>
      <c r="B2173" t="s">
        <v>2215</v>
      </c>
      <c r="C2173" t="s">
        <v>2236</v>
      </c>
      <c r="D2173" s="14">
        <v>1.34</v>
      </c>
      <c r="E2173" s="15">
        <v>22</v>
      </c>
    </row>
    <row r="2174" spans="1:5">
      <c r="A2174">
        <v>2015</v>
      </c>
      <c r="B2174" t="s">
        <v>2216</v>
      </c>
      <c r="C2174" t="s">
        <v>2236</v>
      </c>
      <c r="D2174" s="14">
        <v>0.95</v>
      </c>
      <c r="E2174" s="15">
        <v>22</v>
      </c>
    </row>
    <row r="2175" spans="1:5">
      <c r="A2175">
        <v>2015</v>
      </c>
      <c r="B2175" t="s">
        <v>2217</v>
      </c>
      <c r="C2175" t="s">
        <v>2236</v>
      </c>
      <c r="D2175" s="14">
        <v>3.9</v>
      </c>
      <c r="E2175" s="15">
        <v>22</v>
      </c>
    </row>
    <row r="2176" spans="1:5">
      <c r="A2176">
        <v>2015</v>
      </c>
      <c r="B2176" t="s">
        <v>2218</v>
      </c>
      <c r="C2176" t="s">
        <v>2236</v>
      </c>
      <c r="D2176" s="14">
        <v>4.49</v>
      </c>
      <c r="E2176" s="15">
        <v>22</v>
      </c>
    </row>
    <row r="2177" spans="1:5">
      <c r="A2177">
        <v>2015</v>
      </c>
      <c r="B2177" t="s">
        <v>2219</v>
      </c>
      <c r="C2177" t="s">
        <v>2236</v>
      </c>
      <c r="D2177" s="14">
        <v>2.2000000000000002</v>
      </c>
      <c r="E2177" s="15">
        <v>22</v>
      </c>
    </row>
    <row r="2178" spans="1:5">
      <c r="A2178">
        <v>2015</v>
      </c>
      <c r="B2178" t="s">
        <v>2220</v>
      </c>
      <c r="C2178" t="s">
        <v>2236</v>
      </c>
      <c r="D2178" s="14">
        <v>1.54</v>
      </c>
      <c r="E2178" s="15">
        <v>22</v>
      </c>
    </row>
    <row r="2179" spans="1:5">
      <c r="A2179">
        <v>2015</v>
      </c>
      <c r="B2179" t="s">
        <v>2221</v>
      </c>
      <c r="C2179" t="s">
        <v>2236</v>
      </c>
      <c r="D2179" s="14">
        <v>12.02</v>
      </c>
      <c r="E2179" s="15">
        <v>22</v>
      </c>
    </row>
    <row r="2180" spans="1:5">
      <c r="A2180">
        <v>2015</v>
      </c>
      <c r="B2180" t="s">
        <v>2222</v>
      </c>
      <c r="C2180" t="s">
        <v>2236</v>
      </c>
      <c r="D2180" s="14">
        <v>1.49</v>
      </c>
      <c r="E2180" s="15">
        <v>22</v>
      </c>
    </row>
    <row r="2181" spans="1:5">
      <c r="A2181">
        <v>2015</v>
      </c>
      <c r="B2181" t="s">
        <v>2223</v>
      </c>
      <c r="C2181" t="s">
        <v>2236</v>
      </c>
      <c r="D2181" s="14">
        <v>0.22</v>
      </c>
      <c r="E2181" s="15">
        <v>22</v>
      </c>
    </row>
    <row r="2182" spans="1:5">
      <c r="A2182">
        <v>2016</v>
      </c>
      <c r="B2182" t="s">
        <v>2213</v>
      </c>
      <c r="C2182" t="s">
        <v>2236</v>
      </c>
      <c r="D2182" s="14">
        <v>0.21</v>
      </c>
      <c r="E2182" s="15">
        <v>21.2</v>
      </c>
    </row>
    <row r="2183" spans="1:5">
      <c r="A2183">
        <v>2016</v>
      </c>
      <c r="B2183" t="s">
        <v>2215</v>
      </c>
      <c r="C2183" t="s">
        <v>2236</v>
      </c>
      <c r="D2183" s="14">
        <v>1.23</v>
      </c>
      <c r="E2183" s="15">
        <v>21.2</v>
      </c>
    </row>
    <row r="2184" spans="1:5">
      <c r="A2184">
        <v>2016</v>
      </c>
      <c r="B2184" t="s">
        <v>2216</v>
      </c>
      <c r="C2184" t="s">
        <v>2236</v>
      </c>
      <c r="D2184" s="14">
        <v>0.89</v>
      </c>
      <c r="E2184" s="15">
        <v>21.2</v>
      </c>
    </row>
    <row r="2185" spans="1:5">
      <c r="A2185">
        <v>2016</v>
      </c>
      <c r="B2185" t="s">
        <v>2217</v>
      </c>
      <c r="C2185" t="s">
        <v>2236</v>
      </c>
      <c r="D2185" s="14">
        <v>3.84</v>
      </c>
      <c r="E2185" s="15">
        <v>21.2</v>
      </c>
    </row>
    <row r="2186" spans="1:5">
      <c r="A2186">
        <v>2016</v>
      </c>
      <c r="B2186" t="s">
        <v>2218</v>
      </c>
      <c r="C2186" t="s">
        <v>2236</v>
      </c>
      <c r="D2186" s="14">
        <v>4.21</v>
      </c>
      <c r="E2186" s="15">
        <v>21.2</v>
      </c>
    </row>
    <row r="2187" spans="1:5">
      <c r="A2187">
        <v>2016</v>
      </c>
      <c r="B2187" t="s">
        <v>2219</v>
      </c>
      <c r="C2187" t="s">
        <v>2236</v>
      </c>
      <c r="D2187" s="14">
        <v>2.2400000000000002</v>
      </c>
      <c r="E2187" s="15">
        <v>21.2</v>
      </c>
    </row>
    <row r="2188" spans="1:5">
      <c r="A2188">
        <v>2016</v>
      </c>
      <c r="B2188" t="s">
        <v>2220</v>
      </c>
      <c r="C2188" t="s">
        <v>2236</v>
      </c>
      <c r="D2188" s="14">
        <v>1.38</v>
      </c>
      <c r="E2188" s="15">
        <v>21.2</v>
      </c>
    </row>
    <row r="2189" spans="1:5">
      <c r="A2189">
        <v>2016</v>
      </c>
      <c r="B2189" t="s">
        <v>2221</v>
      </c>
      <c r="C2189" t="s">
        <v>2236</v>
      </c>
      <c r="D2189" s="14">
        <v>12.3</v>
      </c>
      <c r="E2189" s="15">
        <v>21.2</v>
      </c>
    </row>
    <row r="2190" spans="1:5">
      <c r="A2190">
        <v>2016</v>
      </c>
      <c r="B2190" t="s">
        <v>2222</v>
      </c>
      <c r="C2190" t="s">
        <v>2236</v>
      </c>
      <c r="D2190" s="14">
        <v>1.44</v>
      </c>
      <c r="E2190" s="15">
        <v>21.2</v>
      </c>
    </row>
    <row r="2191" spans="1:5">
      <c r="A2191">
        <v>2016</v>
      </c>
      <c r="B2191" t="s">
        <v>2223</v>
      </c>
      <c r="C2191" t="s">
        <v>2236</v>
      </c>
      <c r="D2191" s="14">
        <v>0.21</v>
      </c>
      <c r="E2191" s="15">
        <v>21.2</v>
      </c>
    </row>
    <row r="2192" spans="1:5">
      <c r="A2192">
        <v>2017</v>
      </c>
      <c r="B2192" t="s">
        <v>2213</v>
      </c>
      <c r="C2192" t="s">
        <v>2236</v>
      </c>
      <c r="D2192" s="14">
        <v>0.2</v>
      </c>
      <c r="E2192" s="15">
        <v>20.5</v>
      </c>
    </row>
    <row r="2193" spans="1:5">
      <c r="A2193">
        <v>2017</v>
      </c>
      <c r="B2193" t="s">
        <v>2215</v>
      </c>
      <c r="C2193" t="s">
        <v>2236</v>
      </c>
      <c r="D2193" s="14">
        <v>1.19</v>
      </c>
      <c r="E2193" s="15">
        <v>20.5</v>
      </c>
    </row>
    <row r="2194" spans="1:5">
      <c r="A2194">
        <v>2017</v>
      </c>
      <c r="B2194" t="s">
        <v>2216</v>
      </c>
      <c r="C2194" t="s">
        <v>2236</v>
      </c>
      <c r="D2194" s="14">
        <v>0.86</v>
      </c>
      <c r="E2194" s="15">
        <v>20.5</v>
      </c>
    </row>
    <row r="2195" spans="1:5">
      <c r="A2195">
        <v>2017</v>
      </c>
      <c r="B2195" t="s">
        <v>2217</v>
      </c>
      <c r="C2195" t="s">
        <v>2236</v>
      </c>
      <c r="D2195" s="14">
        <v>3.97</v>
      </c>
      <c r="E2195" s="15">
        <v>20.5</v>
      </c>
    </row>
    <row r="2196" spans="1:5">
      <c r="A2196">
        <v>2017</v>
      </c>
      <c r="B2196" t="s">
        <v>2218</v>
      </c>
      <c r="C2196" t="s">
        <v>2236</v>
      </c>
      <c r="D2196" s="14">
        <v>4.0599999999999996</v>
      </c>
      <c r="E2196" s="15">
        <v>20.5</v>
      </c>
    </row>
    <row r="2197" spans="1:5">
      <c r="A2197">
        <v>2017</v>
      </c>
      <c r="B2197" t="s">
        <v>2219</v>
      </c>
      <c r="C2197" t="s">
        <v>2236</v>
      </c>
      <c r="D2197" s="14">
        <v>2.08</v>
      </c>
      <c r="E2197" s="15">
        <v>20.5</v>
      </c>
    </row>
    <row r="2198" spans="1:5">
      <c r="A2198">
        <v>2017</v>
      </c>
      <c r="B2198" t="s">
        <v>2220</v>
      </c>
      <c r="C2198" t="s">
        <v>2236</v>
      </c>
      <c r="D2198" s="14">
        <v>1.44</v>
      </c>
      <c r="E2198" s="15">
        <v>20.5</v>
      </c>
    </row>
    <row r="2199" spans="1:5">
      <c r="A2199">
        <v>2017</v>
      </c>
      <c r="B2199" t="s">
        <v>2221</v>
      </c>
      <c r="C2199" t="s">
        <v>2236</v>
      </c>
      <c r="D2199" s="14">
        <v>12.08</v>
      </c>
      <c r="E2199" s="15">
        <v>20.5</v>
      </c>
    </row>
    <row r="2200" spans="1:5">
      <c r="A2200">
        <v>2017</v>
      </c>
      <c r="B2200" t="s">
        <v>2222</v>
      </c>
      <c r="C2200" t="s">
        <v>2236</v>
      </c>
      <c r="D2200" s="14">
        <v>1.32</v>
      </c>
      <c r="E2200" s="15">
        <v>20.5</v>
      </c>
    </row>
    <row r="2201" spans="1:5">
      <c r="A2201">
        <v>2017</v>
      </c>
      <c r="B2201" t="s">
        <v>2223</v>
      </c>
      <c r="C2201" t="s">
        <v>2236</v>
      </c>
      <c r="D2201" s="14">
        <v>0.21</v>
      </c>
      <c r="E2201" s="15">
        <v>20.5</v>
      </c>
    </row>
    <row r="2202" spans="1:5">
      <c r="A2202">
        <v>2018</v>
      </c>
      <c r="B2202" t="s">
        <v>2213</v>
      </c>
      <c r="C2202" t="s">
        <v>2236</v>
      </c>
      <c r="D2202" s="14">
        <v>0.19</v>
      </c>
      <c r="E2202" s="15">
        <v>19.8</v>
      </c>
    </row>
    <row r="2203" spans="1:5">
      <c r="A2203">
        <v>2018</v>
      </c>
      <c r="B2203" t="s">
        <v>2215</v>
      </c>
      <c r="C2203" t="s">
        <v>2236</v>
      </c>
      <c r="D2203" s="14">
        <v>1.08</v>
      </c>
      <c r="E2203" s="15">
        <v>19.8</v>
      </c>
    </row>
    <row r="2204" spans="1:5">
      <c r="A2204">
        <v>2018</v>
      </c>
      <c r="B2204" t="s">
        <v>2216</v>
      </c>
      <c r="C2204" t="s">
        <v>2236</v>
      </c>
      <c r="D2204" s="14">
        <v>0.78</v>
      </c>
      <c r="E2204" s="15">
        <v>19.8</v>
      </c>
    </row>
    <row r="2205" spans="1:5">
      <c r="A2205">
        <v>2018</v>
      </c>
      <c r="B2205" t="s">
        <v>2217</v>
      </c>
      <c r="C2205" t="s">
        <v>2236</v>
      </c>
      <c r="D2205" s="14">
        <v>3.83</v>
      </c>
      <c r="E2205" s="15">
        <v>19.8</v>
      </c>
    </row>
    <row r="2206" spans="1:5">
      <c r="A2206">
        <v>2018</v>
      </c>
      <c r="B2206" t="s">
        <v>2218</v>
      </c>
      <c r="C2206" t="s">
        <v>2236</v>
      </c>
      <c r="D2206" s="14">
        <v>3.85</v>
      </c>
      <c r="E2206" s="15">
        <v>19.8</v>
      </c>
    </row>
    <row r="2207" spans="1:5">
      <c r="A2207">
        <v>2018</v>
      </c>
      <c r="B2207" t="s">
        <v>2219</v>
      </c>
      <c r="C2207" t="s">
        <v>2236</v>
      </c>
      <c r="D2207" s="14">
        <v>2.04</v>
      </c>
      <c r="E2207" s="15">
        <v>19.8</v>
      </c>
    </row>
    <row r="2208" spans="1:5">
      <c r="A2208">
        <v>2018</v>
      </c>
      <c r="B2208" t="s">
        <v>2220</v>
      </c>
      <c r="C2208" t="s">
        <v>2236</v>
      </c>
      <c r="D2208" s="14">
        <v>1.45</v>
      </c>
      <c r="E2208" s="15">
        <v>19.8</v>
      </c>
    </row>
    <row r="2209" spans="1:5">
      <c r="A2209">
        <v>2018</v>
      </c>
      <c r="B2209" t="s">
        <v>2221</v>
      </c>
      <c r="C2209" t="s">
        <v>2236</v>
      </c>
      <c r="D2209" s="14">
        <v>10.86</v>
      </c>
      <c r="E2209" s="15">
        <v>19.8</v>
      </c>
    </row>
    <row r="2210" spans="1:5">
      <c r="A2210">
        <v>2018</v>
      </c>
      <c r="B2210" t="s">
        <v>2222</v>
      </c>
      <c r="C2210" t="s">
        <v>2236</v>
      </c>
      <c r="D2210" s="14">
        <v>1.39</v>
      </c>
      <c r="E2210" s="15">
        <v>19.8</v>
      </c>
    </row>
    <row r="2211" spans="1:5">
      <c r="A2211">
        <v>2018</v>
      </c>
      <c r="B2211" t="s">
        <v>2223</v>
      </c>
      <c r="C2211" t="s">
        <v>2236</v>
      </c>
      <c r="D2211" s="14">
        <v>0.18</v>
      </c>
      <c r="E2211" s="15">
        <v>19.8</v>
      </c>
    </row>
    <row r="2212" spans="1:5">
      <c r="A2212">
        <v>2019</v>
      </c>
      <c r="B2212" t="s">
        <v>2213</v>
      </c>
      <c r="C2212" t="s">
        <v>2236</v>
      </c>
      <c r="D2212" s="14">
        <v>0.18</v>
      </c>
      <c r="E2212" s="15">
        <v>19</v>
      </c>
    </row>
    <row r="2213" spans="1:5">
      <c r="A2213">
        <v>2019</v>
      </c>
      <c r="B2213" t="s">
        <v>2215</v>
      </c>
      <c r="C2213" t="s">
        <v>2236</v>
      </c>
      <c r="D2213" s="14">
        <v>1.18</v>
      </c>
      <c r="E2213" s="15">
        <v>19</v>
      </c>
    </row>
    <row r="2214" spans="1:5">
      <c r="A2214">
        <v>2019</v>
      </c>
      <c r="B2214" t="s">
        <v>2216</v>
      </c>
      <c r="C2214" t="s">
        <v>2236</v>
      </c>
      <c r="D2214" s="14">
        <v>0.76</v>
      </c>
      <c r="E2214" s="15">
        <v>19</v>
      </c>
    </row>
    <row r="2215" spans="1:5">
      <c r="A2215">
        <v>2019</v>
      </c>
      <c r="B2215" t="s">
        <v>2217</v>
      </c>
      <c r="C2215" t="s">
        <v>2236</v>
      </c>
      <c r="D2215" s="14">
        <v>3.47</v>
      </c>
      <c r="E2215" s="15">
        <v>19</v>
      </c>
    </row>
    <row r="2216" spans="1:5">
      <c r="A2216">
        <v>2019</v>
      </c>
      <c r="B2216" t="s">
        <v>2218</v>
      </c>
      <c r="C2216" t="s">
        <v>2236</v>
      </c>
      <c r="D2216" s="14">
        <v>3.82</v>
      </c>
      <c r="E2216" s="15">
        <v>19</v>
      </c>
    </row>
    <row r="2217" spans="1:5">
      <c r="A2217">
        <v>2019</v>
      </c>
      <c r="B2217" t="s">
        <v>2219</v>
      </c>
      <c r="C2217" t="s">
        <v>2236</v>
      </c>
      <c r="D2217" s="14">
        <v>2.0699999999999998</v>
      </c>
      <c r="E2217" s="15">
        <v>19</v>
      </c>
    </row>
    <row r="2218" spans="1:5">
      <c r="A2218">
        <v>2019</v>
      </c>
      <c r="B2218" t="s">
        <v>2220</v>
      </c>
      <c r="C2218" t="s">
        <v>2236</v>
      </c>
      <c r="D2218" s="14">
        <v>1.31</v>
      </c>
      <c r="E2218" s="15">
        <v>19</v>
      </c>
    </row>
    <row r="2219" spans="1:5">
      <c r="A2219">
        <v>2019</v>
      </c>
      <c r="B2219" t="s">
        <v>2221</v>
      </c>
      <c r="C2219" t="s">
        <v>2236</v>
      </c>
      <c r="D2219" s="14">
        <v>11.14</v>
      </c>
      <c r="E2219" s="15">
        <v>19</v>
      </c>
    </row>
    <row r="2220" spans="1:5">
      <c r="A2220">
        <v>2019</v>
      </c>
      <c r="B2220" t="s">
        <v>2222</v>
      </c>
      <c r="C2220" t="s">
        <v>2236</v>
      </c>
      <c r="D2220" s="14">
        <v>1.34</v>
      </c>
      <c r="E2220" s="15">
        <v>19</v>
      </c>
    </row>
    <row r="2221" spans="1:5">
      <c r="A2221">
        <v>2019</v>
      </c>
      <c r="B2221" t="s">
        <v>2223</v>
      </c>
      <c r="C2221" t="s">
        <v>2236</v>
      </c>
      <c r="D2221" s="14">
        <v>0.2</v>
      </c>
      <c r="E2221" s="15">
        <v>19</v>
      </c>
    </row>
    <row r="2222" spans="1:5">
      <c r="A2222">
        <v>2020</v>
      </c>
      <c r="B2222" t="s">
        <v>2213</v>
      </c>
      <c r="C2222" t="s">
        <v>2236</v>
      </c>
      <c r="D2222" s="14">
        <v>0.18</v>
      </c>
      <c r="E2222" s="15">
        <v>18.5</v>
      </c>
    </row>
    <row r="2223" spans="1:5">
      <c r="A2223">
        <v>2020</v>
      </c>
      <c r="B2223" t="s">
        <v>2215</v>
      </c>
      <c r="C2223" t="s">
        <v>2236</v>
      </c>
      <c r="D2223" s="14">
        <v>1.1200000000000001</v>
      </c>
      <c r="E2223" s="15">
        <v>18.5</v>
      </c>
    </row>
    <row r="2224" spans="1:5">
      <c r="A2224">
        <v>2020</v>
      </c>
      <c r="B2224" t="s">
        <v>2216</v>
      </c>
      <c r="C2224" t="s">
        <v>2236</v>
      </c>
      <c r="D2224" s="14">
        <v>0.73</v>
      </c>
      <c r="E2224" s="15">
        <v>18.5</v>
      </c>
    </row>
    <row r="2225" spans="1:5">
      <c r="A2225">
        <v>2020</v>
      </c>
      <c r="B2225" t="s">
        <v>2217</v>
      </c>
      <c r="C2225" t="s">
        <v>2236</v>
      </c>
      <c r="D2225" s="14">
        <v>3.35</v>
      </c>
      <c r="E2225" s="15">
        <v>18.5</v>
      </c>
    </row>
    <row r="2226" spans="1:5">
      <c r="A2226">
        <v>2020</v>
      </c>
      <c r="B2226" t="s">
        <v>2218</v>
      </c>
      <c r="C2226" t="s">
        <v>2236</v>
      </c>
      <c r="D2226" s="14">
        <v>3.89</v>
      </c>
      <c r="E2226" s="15">
        <v>18.5</v>
      </c>
    </row>
    <row r="2227" spans="1:5">
      <c r="A2227">
        <v>2020</v>
      </c>
      <c r="B2227" t="s">
        <v>2219</v>
      </c>
      <c r="C2227" t="s">
        <v>2236</v>
      </c>
      <c r="D2227" s="14">
        <v>1.88</v>
      </c>
      <c r="E2227" s="15">
        <v>18.5</v>
      </c>
    </row>
    <row r="2228" spans="1:5">
      <c r="A2228">
        <v>2020</v>
      </c>
      <c r="B2228" t="s">
        <v>2220</v>
      </c>
      <c r="C2228" t="s">
        <v>2236</v>
      </c>
      <c r="D2228" s="14">
        <v>1.36</v>
      </c>
      <c r="E2228" s="15">
        <v>18.5</v>
      </c>
    </row>
    <row r="2229" spans="1:5">
      <c r="A2229">
        <v>2020</v>
      </c>
      <c r="B2229" t="s">
        <v>2221</v>
      </c>
      <c r="C2229" t="s">
        <v>2236</v>
      </c>
      <c r="D2229" s="14">
        <v>9.91</v>
      </c>
      <c r="E2229" s="15">
        <v>18.5</v>
      </c>
    </row>
    <row r="2230" spans="1:5">
      <c r="A2230">
        <v>2020</v>
      </c>
      <c r="B2230" t="s">
        <v>2222</v>
      </c>
      <c r="C2230" t="s">
        <v>2236</v>
      </c>
      <c r="D2230" s="14">
        <v>1.25</v>
      </c>
      <c r="E2230" s="15">
        <v>18.5</v>
      </c>
    </row>
    <row r="2231" spans="1:5">
      <c r="A2231">
        <v>2020</v>
      </c>
      <c r="B2231" t="s">
        <v>2223</v>
      </c>
      <c r="C2231" t="s">
        <v>2236</v>
      </c>
      <c r="D2231" s="14">
        <v>0.19</v>
      </c>
      <c r="E2231" s="15">
        <v>18.5</v>
      </c>
    </row>
    <row r="2232" spans="1:5">
      <c r="A2232">
        <v>2021</v>
      </c>
      <c r="B2232" t="s">
        <v>2213</v>
      </c>
      <c r="C2232" t="s">
        <v>2236</v>
      </c>
      <c r="D2232" s="14">
        <v>0.18</v>
      </c>
      <c r="E2232" s="15">
        <v>18</v>
      </c>
    </row>
    <row r="2233" spans="1:5">
      <c r="A2233">
        <v>2021</v>
      </c>
      <c r="B2233" t="s">
        <v>2215</v>
      </c>
      <c r="C2233" t="s">
        <v>2236</v>
      </c>
      <c r="D2233" s="14">
        <v>1.07</v>
      </c>
      <c r="E2233" s="15">
        <v>18</v>
      </c>
    </row>
    <row r="2234" spans="1:5">
      <c r="A2234">
        <v>2021</v>
      </c>
      <c r="B2234" t="s">
        <v>2216</v>
      </c>
      <c r="C2234" t="s">
        <v>2236</v>
      </c>
      <c r="D2234" s="14">
        <v>0.69</v>
      </c>
      <c r="E2234" s="15">
        <v>18</v>
      </c>
    </row>
    <row r="2235" spans="1:5">
      <c r="A2235">
        <v>2021</v>
      </c>
      <c r="B2235" t="s">
        <v>2217</v>
      </c>
      <c r="C2235" t="s">
        <v>2236</v>
      </c>
      <c r="D2235" s="14">
        <v>3.4</v>
      </c>
      <c r="E2235" s="15">
        <v>18</v>
      </c>
    </row>
    <row r="2236" spans="1:5">
      <c r="A2236">
        <v>2021</v>
      </c>
      <c r="B2236" t="s">
        <v>2218</v>
      </c>
      <c r="C2236" t="s">
        <v>2236</v>
      </c>
      <c r="D2236" s="14">
        <v>3.55</v>
      </c>
      <c r="E2236" s="15">
        <v>18</v>
      </c>
    </row>
    <row r="2237" spans="1:5">
      <c r="A2237">
        <v>2021</v>
      </c>
      <c r="B2237" t="s">
        <v>2219</v>
      </c>
      <c r="C2237" t="s">
        <v>2236</v>
      </c>
      <c r="D2237" s="14">
        <v>1.91</v>
      </c>
      <c r="E2237" s="15">
        <v>18</v>
      </c>
    </row>
    <row r="2238" spans="1:5">
      <c r="A2238">
        <v>2021</v>
      </c>
      <c r="B2238" t="s">
        <v>2220</v>
      </c>
      <c r="C2238" t="s">
        <v>2236</v>
      </c>
      <c r="D2238" s="14">
        <v>1.26</v>
      </c>
      <c r="E2238" s="15">
        <v>18</v>
      </c>
    </row>
    <row r="2239" spans="1:5">
      <c r="A2239">
        <v>2021</v>
      </c>
      <c r="B2239" t="s">
        <v>2221</v>
      </c>
      <c r="C2239" t="s">
        <v>2236</v>
      </c>
      <c r="D2239" s="14">
        <v>10.16</v>
      </c>
      <c r="E2239" s="15">
        <v>18</v>
      </c>
    </row>
    <row r="2240" spans="1:5">
      <c r="A2240">
        <v>2021</v>
      </c>
      <c r="B2240" t="s">
        <v>2222</v>
      </c>
      <c r="C2240" t="s">
        <v>2236</v>
      </c>
      <c r="D2240" s="14">
        <v>1.29</v>
      </c>
      <c r="E2240" s="15">
        <v>18</v>
      </c>
    </row>
    <row r="2241" spans="1:5">
      <c r="A2241">
        <v>2021</v>
      </c>
      <c r="B2241" t="s">
        <v>2223</v>
      </c>
      <c r="C2241" t="s">
        <v>2236</v>
      </c>
      <c r="D2241" s="14">
        <v>0.17</v>
      </c>
      <c r="E2241" s="15">
        <v>18</v>
      </c>
    </row>
    <row r="2242" spans="1:5">
      <c r="A2242">
        <v>2022</v>
      </c>
      <c r="B2242" t="s">
        <v>2213</v>
      </c>
      <c r="C2242" t="s">
        <v>2236</v>
      </c>
      <c r="D2242" s="14">
        <v>0.18</v>
      </c>
      <c r="E2242" s="15">
        <v>17.3</v>
      </c>
    </row>
    <row r="2243" spans="1:5">
      <c r="A2243">
        <v>2022</v>
      </c>
      <c r="B2243" t="s">
        <v>2215</v>
      </c>
      <c r="C2243" t="s">
        <v>2236</v>
      </c>
      <c r="D2243" s="14">
        <v>1.1200000000000001</v>
      </c>
      <c r="E2243" s="15">
        <v>17.3</v>
      </c>
    </row>
    <row r="2244" spans="1:5">
      <c r="A2244">
        <v>2022</v>
      </c>
      <c r="B2244" t="s">
        <v>2216</v>
      </c>
      <c r="C2244" t="s">
        <v>2236</v>
      </c>
      <c r="D2244" s="14">
        <v>0.7</v>
      </c>
      <c r="E2244" s="15">
        <v>17.3</v>
      </c>
    </row>
    <row r="2245" spans="1:5">
      <c r="A2245">
        <v>2022</v>
      </c>
      <c r="B2245" t="s">
        <v>2217</v>
      </c>
      <c r="C2245" t="s">
        <v>2236</v>
      </c>
      <c r="D2245" s="14">
        <v>3.23</v>
      </c>
      <c r="E2245" s="15">
        <v>17.3</v>
      </c>
    </row>
    <row r="2246" spans="1:5">
      <c r="A2246">
        <v>2022</v>
      </c>
      <c r="B2246" t="s">
        <v>2218</v>
      </c>
      <c r="C2246" t="s">
        <v>2236</v>
      </c>
      <c r="D2246" s="14">
        <v>3.56</v>
      </c>
      <c r="E2246" s="15">
        <v>17.3</v>
      </c>
    </row>
    <row r="2247" spans="1:5">
      <c r="A2247">
        <v>2022</v>
      </c>
      <c r="B2247" t="s">
        <v>2219</v>
      </c>
      <c r="C2247" t="s">
        <v>2236</v>
      </c>
      <c r="D2247" s="14">
        <v>1.75</v>
      </c>
      <c r="E2247" s="15">
        <v>17.3</v>
      </c>
    </row>
    <row r="2248" spans="1:5">
      <c r="A2248">
        <v>2022</v>
      </c>
      <c r="B2248" t="s">
        <v>2220</v>
      </c>
      <c r="C2248" t="s">
        <v>2236</v>
      </c>
      <c r="D2248" s="14">
        <v>1.22</v>
      </c>
      <c r="E2248" s="15">
        <v>17.3</v>
      </c>
    </row>
    <row r="2249" spans="1:5">
      <c r="A2249">
        <v>2022</v>
      </c>
      <c r="B2249" t="s">
        <v>2221</v>
      </c>
      <c r="C2249" t="s">
        <v>2236</v>
      </c>
      <c r="D2249" s="14">
        <v>9.74</v>
      </c>
      <c r="E2249" s="15">
        <v>17.3</v>
      </c>
    </row>
    <row r="2250" spans="1:5">
      <c r="A2250">
        <v>2022</v>
      </c>
      <c r="B2250" t="s">
        <v>2222</v>
      </c>
      <c r="C2250" t="s">
        <v>2236</v>
      </c>
      <c r="D2250" s="14">
        <v>1.25</v>
      </c>
      <c r="E2250" s="15">
        <v>17.3</v>
      </c>
    </row>
    <row r="2251" spans="1:5">
      <c r="A2251">
        <v>2022</v>
      </c>
      <c r="B2251" t="s">
        <v>2223</v>
      </c>
      <c r="C2251" t="s">
        <v>2236</v>
      </c>
      <c r="D2251" s="14">
        <v>0.16</v>
      </c>
      <c r="E2251" s="15">
        <v>17.3</v>
      </c>
    </row>
    <row r="2252" spans="1:5">
      <c r="A2252">
        <v>2023</v>
      </c>
      <c r="B2252" t="s">
        <v>2213</v>
      </c>
      <c r="C2252" t="s">
        <v>2236</v>
      </c>
      <c r="D2252" s="14">
        <v>0.17</v>
      </c>
      <c r="E2252" s="15">
        <v>16.7</v>
      </c>
    </row>
    <row r="2253" spans="1:5">
      <c r="A2253">
        <v>2023</v>
      </c>
      <c r="B2253" t="s">
        <v>2215</v>
      </c>
      <c r="C2253" t="s">
        <v>2236</v>
      </c>
      <c r="D2253" s="14">
        <v>0.99</v>
      </c>
      <c r="E2253" s="15">
        <v>16.7</v>
      </c>
    </row>
    <row r="2254" spans="1:5">
      <c r="A2254">
        <v>2023</v>
      </c>
      <c r="B2254" t="s">
        <v>2216</v>
      </c>
      <c r="C2254" t="s">
        <v>2236</v>
      </c>
      <c r="D2254" s="14">
        <v>0.66</v>
      </c>
      <c r="E2254" s="15">
        <v>16.7</v>
      </c>
    </row>
    <row r="2255" spans="1:5">
      <c r="A2255">
        <v>2023</v>
      </c>
      <c r="B2255" t="s">
        <v>2217</v>
      </c>
      <c r="C2255" t="s">
        <v>2236</v>
      </c>
      <c r="D2255" s="14">
        <v>3.16</v>
      </c>
      <c r="E2255" s="15">
        <v>16.7</v>
      </c>
    </row>
    <row r="2256" spans="1:5">
      <c r="A2256">
        <v>2023</v>
      </c>
      <c r="B2256" t="s">
        <v>2218</v>
      </c>
      <c r="C2256" t="s">
        <v>2236</v>
      </c>
      <c r="D2256" s="14">
        <v>3.24</v>
      </c>
      <c r="E2256" s="15">
        <v>16.7</v>
      </c>
    </row>
    <row r="2257" spans="1:5">
      <c r="A2257">
        <v>2023</v>
      </c>
      <c r="B2257" t="s">
        <v>2219</v>
      </c>
      <c r="C2257" t="s">
        <v>2236</v>
      </c>
      <c r="D2257" s="14">
        <v>1.58</v>
      </c>
      <c r="E2257" s="15">
        <v>16.7</v>
      </c>
    </row>
    <row r="2258" spans="1:5">
      <c r="A2258">
        <v>2023</v>
      </c>
      <c r="B2258" t="s">
        <v>2220</v>
      </c>
      <c r="C2258" t="s">
        <v>2236</v>
      </c>
      <c r="D2258" s="14">
        <v>1.2</v>
      </c>
      <c r="E2258" s="15">
        <v>16.7</v>
      </c>
    </row>
    <row r="2259" spans="1:5">
      <c r="A2259">
        <v>2023</v>
      </c>
      <c r="B2259" t="s">
        <v>2221</v>
      </c>
      <c r="C2259" t="s">
        <v>2236</v>
      </c>
      <c r="D2259" s="14">
        <v>8.66</v>
      </c>
      <c r="E2259" s="15">
        <v>16.7</v>
      </c>
    </row>
    <row r="2260" spans="1:5">
      <c r="A2260">
        <v>2023</v>
      </c>
      <c r="B2260" t="s">
        <v>2222</v>
      </c>
      <c r="C2260" t="s">
        <v>2236</v>
      </c>
      <c r="D2260" s="14">
        <v>1.08</v>
      </c>
      <c r="E2260" s="15">
        <v>16.7</v>
      </c>
    </row>
    <row r="2261" spans="1:5">
      <c r="A2261">
        <v>2023</v>
      </c>
      <c r="B2261" t="s">
        <v>2223</v>
      </c>
      <c r="C2261" t="s">
        <v>2236</v>
      </c>
      <c r="D2261" s="14">
        <v>0.17</v>
      </c>
      <c r="E2261" s="15">
        <v>16.7</v>
      </c>
    </row>
    <row r="2262" spans="1:5">
      <c r="A2262">
        <v>2024</v>
      </c>
      <c r="B2262" t="s">
        <v>2213</v>
      </c>
      <c r="C2262" t="s">
        <v>2236</v>
      </c>
      <c r="D2262" s="14">
        <v>0.16</v>
      </c>
      <c r="E2262" s="15">
        <v>16</v>
      </c>
    </row>
    <row r="2263" spans="1:5">
      <c r="A2263">
        <v>2024</v>
      </c>
      <c r="B2263" t="s">
        <v>2215</v>
      </c>
      <c r="C2263" t="s">
        <v>2236</v>
      </c>
      <c r="D2263" s="14">
        <v>0.98</v>
      </c>
      <c r="E2263" s="15">
        <v>16</v>
      </c>
    </row>
    <row r="2264" spans="1:5">
      <c r="A2264">
        <v>2024</v>
      </c>
      <c r="B2264" t="s">
        <v>2216</v>
      </c>
      <c r="C2264" t="s">
        <v>2236</v>
      </c>
      <c r="D2264" s="14">
        <v>0.63</v>
      </c>
      <c r="E2264" s="15">
        <v>16</v>
      </c>
    </row>
    <row r="2265" spans="1:5">
      <c r="A2265">
        <v>2024</v>
      </c>
      <c r="B2265" t="s">
        <v>2217</v>
      </c>
      <c r="C2265" t="s">
        <v>2236</v>
      </c>
      <c r="D2265" s="14">
        <v>2.72</v>
      </c>
      <c r="E2265" s="15">
        <v>16</v>
      </c>
    </row>
    <row r="2266" spans="1:5">
      <c r="A2266">
        <v>2024</v>
      </c>
      <c r="B2266" t="s">
        <v>2218</v>
      </c>
      <c r="C2266" t="s">
        <v>2236</v>
      </c>
      <c r="D2266" s="14">
        <v>3.05</v>
      </c>
      <c r="E2266" s="15">
        <v>16</v>
      </c>
    </row>
    <row r="2267" spans="1:5">
      <c r="A2267">
        <v>2024</v>
      </c>
      <c r="B2267" t="s">
        <v>2219</v>
      </c>
      <c r="C2267" t="s">
        <v>2236</v>
      </c>
      <c r="D2267" s="14">
        <v>1.58</v>
      </c>
      <c r="E2267" s="15">
        <v>16</v>
      </c>
    </row>
    <row r="2268" spans="1:5">
      <c r="A2268">
        <v>2024</v>
      </c>
      <c r="B2268" t="s">
        <v>2220</v>
      </c>
      <c r="C2268" t="s">
        <v>2236</v>
      </c>
      <c r="D2268" s="14">
        <v>1.06</v>
      </c>
      <c r="E2268" s="15">
        <v>16</v>
      </c>
    </row>
    <row r="2269" spans="1:5">
      <c r="A2269">
        <v>2024</v>
      </c>
      <c r="B2269" t="s">
        <v>2221</v>
      </c>
      <c r="C2269" t="s">
        <v>2236</v>
      </c>
      <c r="D2269" s="14">
        <v>8.91</v>
      </c>
      <c r="E2269" s="15">
        <v>16</v>
      </c>
    </row>
    <row r="2270" spans="1:5">
      <c r="A2270">
        <v>2024</v>
      </c>
      <c r="B2270" t="s">
        <v>2222</v>
      </c>
      <c r="C2270" t="s">
        <v>2236</v>
      </c>
      <c r="D2270" s="14">
        <v>1.1000000000000001</v>
      </c>
      <c r="E2270" s="15">
        <v>16</v>
      </c>
    </row>
    <row r="2271" spans="1:5">
      <c r="A2271">
        <v>2024</v>
      </c>
      <c r="B2271" t="s">
        <v>2223</v>
      </c>
      <c r="C2271" t="s">
        <v>2236</v>
      </c>
      <c r="D2271" s="14">
        <v>0.16</v>
      </c>
      <c r="E2271" s="15">
        <v>16</v>
      </c>
    </row>
    <row r="2272" spans="1:5">
      <c r="A2272">
        <v>2025</v>
      </c>
      <c r="B2272" t="s">
        <v>2213</v>
      </c>
      <c r="C2272" t="s">
        <v>2236</v>
      </c>
      <c r="D2272" s="14">
        <v>0.16</v>
      </c>
      <c r="E2272" s="15">
        <v>15.5</v>
      </c>
    </row>
    <row r="2273" spans="1:5">
      <c r="A2273">
        <v>2025</v>
      </c>
      <c r="B2273" t="s">
        <v>2215</v>
      </c>
      <c r="C2273" t="s">
        <v>2236</v>
      </c>
      <c r="D2273" s="14">
        <v>0.94</v>
      </c>
      <c r="E2273" s="15">
        <v>15.5</v>
      </c>
    </row>
    <row r="2274" spans="1:5">
      <c r="A2274">
        <v>2025</v>
      </c>
      <c r="B2274" t="s">
        <v>2216</v>
      </c>
      <c r="C2274" t="s">
        <v>2236</v>
      </c>
      <c r="D2274" s="14">
        <v>0.63</v>
      </c>
      <c r="E2274" s="15">
        <v>15.5</v>
      </c>
    </row>
    <row r="2275" spans="1:5">
      <c r="A2275">
        <v>2025</v>
      </c>
      <c r="B2275" t="s">
        <v>2217</v>
      </c>
      <c r="C2275" t="s">
        <v>2236</v>
      </c>
      <c r="D2275" s="14">
        <v>2.75</v>
      </c>
      <c r="E2275" s="15">
        <v>15.5</v>
      </c>
    </row>
    <row r="2276" spans="1:5">
      <c r="A2276">
        <v>2025</v>
      </c>
      <c r="B2276" t="s">
        <v>2218</v>
      </c>
      <c r="C2276" t="s">
        <v>2236</v>
      </c>
      <c r="D2276" s="14">
        <v>3.12</v>
      </c>
      <c r="E2276" s="15">
        <v>15.5</v>
      </c>
    </row>
    <row r="2277" spans="1:5">
      <c r="A2277">
        <v>2025</v>
      </c>
      <c r="B2277" t="s">
        <v>2219</v>
      </c>
      <c r="C2277" t="s">
        <v>2236</v>
      </c>
      <c r="D2277" s="14">
        <v>1.56</v>
      </c>
      <c r="E2277" s="15">
        <v>15.5</v>
      </c>
    </row>
    <row r="2278" spans="1:5">
      <c r="A2278">
        <v>2025</v>
      </c>
      <c r="B2278" t="s">
        <v>2220</v>
      </c>
      <c r="C2278" t="s">
        <v>2236</v>
      </c>
      <c r="D2278" s="14">
        <v>0.98</v>
      </c>
      <c r="E2278" s="15">
        <v>15.5</v>
      </c>
    </row>
    <row r="2279" spans="1:5">
      <c r="A2279">
        <v>2025</v>
      </c>
      <c r="B2279" t="s">
        <v>2221</v>
      </c>
      <c r="C2279" t="s">
        <v>2236</v>
      </c>
      <c r="D2279" s="14">
        <v>8.75</v>
      </c>
      <c r="E2279" s="15">
        <v>15.5</v>
      </c>
    </row>
    <row r="2280" spans="1:5">
      <c r="A2280">
        <v>2025</v>
      </c>
      <c r="B2280" t="s">
        <v>2222</v>
      </c>
      <c r="C2280" t="s">
        <v>2236</v>
      </c>
      <c r="D2280" s="14">
        <v>1.0900000000000001</v>
      </c>
      <c r="E2280" s="15">
        <v>15.5</v>
      </c>
    </row>
    <row r="2281" spans="1:5">
      <c r="A2281">
        <v>2025</v>
      </c>
      <c r="B2281" t="s">
        <v>2223</v>
      </c>
      <c r="C2281" t="s">
        <v>2236</v>
      </c>
      <c r="D2281" s="14">
        <v>0.16</v>
      </c>
      <c r="E2281" s="15">
        <v>15.5</v>
      </c>
    </row>
    <row r="2282" spans="1:5">
      <c r="A2282">
        <v>2026</v>
      </c>
      <c r="B2282" t="s">
        <v>2213</v>
      </c>
      <c r="C2282" t="s">
        <v>2236</v>
      </c>
      <c r="D2282" s="14">
        <v>0.14000000000000001</v>
      </c>
      <c r="E2282" s="15">
        <v>15</v>
      </c>
    </row>
    <row r="2283" spans="1:5">
      <c r="A2283">
        <v>2026</v>
      </c>
      <c r="B2283" t="s">
        <v>2215</v>
      </c>
      <c r="C2283" t="s">
        <v>2236</v>
      </c>
      <c r="D2283" s="14">
        <v>0.89</v>
      </c>
      <c r="E2283" s="15">
        <v>15</v>
      </c>
    </row>
    <row r="2284" spans="1:5">
      <c r="A2284">
        <v>2026</v>
      </c>
      <c r="B2284" t="s">
        <v>2216</v>
      </c>
      <c r="C2284" t="s">
        <v>2236</v>
      </c>
      <c r="D2284" s="14">
        <v>0.56999999999999995</v>
      </c>
      <c r="E2284" s="15">
        <v>15</v>
      </c>
    </row>
    <row r="2285" spans="1:5">
      <c r="A2285">
        <v>2026</v>
      </c>
      <c r="B2285" t="s">
        <v>2217</v>
      </c>
      <c r="C2285" t="s">
        <v>2236</v>
      </c>
      <c r="D2285" s="14">
        <v>2.78</v>
      </c>
      <c r="E2285" s="15">
        <v>15</v>
      </c>
    </row>
    <row r="2286" spans="1:5">
      <c r="A2286">
        <v>2026</v>
      </c>
      <c r="B2286" t="s">
        <v>2218</v>
      </c>
      <c r="C2286" t="s">
        <v>2236</v>
      </c>
      <c r="D2286" s="14">
        <v>2.84</v>
      </c>
      <c r="E2286" s="15">
        <v>15</v>
      </c>
    </row>
    <row r="2287" spans="1:5">
      <c r="A2287">
        <v>2026</v>
      </c>
      <c r="B2287" t="s">
        <v>2219</v>
      </c>
      <c r="C2287" t="s">
        <v>2236</v>
      </c>
      <c r="D2287" s="14">
        <v>1.45</v>
      </c>
      <c r="E2287" s="15">
        <v>15</v>
      </c>
    </row>
    <row r="2288" spans="1:5">
      <c r="A2288">
        <v>2026</v>
      </c>
      <c r="B2288" t="s">
        <v>2220</v>
      </c>
      <c r="C2288" t="s">
        <v>2236</v>
      </c>
      <c r="D2288" s="14">
        <v>1.07</v>
      </c>
      <c r="E2288" s="15">
        <v>15</v>
      </c>
    </row>
    <row r="2289" spans="1:5">
      <c r="A2289">
        <v>2026</v>
      </c>
      <c r="B2289" t="s">
        <v>2221</v>
      </c>
      <c r="C2289" t="s">
        <v>2236</v>
      </c>
      <c r="D2289" s="14">
        <v>8.0399999999999991</v>
      </c>
      <c r="E2289" s="15">
        <v>15</v>
      </c>
    </row>
    <row r="2290" spans="1:5">
      <c r="A2290">
        <v>2026</v>
      </c>
      <c r="B2290" t="s">
        <v>2222</v>
      </c>
      <c r="C2290" t="s">
        <v>2236</v>
      </c>
      <c r="D2290" s="14">
        <v>1.01</v>
      </c>
      <c r="E2290" s="15">
        <v>15</v>
      </c>
    </row>
    <row r="2291" spans="1:5">
      <c r="A2291">
        <v>2026</v>
      </c>
      <c r="B2291" t="s">
        <v>2223</v>
      </c>
      <c r="C2291" t="s">
        <v>2236</v>
      </c>
      <c r="D2291" s="14">
        <v>0.16</v>
      </c>
      <c r="E2291" s="15">
        <v>15</v>
      </c>
    </row>
    <row r="2292" spans="1:5">
      <c r="A2292">
        <v>2010</v>
      </c>
      <c r="B2292" t="s">
        <v>2213</v>
      </c>
      <c r="C2292" t="s">
        <v>2237</v>
      </c>
      <c r="D2292" s="14">
        <v>4.1500000000000004</v>
      </c>
      <c r="E2292" s="15">
        <v>80</v>
      </c>
    </row>
    <row r="2293" spans="1:5">
      <c r="A2293">
        <v>2010</v>
      </c>
      <c r="B2293" t="s">
        <v>2215</v>
      </c>
      <c r="C2293" t="s">
        <v>2237</v>
      </c>
      <c r="D2293" s="14">
        <v>4.9400000000000004</v>
      </c>
      <c r="E2293" s="15">
        <v>80</v>
      </c>
    </row>
    <row r="2294" spans="1:5">
      <c r="A2294">
        <v>2010</v>
      </c>
      <c r="B2294" t="s">
        <v>2216</v>
      </c>
      <c r="C2294" t="s">
        <v>2237</v>
      </c>
      <c r="D2294" s="14">
        <v>3.31</v>
      </c>
      <c r="E2294" s="15">
        <v>80</v>
      </c>
    </row>
    <row r="2295" spans="1:5">
      <c r="A2295">
        <v>2010</v>
      </c>
      <c r="B2295" t="s">
        <v>2217</v>
      </c>
      <c r="C2295" t="s">
        <v>2237</v>
      </c>
      <c r="D2295" s="14">
        <v>14.27</v>
      </c>
      <c r="E2295" s="15">
        <v>80</v>
      </c>
    </row>
    <row r="2296" spans="1:5">
      <c r="A2296">
        <v>2010</v>
      </c>
      <c r="B2296" t="s">
        <v>2218</v>
      </c>
      <c r="C2296" t="s">
        <v>2237</v>
      </c>
      <c r="D2296" s="14">
        <v>15.87</v>
      </c>
      <c r="E2296" s="15">
        <v>80</v>
      </c>
    </row>
    <row r="2297" spans="1:5">
      <c r="A2297">
        <v>2010</v>
      </c>
      <c r="B2297" t="s">
        <v>2219</v>
      </c>
      <c r="C2297" t="s">
        <v>2237</v>
      </c>
      <c r="D2297" s="14">
        <v>7.8</v>
      </c>
      <c r="E2297" s="15">
        <v>80</v>
      </c>
    </row>
    <row r="2298" spans="1:5">
      <c r="A2298">
        <v>2010</v>
      </c>
      <c r="B2298" t="s">
        <v>2220</v>
      </c>
      <c r="C2298" t="s">
        <v>2237</v>
      </c>
      <c r="D2298" s="14">
        <v>5.64</v>
      </c>
      <c r="E2298" s="15">
        <v>80</v>
      </c>
    </row>
    <row r="2299" spans="1:5">
      <c r="A2299">
        <v>2010</v>
      </c>
      <c r="B2299" t="s">
        <v>2221</v>
      </c>
      <c r="C2299" t="s">
        <v>2237</v>
      </c>
      <c r="D2299" s="14">
        <v>17.23</v>
      </c>
      <c r="E2299" s="15">
        <v>80</v>
      </c>
    </row>
    <row r="2300" spans="1:5">
      <c r="A2300">
        <v>2010</v>
      </c>
      <c r="B2300" t="s">
        <v>2222</v>
      </c>
      <c r="C2300" t="s">
        <v>2237</v>
      </c>
      <c r="D2300" s="14">
        <v>5.5</v>
      </c>
      <c r="E2300" s="15">
        <v>80</v>
      </c>
    </row>
    <row r="2301" spans="1:5">
      <c r="A2301">
        <v>2010</v>
      </c>
      <c r="B2301" t="s">
        <v>2223</v>
      </c>
      <c r="C2301" t="s">
        <v>2237</v>
      </c>
      <c r="D2301" s="14">
        <v>0.82</v>
      </c>
      <c r="E2301" s="15">
        <v>80</v>
      </c>
    </row>
    <row r="2302" spans="1:5">
      <c r="A2302">
        <v>2011</v>
      </c>
      <c r="B2302" t="s">
        <v>2213</v>
      </c>
      <c r="C2302" t="s">
        <v>2237</v>
      </c>
      <c r="D2302" s="14">
        <v>4.1399999999999997</v>
      </c>
      <c r="E2302" s="15">
        <v>79</v>
      </c>
    </row>
    <row r="2303" spans="1:5">
      <c r="A2303">
        <v>2011</v>
      </c>
      <c r="B2303" t="s">
        <v>2215</v>
      </c>
      <c r="C2303" t="s">
        <v>2237</v>
      </c>
      <c r="D2303" s="14">
        <v>4.82</v>
      </c>
      <c r="E2303" s="15">
        <v>79</v>
      </c>
    </row>
    <row r="2304" spans="1:5">
      <c r="A2304">
        <v>2011</v>
      </c>
      <c r="B2304" t="s">
        <v>2216</v>
      </c>
      <c r="C2304" t="s">
        <v>2237</v>
      </c>
      <c r="D2304" s="14">
        <v>3.4</v>
      </c>
      <c r="E2304" s="15">
        <v>79</v>
      </c>
    </row>
    <row r="2305" spans="1:5">
      <c r="A2305">
        <v>2011</v>
      </c>
      <c r="B2305" t="s">
        <v>2217</v>
      </c>
      <c r="C2305" t="s">
        <v>2237</v>
      </c>
      <c r="D2305" s="14">
        <v>13.82</v>
      </c>
      <c r="E2305" s="15">
        <v>79</v>
      </c>
    </row>
    <row r="2306" spans="1:5">
      <c r="A2306">
        <v>2011</v>
      </c>
      <c r="B2306" t="s">
        <v>2218</v>
      </c>
      <c r="C2306" t="s">
        <v>2237</v>
      </c>
      <c r="D2306" s="14">
        <v>14.68</v>
      </c>
      <c r="E2306" s="15">
        <v>79</v>
      </c>
    </row>
    <row r="2307" spans="1:5">
      <c r="A2307">
        <v>2011</v>
      </c>
      <c r="B2307" t="s">
        <v>2219</v>
      </c>
      <c r="C2307" t="s">
        <v>2237</v>
      </c>
      <c r="D2307" s="14">
        <v>8.1300000000000008</v>
      </c>
      <c r="E2307" s="15">
        <v>79</v>
      </c>
    </row>
    <row r="2308" spans="1:5">
      <c r="A2308">
        <v>2011</v>
      </c>
      <c r="B2308" t="s">
        <v>2220</v>
      </c>
      <c r="C2308" t="s">
        <v>2237</v>
      </c>
      <c r="D2308" s="14">
        <v>5.36</v>
      </c>
      <c r="E2308" s="15">
        <v>79</v>
      </c>
    </row>
    <row r="2309" spans="1:5">
      <c r="A2309">
        <v>2011</v>
      </c>
      <c r="B2309" t="s">
        <v>2221</v>
      </c>
      <c r="C2309" t="s">
        <v>2237</v>
      </c>
      <c r="D2309" s="14">
        <v>17.190000000000001</v>
      </c>
      <c r="E2309" s="15">
        <v>79</v>
      </c>
    </row>
    <row r="2310" spans="1:5">
      <c r="A2310">
        <v>2011</v>
      </c>
      <c r="B2310" t="s">
        <v>2222</v>
      </c>
      <c r="C2310" t="s">
        <v>2237</v>
      </c>
      <c r="D2310" s="14">
        <v>5.15</v>
      </c>
      <c r="E2310" s="15">
        <v>79</v>
      </c>
    </row>
    <row r="2311" spans="1:5">
      <c r="A2311">
        <v>2011</v>
      </c>
      <c r="B2311" t="s">
        <v>2223</v>
      </c>
      <c r="C2311" t="s">
        <v>2237</v>
      </c>
      <c r="D2311" s="14">
        <v>0.76</v>
      </c>
      <c r="E2311" s="15">
        <v>79</v>
      </c>
    </row>
    <row r="2312" spans="1:5">
      <c r="A2312">
        <v>2012</v>
      </c>
      <c r="B2312" t="s">
        <v>2213</v>
      </c>
      <c r="C2312" t="s">
        <v>2237</v>
      </c>
      <c r="D2312" s="14">
        <v>3.67</v>
      </c>
      <c r="E2312" s="15">
        <v>78</v>
      </c>
    </row>
    <row r="2313" spans="1:5">
      <c r="A2313">
        <v>2012</v>
      </c>
      <c r="B2313" t="s">
        <v>2215</v>
      </c>
      <c r="C2313" t="s">
        <v>2237</v>
      </c>
      <c r="D2313" s="14">
        <v>4.5999999999999996</v>
      </c>
      <c r="E2313" s="15">
        <v>78</v>
      </c>
    </row>
    <row r="2314" spans="1:5">
      <c r="A2314">
        <v>2012</v>
      </c>
      <c r="B2314" t="s">
        <v>2216</v>
      </c>
      <c r="C2314" t="s">
        <v>2237</v>
      </c>
      <c r="D2314" s="14">
        <v>3.07</v>
      </c>
      <c r="E2314" s="15">
        <v>78</v>
      </c>
    </row>
    <row r="2315" spans="1:5">
      <c r="A2315">
        <v>2012</v>
      </c>
      <c r="B2315" t="s">
        <v>2217</v>
      </c>
      <c r="C2315" t="s">
        <v>2237</v>
      </c>
      <c r="D2315" s="14">
        <v>14.09</v>
      </c>
      <c r="E2315" s="15">
        <v>78</v>
      </c>
    </row>
    <row r="2316" spans="1:5">
      <c r="A2316">
        <v>2012</v>
      </c>
      <c r="B2316" t="s">
        <v>2218</v>
      </c>
      <c r="C2316" t="s">
        <v>2237</v>
      </c>
      <c r="D2316" s="14">
        <v>16.39</v>
      </c>
      <c r="E2316" s="15">
        <v>78</v>
      </c>
    </row>
    <row r="2317" spans="1:5">
      <c r="A2317">
        <v>2012</v>
      </c>
      <c r="B2317" t="s">
        <v>2219</v>
      </c>
      <c r="C2317" t="s">
        <v>2237</v>
      </c>
      <c r="D2317" s="14">
        <v>8.01</v>
      </c>
      <c r="E2317" s="15">
        <v>78</v>
      </c>
    </row>
    <row r="2318" spans="1:5">
      <c r="A2318">
        <v>2012</v>
      </c>
      <c r="B2318" t="s">
        <v>2220</v>
      </c>
      <c r="C2318" t="s">
        <v>2237</v>
      </c>
      <c r="D2318" s="14">
        <v>5.12</v>
      </c>
      <c r="E2318" s="15">
        <v>78</v>
      </c>
    </row>
    <row r="2319" spans="1:5">
      <c r="A2319">
        <v>2012</v>
      </c>
      <c r="B2319" t="s">
        <v>2221</v>
      </c>
      <c r="C2319" t="s">
        <v>2237</v>
      </c>
      <c r="D2319" s="14">
        <v>17.579999999999998</v>
      </c>
      <c r="E2319" s="15">
        <v>78</v>
      </c>
    </row>
    <row r="2320" spans="1:5">
      <c r="A2320">
        <v>2012</v>
      </c>
      <c r="B2320" t="s">
        <v>2222</v>
      </c>
      <c r="C2320" t="s">
        <v>2237</v>
      </c>
      <c r="D2320" s="14">
        <v>5.48</v>
      </c>
      <c r="E2320" s="15">
        <v>78</v>
      </c>
    </row>
    <row r="2321" spans="1:5">
      <c r="A2321">
        <v>2012</v>
      </c>
      <c r="B2321" t="s">
        <v>2223</v>
      </c>
      <c r="C2321" t="s">
        <v>2237</v>
      </c>
      <c r="D2321" s="14">
        <v>0.78</v>
      </c>
      <c r="E2321" s="15">
        <v>78</v>
      </c>
    </row>
    <row r="2322" spans="1:5">
      <c r="A2322">
        <v>2013</v>
      </c>
      <c r="B2322" t="s">
        <v>2213</v>
      </c>
      <c r="C2322" t="s">
        <v>2237</v>
      </c>
      <c r="D2322" s="14">
        <v>3.85</v>
      </c>
      <c r="E2322" s="15">
        <v>77</v>
      </c>
    </row>
    <row r="2323" spans="1:5">
      <c r="A2323">
        <v>2013</v>
      </c>
      <c r="B2323" t="s">
        <v>2215</v>
      </c>
      <c r="C2323" t="s">
        <v>2237</v>
      </c>
      <c r="D2323" s="14">
        <v>4.66</v>
      </c>
      <c r="E2323" s="15">
        <v>77</v>
      </c>
    </row>
    <row r="2324" spans="1:5">
      <c r="A2324">
        <v>2013</v>
      </c>
      <c r="B2324" t="s">
        <v>2216</v>
      </c>
      <c r="C2324" t="s">
        <v>2237</v>
      </c>
      <c r="D2324" s="14">
        <v>3</v>
      </c>
      <c r="E2324" s="15">
        <v>77</v>
      </c>
    </row>
    <row r="2325" spans="1:5">
      <c r="A2325">
        <v>2013</v>
      </c>
      <c r="B2325" t="s">
        <v>2217</v>
      </c>
      <c r="C2325" t="s">
        <v>2237</v>
      </c>
      <c r="D2325" s="14">
        <v>13.76</v>
      </c>
      <c r="E2325" s="15">
        <v>77</v>
      </c>
    </row>
    <row r="2326" spans="1:5">
      <c r="A2326">
        <v>2013</v>
      </c>
      <c r="B2326" t="s">
        <v>2218</v>
      </c>
      <c r="C2326" t="s">
        <v>2237</v>
      </c>
      <c r="D2326" s="14">
        <v>16.149999999999999</v>
      </c>
      <c r="E2326" s="15">
        <v>77</v>
      </c>
    </row>
    <row r="2327" spans="1:5">
      <c r="A2327">
        <v>2013</v>
      </c>
      <c r="B2327" t="s">
        <v>2219</v>
      </c>
      <c r="C2327" t="s">
        <v>2237</v>
      </c>
      <c r="D2327" s="14">
        <v>7.49</v>
      </c>
      <c r="E2327" s="15">
        <v>77</v>
      </c>
    </row>
    <row r="2328" spans="1:5">
      <c r="A2328">
        <v>2013</v>
      </c>
      <c r="B2328" t="s">
        <v>2220</v>
      </c>
      <c r="C2328" t="s">
        <v>2237</v>
      </c>
      <c r="D2328" s="14">
        <v>5.17</v>
      </c>
      <c r="E2328" s="15">
        <v>77</v>
      </c>
    </row>
    <row r="2329" spans="1:5">
      <c r="A2329">
        <v>2013</v>
      </c>
      <c r="B2329" t="s">
        <v>2221</v>
      </c>
      <c r="C2329" t="s">
        <v>2237</v>
      </c>
      <c r="D2329" s="14">
        <v>16.899999999999999</v>
      </c>
      <c r="E2329" s="15">
        <v>77</v>
      </c>
    </row>
    <row r="2330" spans="1:5">
      <c r="A2330">
        <v>2013</v>
      </c>
      <c r="B2330" t="s">
        <v>2222</v>
      </c>
      <c r="C2330" t="s">
        <v>2237</v>
      </c>
      <c r="D2330" s="14">
        <v>5.15</v>
      </c>
      <c r="E2330" s="15">
        <v>77</v>
      </c>
    </row>
    <row r="2331" spans="1:5">
      <c r="A2331">
        <v>2013</v>
      </c>
      <c r="B2331" t="s">
        <v>2223</v>
      </c>
      <c r="C2331" t="s">
        <v>2237</v>
      </c>
      <c r="D2331" s="14">
        <v>0.72</v>
      </c>
      <c r="E2331" s="15">
        <v>77</v>
      </c>
    </row>
    <row r="2332" spans="1:5">
      <c r="A2332">
        <v>2014</v>
      </c>
      <c r="B2332" t="s">
        <v>2213</v>
      </c>
      <c r="C2332" t="s">
        <v>2237</v>
      </c>
      <c r="D2332" s="14">
        <v>3.75</v>
      </c>
      <c r="E2332" s="15">
        <v>76</v>
      </c>
    </row>
    <row r="2333" spans="1:5">
      <c r="A2333">
        <v>2014</v>
      </c>
      <c r="B2333" t="s">
        <v>2215</v>
      </c>
      <c r="C2333" t="s">
        <v>2237</v>
      </c>
      <c r="D2333" s="14">
        <v>4.83</v>
      </c>
      <c r="E2333" s="15">
        <v>76</v>
      </c>
    </row>
    <row r="2334" spans="1:5">
      <c r="A2334">
        <v>2014</v>
      </c>
      <c r="B2334" t="s">
        <v>2216</v>
      </c>
      <c r="C2334" t="s">
        <v>2237</v>
      </c>
      <c r="D2334" s="14">
        <v>3.04</v>
      </c>
      <c r="E2334" s="15">
        <v>76</v>
      </c>
    </row>
    <row r="2335" spans="1:5">
      <c r="A2335">
        <v>2014</v>
      </c>
      <c r="B2335" t="s">
        <v>2217</v>
      </c>
      <c r="C2335" t="s">
        <v>2237</v>
      </c>
      <c r="D2335" s="14">
        <v>13.78</v>
      </c>
      <c r="E2335" s="15">
        <v>76</v>
      </c>
    </row>
    <row r="2336" spans="1:5">
      <c r="A2336">
        <v>2014</v>
      </c>
      <c r="B2336" t="s">
        <v>2218</v>
      </c>
      <c r="C2336" t="s">
        <v>2237</v>
      </c>
      <c r="D2336" s="14">
        <v>13.96</v>
      </c>
      <c r="E2336" s="15">
        <v>76</v>
      </c>
    </row>
    <row r="2337" spans="1:5">
      <c r="A2337">
        <v>2014</v>
      </c>
      <c r="B2337" t="s">
        <v>2219</v>
      </c>
      <c r="C2337" t="s">
        <v>2237</v>
      </c>
      <c r="D2337" s="14">
        <v>7.73</v>
      </c>
      <c r="E2337" s="15">
        <v>76</v>
      </c>
    </row>
    <row r="2338" spans="1:5">
      <c r="A2338">
        <v>2014</v>
      </c>
      <c r="B2338" t="s">
        <v>2220</v>
      </c>
      <c r="C2338" t="s">
        <v>2237</v>
      </c>
      <c r="D2338" s="14">
        <v>5.34</v>
      </c>
      <c r="E2338" s="15">
        <v>76</v>
      </c>
    </row>
    <row r="2339" spans="1:5">
      <c r="A2339">
        <v>2014</v>
      </c>
      <c r="B2339" t="s">
        <v>2221</v>
      </c>
      <c r="C2339" t="s">
        <v>2237</v>
      </c>
      <c r="D2339" s="14">
        <v>16.28</v>
      </c>
      <c r="E2339" s="15">
        <v>76</v>
      </c>
    </row>
    <row r="2340" spans="1:5">
      <c r="A2340">
        <v>2014</v>
      </c>
      <c r="B2340" t="s">
        <v>2222</v>
      </c>
      <c r="C2340" t="s">
        <v>2237</v>
      </c>
      <c r="D2340" s="14">
        <v>5.36</v>
      </c>
      <c r="E2340" s="15">
        <v>76</v>
      </c>
    </row>
    <row r="2341" spans="1:5">
      <c r="A2341">
        <v>2014</v>
      </c>
      <c r="B2341" t="s">
        <v>2223</v>
      </c>
      <c r="C2341" t="s">
        <v>2237</v>
      </c>
      <c r="D2341" s="14">
        <v>0.77</v>
      </c>
      <c r="E2341" s="15">
        <v>76</v>
      </c>
    </row>
    <row r="2342" spans="1:5">
      <c r="A2342">
        <v>2015</v>
      </c>
      <c r="B2342" t="s">
        <v>2213</v>
      </c>
      <c r="C2342" t="s">
        <v>2237</v>
      </c>
      <c r="D2342" s="14">
        <v>3.59</v>
      </c>
      <c r="E2342" s="15">
        <v>75</v>
      </c>
    </row>
    <row r="2343" spans="1:5">
      <c r="A2343">
        <v>2015</v>
      </c>
      <c r="B2343" t="s">
        <v>2215</v>
      </c>
      <c r="C2343" t="s">
        <v>2237</v>
      </c>
      <c r="D2343" s="14">
        <v>4.5599999999999996</v>
      </c>
      <c r="E2343" s="15">
        <v>75</v>
      </c>
    </row>
    <row r="2344" spans="1:5">
      <c r="A2344">
        <v>2015</v>
      </c>
      <c r="B2344" t="s">
        <v>2216</v>
      </c>
      <c r="C2344" t="s">
        <v>2237</v>
      </c>
      <c r="D2344" s="14">
        <v>3.15</v>
      </c>
      <c r="E2344" s="15">
        <v>75</v>
      </c>
    </row>
    <row r="2345" spans="1:5">
      <c r="A2345">
        <v>2015</v>
      </c>
      <c r="B2345" t="s">
        <v>2217</v>
      </c>
      <c r="C2345" t="s">
        <v>2237</v>
      </c>
      <c r="D2345" s="14">
        <v>13.38</v>
      </c>
      <c r="E2345" s="15">
        <v>75</v>
      </c>
    </row>
    <row r="2346" spans="1:5">
      <c r="A2346">
        <v>2015</v>
      </c>
      <c r="B2346" t="s">
        <v>2218</v>
      </c>
      <c r="C2346" t="s">
        <v>2237</v>
      </c>
      <c r="D2346" s="14">
        <v>14.49</v>
      </c>
      <c r="E2346" s="15">
        <v>75</v>
      </c>
    </row>
    <row r="2347" spans="1:5">
      <c r="A2347">
        <v>2015</v>
      </c>
      <c r="B2347" t="s">
        <v>2219</v>
      </c>
      <c r="C2347" t="s">
        <v>2237</v>
      </c>
      <c r="D2347" s="14">
        <v>7.45</v>
      </c>
      <c r="E2347" s="15">
        <v>75</v>
      </c>
    </row>
    <row r="2348" spans="1:5">
      <c r="A2348">
        <v>2015</v>
      </c>
      <c r="B2348" t="s">
        <v>2220</v>
      </c>
      <c r="C2348" t="s">
        <v>2237</v>
      </c>
      <c r="D2348" s="14">
        <v>5.43</v>
      </c>
      <c r="E2348" s="15">
        <v>75</v>
      </c>
    </row>
    <row r="2349" spans="1:5">
      <c r="A2349">
        <v>2015</v>
      </c>
      <c r="B2349" t="s">
        <v>2221</v>
      </c>
      <c r="C2349" t="s">
        <v>2237</v>
      </c>
      <c r="D2349" s="14">
        <v>15.71</v>
      </c>
      <c r="E2349" s="15">
        <v>75</v>
      </c>
    </row>
    <row r="2350" spans="1:5">
      <c r="A2350">
        <v>2015</v>
      </c>
      <c r="B2350" t="s">
        <v>2222</v>
      </c>
      <c r="C2350" t="s">
        <v>2237</v>
      </c>
      <c r="D2350" s="14">
        <v>5.37</v>
      </c>
      <c r="E2350" s="15">
        <v>75</v>
      </c>
    </row>
    <row r="2351" spans="1:5">
      <c r="A2351">
        <v>2015</v>
      </c>
      <c r="B2351" t="s">
        <v>2223</v>
      </c>
      <c r="C2351" t="s">
        <v>2237</v>
      </c>
      <c r="D2351" s="14">
        <v>0.73</v>
      </c>
      <c r="E2351" s="15">
        <v>75</v>
      </c>
    </row>
    <row r="2352" spans="1:5">
      <c r="A2352">
        <v>2016</v>
      </c>
      <c r="B2352" t="s">
        <v>2213</v>
      </c>
      <c r="C2352" t="s">
        <v>2237</v>
      </c>
      <c r="D2352" s="14">
        <v>3.76</v>
      </c>
      <c r="E2352" s="15">
        <v>74.5</v>
      </c>
    </row>
    <row r="2353" spans="1:5">
      <c r="A2353">
        <v>2016</v>
      </c>
      <c r="B2353" t="s">
        <v>2215</v>
      </c>
      <c r="C2353" t="s">
        <v>2237</v>
      </c>
      <c r="D2353" s="14">
        <v>4.37</v>
      </c>
      <c r="E2353" s="15">
        <v>74.5</v>
      </c>
    </row>
    <row r="2354" spans="1:5">
      <c r="A2354">
        <v>2016</v>
      </c>
      <c r="B2354" t="s">
        <v>2216</v>
      </c>
      <c r="C2354" t="s">
        <v>2237</v>
      </c>
      <c r="D2354" s="14">
        <v>2.91</v>
      </c>
      <c r="E2354" s="15">
        <v>74.5</v>
      </c>
    </row>
    <row r="2355" spans="1:5">
      <c r="A2355">
        <v>2016</v>
      </c>
      <c r="B2355" t="s">
        <v>2217</v>
      </c>
      <c r="C2355" t="s">
        <v>2237</v>
      </c>
      <c r="D2355" s="14">
        <v>14.25</v>
      </c>
      <c r="E2355" s="15">
        <v>74.5</v>
      </c>
    </row>
    <row r="2356" spans="1:5">
      <c r="A2356">
        <v>2016</v>
      </c>
      <c r="B2356" t="s">
        <v>2218</v>
      </c>
      <c r="C2356" t="s">
        <v>2237</v>
      </c>
      <c r="D2356" s="14">
        <v>14.08</v>
      </c>
      <c r="E2356" s="15">
        <v>74.5</v>
      </c>
    </row>
    <row r="2357" spans="1:5">
      <c r="A2357">
        <v>2016</v>
      </c>
      <c r="B2357" t="s">
        <v>2219</v>
      </c>
      <c r="C2357" t="s">
        <v>2237</v>
      </c>
      <c r="D2357" s="14">
        <v>7.6</v>
      </c>
      <c r="E2357" s="15">
        <v>74.5</v>
      </c>
    </row>
    <row r="2358" spans="1:5">
      <c r="A2358">
        <v>2016</v>
      </c>
      <c r="B2358" t="s">
        <v>2220</v>
      </c>
      <c r="C2358" t="s">
        <v>2237</v>
      </c>
      <c r="D2358" s="14">
        <v>5.59</v>
      </c>
      <c r="E2358" s="15">
        <v>74.5</v>
      </c>
    </row>
    <row r="2359" spans="1:5">
      <c r="A2359">
        <v>2016</v>
      </c>
      <c r="B2359" t="s">
        <v>2221</v>
      </c>
      <c r="C2359" t="s">
        <v>2237</v>
      </c>
      <c r="D2359" s="14">
        <v>16.850000000000001</v>
      </c>
      <c r="E2359" s="15">
        <v>74.5</v>
      </c>
    </row>
    <row r="2360" spans="1:5">
      <c r="A2360">
        <v>2016</v>
      </c>
      <c r="B2360" t="s">
        <v>2222</v>
      </c>
      <c r="C2360" t="s">
        <v>2237</v>
      </c>
      <c r="D2360" s="14">
        <v>4.9400000000000004</v>
      </c>
      <c r="E2360" s="15">
        <v>74.5</v>
      </c>
    </row>
    <row r="2361" spans="1:5">
      <c r="A2361">
        <v>2016</v>
      </c>
      <c r="B2361" t="s">
        <v>2223</v>
      </c>
      <c r="C2361" t="s">
        <v>2237</v>
      </c>
      <c r="D2361" s="14">
        <v>0.71</v>
      </c>
      <c r="E2361" s="15">
        <v>74.5</v>
      </c>
    </row>
    <row r="2362" spans="1:5">
      <c r="A2362">
        <v>2017</v>
      </c>
      <c r="B2362" t="s">
        <v>2213</v>
      </c>
      <c r="C2362" t="s">
        <v>2237</v>
      </c>
      <c r="D2362" s="14">
        <v>3.59</v>
      </c>
      <c r="E2362" s="15">
        <v>74</v>
      </c>
    </row>
    <row r="2363" spans="1:5">
      <c r="A2363">
        <v>2017</v>
      </c>
      <c r="B2363" t="s">
        <v>2215</v>
      </c>
      <c r="C2363" t="s">
        <v>2237</v>
      </c>
      <c r="D2363" s="14">
        <v>4.47</v>
      </c>
      <c r="E2363" s="15">
        <v>74</v>
      </c>
    </row>
    <row r="2364" spans="1:5">
      <c r="A2364">
        <v>2017</v>
      </c>
      <c r="B2364" t="s">
        <v>2216</v>
      </c>
      <c r="C2364" t="s">
        <v>2237</v>
      </c>
      <c r="D2364" s="14">
        <v>2.99</v>
      </c>
      <c r="E2364" s="15">
        <v>74</v>
      </c>
    </row>
    <row r="2365" spans="1:5">
      <c r="A2365">
        <v>2017</v>
      </c>
      <c r="B2365" t="s">
        <v>2217</v>
      </c>
      <c r="C2365" t="s">
        <v>2237</v>
      </c>
      <c r="D2365" s="14">
        <v>12.66</v>
      </c>
      <c r="E2365" s="15">
        <v>74</v>
      </c>
    </row>
    <row r="2366" spans="1:5">
      <c r="A2366">
        <v>2017</v>
      </c>
      <c r="B2366" t="s">
        <v>2218</v>
      </c>
      <c r="C2366" t="s">
        <v>2237</v>
      </c>
      <c r="D2366" s="14">
        <v>14.29</v>
      </c>
      <c r="E2366" s="15">
        <v>74</v>
      </c>
    </row>
    <row r="2367" spans="1:5">
      <c r="A2367">
        <v>2017</v>
      </c>
      <c r="B2367" t="s">
        <v>2219</v>
      </c>
      <c r="C2367" t="s">
        <v>2237</v>
      </c>
      <c r="D2367" s="14">
        <v>7.16</v>
      </c>
      <c r="E2367" s="15">
        <v>74</v>
      </c>
    </row>
    <row r="2368" spans="1:5">
      <c r="A2368">
        <v>2017</v>
      </c>
      <c r="B2368" t="s">
        <v>2220</v>
      </c>
      <c r="C2368" t="s">
        <v>2237</v>
      </c>
      <c r="D2368" s="14">
        <v>5.14</v>
      </c>
      <c r="E2368" s="15">
        <v>74</v>
      </c>
    </row>
    <row r="2369" spans="1:5">
      <c r="A2369">
        <v>2017</v>
      </c>
      <c r="B2369" t="s">
        <v>2221</v>
      </c>
      <c r="C2369" t="s">
        <v>2237</v>
      </c>
      <c r="D2369" s="14">
        <v>17.63</v>
      </c>
      <c r="E2369" s="15">
        <v>74</v>
      </c>
    </row>
    <row r="2370" spans="1:5">
      <c r="A2370">
        <v>2017</v>
      </c>
      <c r="B2370" t="s">
        <v>2222</v>
      </c>
      <c r="C2370" t="s">
        <v>2237</v>
      </c>
      <c r="D2370" s="14">
        <v>4.99</v>
      </c>
      <c r="E2370" s="15">
        <v>74</v>
      </c>
    </row>
    <row r="2371" spans="1:5">
      <c r="A2371">
        <v>2017</v>
      </c>
      <c r="B2371" t="s">
        <v>2223</v>
      </c>
      <c r="C2371" t="s">
        <v>2237</v>
      </c>
      <c r="D2371" s="14">
        <v>0.71</v>
      </c>
      <c r="E2371" s="15">
        <v>74</v>
      </c>
    </row>
    <row r="2372" spans="1:5">
      <c r="A2372">
        <v>2018</v>
      </c>
      <c r="B2372" t="s">
        <v>2213</v>
      </c>
      <c r="C2372" t="s">
        <v>2237</v>
      </c>
      <c r="D2372" s="14">
        <v>3.51</v>
      </c>
      <c r="E2372" s="15">
        <v>73.5</v>
      </c>
    </row>
    <row r="2373" spans="1:5">
      <c r="A2373">
        <v>2018</v>
      </c>
      <c r="B2373" t="s">
        <v>2215</v>
      </c>
      <c r="C2373" t="s">
        <v>2237</v>
      </c>
      <c r="D2373" s="14">
        <v>4.5199999999999996</v>
      </c>
      <c r="E2373" s="15">
        <v>73.5</v>
      </c>
    </row>
    <row r="2374" spans="1:5">
      <c r="A2374">
        <v>2018</v>
      </c>
      <c r="B2374" t="s">
        <v>2216</v>
      </c>
      <c r="C2374" t="s">
        <v>2237</v>
      </c>
      <c r="D2374" s="14">
        <v>2.94</v>
      </c>
      <c r="E2374" s="15">
        <v>73.5</v>
      </c>
    </row>
    <row r="2375" spans="1:5">
      <c r="A2375">
        <v>2018</v>
      </c>
      <c r="B2375" t="s">
        <v>2217</v>
      </c>
      <c r="C2375" t="s">
        <v>2237</v>
      </c>
      <c r="D2375" s="14">
        <v>12.76</v>
      </c>
      <c r="E2375" s="15">
        <v>73.5</v>
      </c>
    </row>
    <row r="2376" spans="1:5">
      <c r="A2376">
        <v>2018</v>
      </c>
      <c r="B2376" t="s">
        <v>2218</v>
      </c>
      <c r="C2376" t="s">
        <v>2237</v>
      </c>
      <c r="D2376" s="14">
        <v>14.49</v>
      </c>
      <c r="E2376" s="15">
        <v>73.5</v>
      </c>
    </row>
    <row r="2377" spans="1:5">
      <c r="A2377">
        <v>2018</v>
      </c>
      <c r="B2377" t="s">
        <v>2219</v>
      </c>
      <c r="C2377" t="s">
        <v>2237</v>
      </c>
      <c r="D2377" s="14">
        <v>7.12</v>
      </c>
      <c r="E2377" s="15">
        <v>73.5</v>
      </c>
    </row>
    <row r="2378" spans="1:5">
      <c r="A2378">
        <v>2018</v>
      </c>
      <c r="B2378" t="s">
        <v>2220</v>
      </c>
      <c r="C2378" t="s">
        <v>2237</v>
      </c>
      <c r="D2378" s="14">
        <v>5.21</v>
      </c>
      <c r="E2378" s="15">
        <v>73.5</v>
      </c>
    </row>
    <row r="2379" spans="1:5">
      <c r="A2379">
        <v>2018</v>
      </c>
      <c r="B2379" t="s">
        <v>2221</v>
      </c>
      <c r="C2379" t="s">
        <v>2237</v>
      </c>
      <c r="D2379" s="14">
        <v>18</v>
      </c>
      <c r="E2379" s="15">
        <v>73.5</v>
      </c>
    </row>
    <row r="2380" spans="1:5">
      <c r="A2380">
        <v>2018</v>
      </c>
      <c r="B2380" t="s">
        <v>2222</v>
      </c>
      <c r="C2380" t="s">
        <v>2237</v>
      </c>
      <c r="D2380" s="14">
        <v>5.26</v>
      </c>
      <c r="E2380" s="15">
        <v>73.5</v>
      </c>
    </row>
    <row r="2381" spans="1:5">
      <c r="A2381">
        <v>2018</v>
      </c>
      <c r="B2381" t="s">
        <v>2223</v>
      </c>
      <c r="C2381" t="s">
        <v>2237</v>
      </c>
      <c r="D2381" s="14">
        <v>0.73</v>
      </c>
      <c r="E2381" s="15">
        <v>73.5</v>
      </c>
    </row>
    <row r="2382" spans="1:5">
      <c r="A2382">
        <v>2019</v>
      </c>
      <c r="B2382" t="s">
        <v>2213</v>
      </c>
      <c r="C2382" t="s">
        <v>2237</v>
      </c>
      <c r="D2382" s="14">
        <v>3.55</v>
      </c>
      <c r="E2382" s="15">
        <v>73</v>
      </c>
    </row>
    <row r="2383" spans="1:5">
      <c r="A2383">
        <v>2019</v>
      </c>
      <c r="B2383" t="s">
        <v>2215</v>
      </c>
      <c r="C2383" t="s">
        <v>2237</v>
      </c>
      <c r="D2383" s="14">
        <v>4.1500000000000004</v>
      </c>
      <c r="E2383" s="15">
        <v>73</v>
      </c>
    </row>
    <row r="2384" spans="1:5">
      <c r="A2384">
        <v>2019</v>
      </c>
      <c r="B2384" t="s">
        <v>2216</v>
      </c>
      <c r="C2384" t="s">
        <v>2237</v>
      </c>
      <c r="D2384" s="14">
        <v>3.01</v>
      </c>
      <c r="E2384" s="15">
        <v>73</v>
      </c>
    </row>
    <row r="2385" spans="1:5">
      <c r="A2385">
        <v>2019</v>
      </c>
      <c r="B2385" t="s">
        <v>2217</v>
      </c>
      <c r="C2385" t="s">
        <v>2237</v>
      </c>
      <c r="D2385" s="14">
        <v>13.5</v>
      </c>
      <c r="E2385" s="15">
        <v>73</v>
      </c>
    </row>
    <row r="2386" spans="1:5">
      <c r="A2386">
        <v>2019</v>
      </c>
      <c r="B2386" t="s">
        <v>2218</v>
      </c>
      <c r="C2386" t="s">
        <v>2237</v>
      </c>
      <c r="D2386" s="14">
        <v>14.33</v>
      </c>
      <c r="E2386" s="15">
        <v>73</v>
      </c>
    </row>
    <row r="2387" spans="1:5">
      <c r="A2387">
        <v>2019</v>
      </c>
      <c r="B2387" t="s">
        <v>2219</v>
      </c>
      <c r="C2387" t="s">
        <v>2237</v>
      </c>
      <c r="D2387" s="14">
        <v>7.66</v>
      </c>
      <c r="E2387" s="15">
        <v>73</v>
      </c>
    </row>
    <row r="2388" spans="1:5">
      <c r="A2388">
        <v>2019</v>
      </c>
      <c r="B2388" t="s">
        <v>2220</v>
      </c>
      <c r="C2388" t="s">
        <v>2237</v>
      </c>
      <c r="D2388" s="14">
        <v>5.1100000000000003</v>
      </c>
      <c r="E2388" s="15">
        <v>73</v>
      </c>
    </row>
    <row r="2389" spans="1:5">
      <c r="A2389">
        <v>2019</v>
      </c>
      <c r="B2389" t="s">
        <v>2221</v>
      </c>
      <c r="C2389" t="s">
        <v>2237</v>
      </c>
      <c r="D2389" s="14">
        <v>16.57</v>
      </c>
      <c r="E2389" s="15">
        <v>73</v>
      </c>
    </row>
    <row r="2390" spans="1:5">
      <c r="A2390">
        <v>2019</v>
      </c>
      <c r="B2390" t="s">
        <v>2222</v>
      </c>
      <c r="C2390" t="s">
        <v>2237</v>
      </c>
      <c r="D2390" s="14">
        <v>5.17</v>
      </c>
      <c r="E2390" s="15">
        <v>73</v>
      </c>
    </row>
    <row r="2391" spans="1:5">
      <c r="A2391">
        <v>2019</v>
      </c>
      <c r="B2391" t="s">
        <v>2223</v>
      </c>
      <c r="C2391" t="s">
        <v>2237</v>
      </c>
      <c r="D2391" s="14">
        <v>0.72</v>
      </c>
      <c r="E2391" s="15">
        <v>73</v>
      </c>
    </row>
    <row r="2392" spans="1:5">
      <c r="A2392">
        <v>2020</v>
      </c>
      <c r="B2392" t="s">
        <v>2213</v>
      </c>
      <c r="C2392" t="s">
        <v>2237</v>
      </c>
      <c r="D2392" s="14">
        <v>3.44</v>
      </c>
      <c r="E2392" s="15">
        <v>71.5</v>
      </c>
    </row>
    <row r="2393" spans="1:5">
      <c r="A2393">
        <v>2020</v>
      </c>
      <c r="B2393" t="s">
        <v>2215</v>
      </c>
      <c r="C2393" t="s">
        <v>2237</v>
      </c>
      <c r="D2393" s="14">
        <v>4.2699999999999996</v>
      </c>
      <c r="E2393" s="15">
        <v>71.5</v>
      </c>
    </row>
    <row r="2394" spans="1:5">
      <c r="A2394">
        <v>2020</v>
      </c>
      <c r="B2394" t="s">
        <v>2216</v>
      </c>
      <c r="C2394" t="s">
        <v>2237</v>
      </c>
      <c r="D2394" s="14">
        <v>2.96</v>
      </c>
      <c r="E2394" s="15">
        <v>71.5</v>
      </c>
    </row>
    <row r="2395" spans="1:5">
      <c r="A2395">
        <v>2020</v>
      </c>
      <c r="B2395" t="s">
        <v>2217</v>
      </c>
      <c r="C2395" t="s">
        <v>2237</v>
      </c>
      <c r="D2395" s="14">
        <v>12.61</v>
      </c>
      <c r="E2395" s="15">
        <v>71.5</v>
      </c>
    </row>
    <row r="2396" spans="1:5">
      <c r="A2396">
        <v>2020</v>
      </c>
      <c r="B2396" t="s">
        <v>2218</v>
      </c>
      <c r="C2396" t="s">
        <v>2237</v>
      </c>
      <c r="D2396" s="14">
        <v>14.55</v>
      </c>
      <c r="E2396" s="15">
        <v>71.5</v>
      </c>
    </row>
    <row r="2397" spans="1:5">
      <c r="A2397">
        <v>2020</v>
      </c>
      <c r="B2397" t="s">
        <v>2219</v>
      </c>
      <c r="C2397" t="s">
        <v>2237</v>
      </c>
      <c r="D2397" s="14">
        <v>6.85</v>
      </c>
      <c r="E2397" s="15">
        <v>71.5</v>
      </c>
    </row>
    <row r="2398" spans="1:5">
      <c r="A2398">
        <v>2020</v>
      </c>
      <c r="B2398" t="s">
        <v>2220</v>
      </c>
      <c r="C2398" t="s">
        <v>2237</v>
      </c>
      <c r="D2398" s="14">
        <v>5.16</v>
      </c>
      <c r="E2398" s="15">
        <v>71.5</v>
      </c>
    </row>
    <row r="2399" spans="1:5">
      <c r="A2399">
        <v>2020</v>
      </c>
      <c r="B2399" t="s">
        <v>2221</v>
      </c>
      <c r="C2399" t="s">
        <v>2237</v>
      </c>
      <c r="D2399" s="14">
        <v>15.93</v>
      </c>
      <c r="E2399" s="15">
        <v>71.5</v>
      </c>
    </row>
    <row r="2400" spans="1:5">
      <c r="A2400">
        <v>2020</v>
      </c>
      <c r="B2400" t="s">
        <v>2222</v>
      </c>
      <c r="C2400" t="s">
        <v>2237</v>
      </c>
      <c r="D2400" s="14">
        <v>4.7699999999999996</v>
      </c>
      <c r="E2400" s="15">
        <v>71.5</v>
      </c>
    </row>
    <row r="2401" spans="1:5">
      <c r="A2401">
        <v>2020</v>
      </c>
      <c r="B2401" t="s">
        <v>2223</v>
      </c>
      <c r="C2401" t="s">
        <v>2237</v>
      </c>
      <c r="D2401" s="14">
        <v>0.71</v>
      </c>
      <c r="E2401" s="15">
        <v>71.5</v>
      </c>
    </row>
    <row r="2402" spans="1:5">
      <c r="A2402">
        <v>2021</v>
      </c>
      <c r="B2402" t="s">
        <v>2213</v>
      </c>
      <c r="C2402" t="s">
        <v>2237</v>
      </c>
      <c r="D2402" s="14">
        <v>3.63</v>
      </c>
      <c r="E2402" s="15">
        <v>70</v>
      </c>
    </row>
    <row r="2403" spans="1:5">
      <c r="A2403">
        <v>2021</v>
      </c>
      <c r="B2403" t="s">
        <v>2215</v>
      </c>
      <c r="C2403" t="s">
        <v>2237</v>
      </c>
      <c r="D2403" s="14">
        <v>3.99</v>
      </c>
      <c r="E2403" s="15">
        <v>70</v>
      </c>
    </row>
    <row r="2404" spans="1:5">
      <c r="A2404">
        <v>2021</v>
      </c>
      <c r="B2404" t="s">
        <v>2216</v>
      </c>
      <c r="C2404" t="s">
        <v>2237</v>
      </c>
      <c r="D2404" s="14">
        <v>2.68</v>
      </c>
      <c r="E2404" s="15">
        <v>70</v>
      </c>
    </row>
    <row r="2405" spans="1:5">
      <c r="A2405">
        <v>2021</v>
      </c>
      <c r="B2405" t="s">
        <v>2217</v>
      </c>
      <c r="C2405" t="s">
        <v>2237</v>
      </c>
      <c r="D2405" s="14">
        <v>12.57</v>
      </c>
      <c r="E2405" s="15">
        <v>70</v>
      </c>
    </row>
    <row r="2406" spans="1:5">
      <c r="A2406">
        <v>2021</v>
      </c>
      <c r="B2406" t="s">
        <v>2218</v>
      </c>
      <c r="C2406" t="s">
        <v>2237</v>
      </c>
      <c r="D2406" s="14">
        <v>15.25</v>
      </c>
      <c r="E2406" s="15">
        <v>70</v>
      </c>
    </row>
    <row r="2407" spans="1:5">
      <c r="A2407">
        <v>2021</v>
      </c>
      <c r="B2407" t="s">
        <v>2219</v>
      </c>
      <c r="C2407" t="s">
        <v>2237</v>
      </c>
      <c r="D2407" s="14">
        <v>6.81</v>
      </c>
      <c r="E2407" s="15">
        <v>70</v>
      </c>
    </row>
    <row r="2408" spans="1:5">
      <c r="A2408">
        <v>2021</v>
      </c>
      <c r="B2408" t="s">
        <v>2220</v>
      </c>
      <c r="C2408" t="s">
        <v>2237</v>
      </c>
      <c r="D2408" s="14">
        <v>5</v>
      </c>
      <c r="E2408" s="15">
        <v>70</v>
      </c>
    </row>
    <row r="2409" spans="1:5">
      <c r="A2409">
        <v>2021</v>
      </c>
      <c r="B2409" t="s">
        <v>2221</v>
      </c>
      <c r="C2409" t="s">
        <v>2237</v>
      </c>
      <c r="D2409" s="14">
        <v>15.56</v>
      </c>
      <c r="E2409" s="15">
        <v>70</v>
      </c>
    </row>
    <row r="2410" spans="1:5">
      <c r="A2410">
        <v>2021</v>
      </c>
      <c r="B2410" t="s">
        <v>2222</v>
      </c>
      <c r="C2410" t="s">
        <v>2237</v>
      </c>
      <c r="D2410" s="14">
        <v>4.79</v>
      </c>
      <c r="E2410" s="15">
        <v>70</v>
      </c>
    </row>
    <row r="2411" spans="1:5">
      <c r="A2411">
        <v>2021</v>
      </c>
      <c r="B2411" t="s">
        <v>2223</v>
      </c>
      <c r="C2411" t="s">
        <v>2237</v>
      </c>
      <c r="D2411" s="14">
        <v>0.7</v>
      </c>
      <c r="E2411" s="15">
        <v>70</v>
      </c>
    </row>
    <row r="2412" spans="1:5">
      <c r="A2412">
        <v>2022</v>
      </c>
      <c r="B2412" t="s">
        <v>2213</v>
      </c>
      <c r="C2412" t="s">
        <v>2237</v>
      </c>
      <c r="D2412" s="14">
        <v>3.44</v>
      </c>
      <c r="E2412" s="15">
        <v>70</v>
      </c>
    </row>
    <row r="2413" spans="1:5">
      <c r="A2413">
        <v>2022</v>
      </c>
      <c r="B2413" t="s">
        <v>2215</v>
      </c>
      <c r="C2413" t="s">
        <v>2237</v>
      </c>
      <c r="D2413" s="14">
        <v>4.1399999999999997</v>
      </c>
      <c r="E2413" s="15">
        <v>70</v>
      </c>
    </row>
    <row r="2414" spans="1:5">
      <c r="A2414">
        <v>2022</v>
      </c>
      <c r="B2414" t="s">
        <v>2216</v>
      </c>
      <c r="C2414" t="s">
        <v>2237</v>
      </c>
      <c r="D2414" s="14">
        <v>2.62</v>
      </c>
      <c r="E2414" s="15">
        <v>70</v>
      </c>
    </row>
    <row r="2415" spans="1:5">
      <c r="A2415">
        <v>2022</v>
      </c>
      <c r="B2415" t="s">
        <v>2217</v>
      </c>
      <c r="C2415" t="s">
        <v>2237</v>
      </c>
      <c r="D2415" s="14">
        <v>12.59</v>
      </c>
      <c r="E2415" s="15">
        <v>70</v>
      </c>
    </row>
    <row r="2416" spans="1:5">
      <c r="A2416">
        <v>2022</v>
      </c>
      <c r="B2416" t="s">
        <v>2218</v>
      </c>
      <c r="C2416" t="s">
        <v>2237</v>
      </c>
      <c r="D2416" s="14">
        <v>14.51</v>
      </c>
      <c r="E2416" s="15">
        <v>70</v>
      </c>
    </row>
    <row r="2417" spans="1:5">
      <c r="A2417">
        <v>2022</v>
      </c>
      <c r="B2417" t="s">
        <v>2219</v>
      </c>
      <c r="C2417" t="s">
        <v>2237</v>
      </c>
      <c r="D2417" s="14">
        <v>7.02</v>
      </c>
      <c r="E2417" s="15">
        <v>70</v>
      </c>
    </row>
    <row r="2418" spans="1:5">
      <c r="A2418">
        <v>2022</v>
      </c>
      <c r="B2418" t="s">
        <v>2220</v>
      </c>
      <c r="C2418" t="s">
        <v>2237</v>
      </c>
      <c r="D2418" s="14">
        <v>5.12</v>
      </c>
      <c r="E2418" s="15">
        <v>70</v>
      </c>
    </row>
    <row r="2419" spans="1:5">
      <c r="A2419">
        <v>2022</v>
      </c>
      <c r="B2419" t="s">
        <v>2221</v>
      </c>
      <c r="C2419" t="s">
        <v>2237</v>
      </c>
      <c r="D2419" s="14">
        <v>15.76</v>
      </c>
      <c r="E2419" s="15">
        <v>70</v>
      </c>
    </row>
    <row r="2420" spans="1:5">
      <c r="A2420">
        <v>2022</v>
      </c>
      <c r="B2420" t="s">
        <v>2222</v>
      </c>
      <c r="C2420" t="s">
        <v>2237</v>
      </c>
      <c r="D2420" s="14">
        <v>4.8899999999999997</v>
      </c>
      <c r="E2420" s="15">
        <v>70</v>
      </c>
    </row>
    <row r="2421" spans="1:5">
      <c r="A2421">
        <v>2022</v>
      </c>
      <c r="B2421" t="s">
        <v>2223</v>
      </c>
      <c r="C2421" t="s">
        <v>2237</v>
      </c>
      <c r="D2421" s="14">
        <v>0.68</v>
      </c>
      <c r="E2421" s="15">
        <v>70</v>
      </c>
    </row>
    <row r="2422" spans="1:5">
      <c r="A2422">
        <v>2023</v>
      </c>
      <c r="B2422" t="s">
        <v>2213</v>
      </c>
      <c r="C2422" t="s">
        <v>2237</v>
      </c>
      <c r="D2422" s="14">
        <v>3.43</v>
      </c>
      <c r="E2422" s="15">
        <v>70</v>
      </c>
    </row>
    <row r="2423" spans="1:5">
      <c r="A2423">
        <v>2023</v>
      </c>
      <c r="B2423" t="s">
        <v>2215</v>
      </c>
      <c r="C2423" t="s">
        <v>2237</v>
      </c>
      <c r="D2423" s="14">
        <v>3.96</v>
      </c>
      <c r="E2423" s="15">
        <v>70</v>
      </c>
    </row>
    <row r="2424" spans="1:5">
      <c r="A2424">
        <v>2023</v>
      </c>
      <c r="B2424" t="s">
        <v>2216</v>
      </c>
      <c r="C2424" t="s">
        <v>2237</v>
      </c>
      <c r="D2424" s="14">
        <v>2.77</v>
      </c>
      <c r="E2424" s="15">
        <v>70</v>
      </c>
    </row>
    <row r="2425" spans="1:5">
      <c r="A2425">
        <v>2023</v>
      </c>
      <c r="B2425" t="s">
        <v>2217</v>
      </c>
      <c r="C2425" t="s">
        <v>2237</v>
      </c>
      <c r="D2425" s="14">
        <v>12.67</v>
      </c>
      <c r="E2425" s="15">
        <v>70</v>
      </c>
    </row>
    <row r="2426" spans="1:5">
      <c r="A2426">
        <v>2023</v>
      </c>
      <c r="B2426" t="s">
        <v>2218</v>
      </c>
      <c r="C2426" t="s">
        <v>2237</v>
      </c>
      <c r="D2426" s="14">
        <v>14.99</v>
      </c>
      <c r="E2426" s="15">
        <v>70</v>
      </c>
    </row>
    <row r="2427" spans="1:5">
      <c r="A2427">
        <v>2023</v>
      </c>
      <c r="B2427" t="s">
        <v>2219</v>
      </c>
      <c r="C2427" t="s">
        <v>2237</v>
      </c>
      <c r="D2427" s="14">
        <v>7.15</v>
      </c>
      <c r="E2427" s="15">
        <v>70</v>
      </c>
    </row>
    <row r="2428" spans="1:5">
      <c r="A2428">
        <v>2023</v>
      </c>
      <c r="B2428" t="s">
        <v>2220</v>
      </c>
      <c r="C2428" t="s">
        <v>2237</v>
      </c>
      <c r="D2428" s="14">
        <v>4.7300000000000004</v>
      </c>
      <c r="E2428" s="15">
        <v>70</v>
      </c>
    </row>
    <row r="2429" spans="1:5">
      <c r="A2429">
        <v>2023</v>
      </c>
      <c r="B2429" t="s">
        <v>2221</v>
      </c>
      <c r="C2429" t="s">
        <v>2237</v>
      </c>
      <c r="D2429" s="14">
        <v>14.54</v>
      </c>
      <c r="E2429" s="15">
        <v>70</v>
      </c>
    </row>
    <row r="2430" spans="1:5">
      <c r="A2430">
        <v>2023</v>
      </c>
      <c r="B2430" t="s">
        <v>2222</v>
      </c>
      <c r="C2430" t="s">
        <v>2237</v>
      </c>
      <c r="D2430" s="14">
        <v>4.8600000000000003</v>
      </c>
      <c r="E2430" s="15">
        <v>70</v>
      </c>
    </row>
    <row r="2431" spans="1:5">
      <c r="A2431">
        <v>2023</v>
      </c>
      <c r="B2431" t="s">
        <v>2223</v>
      </c>
      <c r="C2431" t="s">
        <v>2237</v>
      </c>
      <c r="D2431" s="14">
        <v>0.72</v>
      </c>
      <c r="E2431" s="15">
        <v>70</v>
      </c>
    </row>
    <row r="2432" spans="1:5">
      <c r="A2432">
        <v>2024</v>
      </c>
      <c r="B2432" t="s">
        <v>2213</v>
      </c>
      <c r="C2432" t="s">
        <v>2237</v>
      </c>
      <c r="D2432" s="14">
        <v>3.47</v>
      </c>
      <c r="E2432" s="15">
        <v>70</v>
      </c>
    </row>
    <row r="2433" spans="1:5">
      <c r="A2433">
        <v>2024</v>
      </c>
      <c r="B2433" t="s">
        <v>2215</v>
      </c>
      <c r="C2433" t="s">
        <v>2237</v>
      </c>
      <c r="D2433" s="14">
        <v>4.29</v>
      </c>
      <c r="E2433" s="15">
        <v>70</v>
      </c>
    </row>
    <row r="2434" spans="1:5">
      <c r="A2434">
        <v>2024</v>
      </c>
      <c r="B2434" t="s">
        <v>2216</v>
      </c>
      <c r="C2434" t="s">
        <v>2237</v>
      </c>
      <c r="D2434" s="14">
        <v>2.78</v>
      </c>
      <c r="E2434" s="15">
        <v>70</v>
      </c>
    </row>
    <row r="2435" spans="1:5">
      <c r="A2435">
        <v>2024</v>
      </c>
      <c r="B2435" t="s">
        <v>2217</v>
      </c>
      <c r="C2435" t="s">
        <v>2237</v>
      </c>
      <c r="D2435" s="14">
        <v>12.97</v>
      </c>
      <c r="E2435" s="15">
        <v>70</v>
      </c>
    </row>
    <row r="2436" spans="1:5">
      <c r="A2436">
        <v>2024</v>
      </c>
      <c r="B2436" t="s">
        <v>2218</v>
      </c>
      <c r="C2436" t="s">
        <v>2237</v>
      </c>
      <c r="D2436" s="14">
        <v>13.13</v>
      </c>
      <c r="E2436" s="15">
        <v>70</v>
      </c>
    </row>
    <row r="2437" spans="1:5">
      <c r="A2437">
        <v>2024</v>
      </c>
      <c r="B2437" t="s">
        <v>2219</v>
      </c>
      <c r="C2437" t="s">
        <v>2237</v>
      </c>
      <c r="D2437" s="14">
        <v>7.46</v>
      </c>
      <c r="E2437" s="15">
        <v>70</v>
      </c>
    </row>
    <row r="2438" spans="1:5">
      <c r="A2438">
        <v>2024</v>
      </c>
      <c r="B2438" t="s">
        <v>2220</v>
      </c>
      <c r="C2438" t="s">
        <v>2237</v>
      </c>
      <c r="D2438" s="14">
        <v>4.6900000000000004</v>
      </c>
      <c r="E2438" s="15">
        <v>70</v>
      </c>
    </row>
    <row r="2439" spans="1:5">
      <c r="A2439">
        <v>2024</v>
      </c>
      <c r="B2439" t="s">
        <v>2221</v>
      </c>
      <c r="C2439" t="s">
        <v>2237</v>
      </c>
      <c r="D2439" s="14">
        <v>15.9</v>
      </c>
      <c r="E2439" s="15">
        <v>70</v>
      </c>
    </row>
    <row r="2440" spans="1:5">
      <c r="A2440">
        <v>2024</v>
      </c>
      <c r="B2440" t="s">
        <v>2222</v>
      </c>
      <c r="C2440" t="s">
        <v>2237</v>
      </c>
      <c r="D2440" s="14">
        <v>4.8499999999999996</v>
      </c>
      <c r="E2440" s="15">
        <v>70</v>
      </c>
    </row>
    <row r="2441" spans="1:5">
      <c r="A2441">
        <v>2024</v>
      </c>
      <c r="B2441" t="s">
        <v>2223</v>
      </c>
      <c r="C2441" t="s">
        <v>2237</v>
      </c>
      <c r="D2441" s="14">
        <v>0.7</v>
      </c>
      <c r="E2441" s="15">
        <v>70</v>
      </c>
    </row>
    <row r="2442" spans="1:5">
      <c r="A2442">
        <v>2025</v>
      </c>
      <c r="B2442" t="s">
        <v>2213</v>
      </c>
      <c r="C2442" t="s">
        <v>2237</v>
      </c>
      <c r="D2442" s="14">
        <v>3.49</v>
      </c>
      <c r="E2442" s="15">
        <v>70.5</v>
      </c>
    </row>
    <row r="2443" spans="1:5">
      <c r="A2443">
        <v>2025</v>
      </c>
      <c r="B2443" t="s">
        <v>2215</v>
      </c>
      <c r="C2443" t="s">
        <v>2237</v>
      </c>
      <c r="D2443" s="14">
        <v>4.2699999999999996</v>
      </c>
      <c r="E2443" s="15">
        <v>70.5</v>
      </c>
    </row>
    <row r="2444" spans="1:5">
      <c r="A2444">
        <v>2025</v>
      </c>
      <c r="B2444" t="s">
        <v>2216</v>
      </c>
      <c r="C2444" t="s">
        <v>2237</v>
      </c>
      <c r="D2444" s="14">
        <v>2.87</v>
      </c>
      <c r="E2444" s="15">
        <v>70.5</v>
      </c>
    </row>
    <row r="2445" spans="1:5">
      <c r="A2445">
        <v>2025</v>
      </c>
      <c r="B2445" t="s">
        <v>2217</v>
      </c>
      <c r="C2445" t="s">
        <v>2237</v>
      </c>
      <c r="D2445" s="14">
        <v>13.24</v>
      </c>
      <c r="E2445" s="15">
        <v>70.5</v>
      </c>
    </row>
    <row r="2446" spans="1:5">
      <c r="A2446">
        <v>2025</v>
      </c>
      <c r="B2446" t="s">
        <v>2218</v>
      </c>
      <c r="C2446" t="s">
        <v>2237</v>
      </c>
      <c r="D2446" s="14">
        <v>14.92</v>
      </c>
      <c r="E2446" s="15">
        <v>70.5</v>
      </c>
    </row>
    <row r="2447" spans="1:5">
      <c r="A2447">
        <v>2025</v>
      </c>
      <c r="B2447" t="s">
        <v>2219</v>
      </c>
      <c r="C2447" t="s">
        <v>2237</v>
      </c>
      <c r="D2447" s="14">
        <v>7.14</v>
      </c>
      <c r="E2447" s="15">
        <v>70.5</v>
      </c>
    </row>
    <row r="2448" spans="1:5">
      <c r="A2448">
        <v>2025</v>
      </c>
      <c r="B2448" t="s">
        <v>2220</v>
      </c>
      <c r="C2448" t="s">
        <v>2237</v>
      </c>
      <c r="D2448" s="14">
        <v>5.29</v>
      </c>
      <c r="E2448" s="15">
        <v>70.5</v>
      </c>
    </row>
    <row r="2449" spans="1:5">
      <c r="A2449">
        <v>2025</v>
      </c>
      <c r="B2449" t="s">
        <v>2221</v>
      </c>
      <c r="C2449" t="s">
        <v>2237</v>
      </c>
      <c r="D2449" s="14">
        <v>15.57</v>
      </c>
      <c r="E2449" s="15">
        <v>70.5</v>
      </c>
    </row>
    <row r="2450" spans="1:5">
      <c r="A2450">
        <v>2025</v>
      </c>
      <c r="B2450" t="s">
        <v>2222</v>
      </c>
      <c r="C2450" t="s">
        <v>2237</v>
      </c>
      <c r="D2450" s="14">
        <v>5.15</v>
      </c>
      <c r="E2450" s="15">
        <v>70.5</v>
      </c>
    </row>
    <row r="2451" spans="1:5">
      <c r="A2451">
        <v>2025</v>
      </c>
      <c r="B2451" t="s">
        <v>2223</v>
      </c>
      <c r="C2451" t="s">
        <v>2237</v>
      </c>
      <c r="D2451" s="14">
        <v>0.72</v>
      </c>
      <c r="E2451" s="15">
        <v>70.5</v>
      </c>
    </row>
    <row r="2452" spans="1:5">
      <c r="A2452">
        <v>2026</v>
      </c>
      <c r="B2452" t="s">
        <v>2213</v>
      </c>
      <c r="C2452" t="s">
        <v>2237</v>
      </c>
      <c r="D2452" s="14">
        <v>3.47</v>
      </c>
      <c r="E2452" s="15">
        <v>71</v>
      </c>
    </row>
    <row r="2453" spans="1:5">
      <c r="A2453">
        <v>2026</v>
      </c>
      <c r="B2453" t="s">
        <v>2215</v>
      </c>
      <c r="C2453" t="s">
        <v>2237</v>
      </c>
      <c r="D2453" s="14">
        <v>4.29</v>
      </c>
      <c r="E2453" s="15">
        <v>71</v>
      </c>
    </row>
    <row r="2454" spans="1:5">
      <c r="A2454">
        <v>2026</v>
      </c>
      <c r="B2454" t="s">
        <v>2216</v>
      </c>
      <c r="C2454" t="s">
        <v>2237</v>
      </c>
      <c r="D2454" s="14">
        <v>2.9</v>
      </c>
      <c r="E2454" s="15">
        <v>71</v>
      </c>
    </row>
    <row r="2455" spans="1:5">
      <c r="A2455">
        <v>2026</v>
      </c>
      <c r="B2455" t="s">
        <v>2217</v>
      </c>
      <c r="C2455" t="s">
        <v>2237</v>
      </c>
      <c r="D2455" s="14">
        <v>12.76</v>
      </c>
      <c r="E2455" s="15">
        <v>71</v>
      </c>
    </row>
    <row r="2456" spans="1:5">
      <c r="A2456">
        <v>2026</v>
      </c>
      <c r="B2456" t="s">
        <v>2218</v>
      </c>
      <c r="C2456" t="s">
        <v>2237</v>
      </c>
      <c r="D2456" s="14">
        <v>14.44</v>
      </c>
      <c r="E2456" s="15">
        <v>71</v>
      </c>
    </row>
    <row r="2457" spans="1:5">
      <c r="A2457">
        <v>2026</v>
      </c>
      <c r="B2457" t="s">
        <v>2219</v>
      </c>
      <c r="C2457" t="s">
        <v>2237</v>
      </c>
      <c r="D2457" s="14">
        <v>7.35</v>
      </c>
      <c r="E2457" s="15">
        <v>71</v>
      </c>
    </row>
    <row r="2458" spans="1:5">
      <c r="A2458">
        <v>2026</v>
      </c>
      <c r="B2458" t="s">
        <v>2220</v>
      </c>
      <c r="C2458" t="s">
        <v>2237</v>
      </c>
      <c r="D2458" s="14">
        <v>4.97</v>
      </c>
      <c r="E2458" s="15">
        <v>71</v>
      </c>
    </row>
    <row r="2459" spans="1:5">
      <c r="A2459">
        <v>2026</v>
      </c>
      <c r="B2459" t="s">
        <v>2221</v>
      </c>
      <c r="C2459" t="s">
        <v>2237</v>
      </c>
      <c r="D2459" s="14">
        <v>13.88</v>
      </c>
      <c r="E2459" s="15">
        <v>71</v>
      </c>
    </row>
    <row r="2460" spans="1:5">
      <c r="A2460">
        <v>2026</v>
      </c>
      <c r="B2460" t="s">
        <v>2222</v>
      </c>
      <c r="C2460" t="s">
        <v>2237</v>
      </c>
      <c r="D2460" s="14">
        <v>5.32</v>
      </c>
      <c r="E2460" s="15">
        <v>71</v>
      </c>
    </row>
    <row r="2461" spans="1:5">
      <c r="A2461">
        <v>2026</v>
      </c>
      <c r="B2461" t="s">
        <v>2223</v>
      </c>
      <c r="C2461" t="s">
        <v>2237</v>
      </c>
      <c r="D2461" s="14">
        <v>0.7</v>
      </c>
      <c r="E2461" s="15">
        <v>71</v>
      </c>
    </row>
    <row r="2462" spans="1:5">
      <c r="A2462">
        <v>2010</v>
      </c>
      <c r="B2462" t="s">
        <v>2213</v>
      </c>
      <c r="C2462" t="s">
        <v>2238</v>
      </c>
      <c r="D2462" s="14">
        <v>1.84</v>
      </c>
      <c r="E2462" s="15">
        <v>38</v>
      </c>
    </row>
    <row r="2463" spans="1:5">
      <c r="A2463">
        <v>2010</v>
      </c>
      <c r="B2463" t="s">
        <v>2215</v>
      </c>
      <c r="C2463" t="s">
        <v>2238</v>
      </c>
      <c r="D2463" s="14">
        <v>2.1800000000000002</v>
      </c>
      <c r="E2463" s="15">
        <v>38</v>
      </c>
    </row>
    <row r="2464" spans="1:5">
      <c r="A2464">
        <v>2010</v>
      </c>
      <c r="B2464" t="s">
        <v>2216</v>
      </c>
      <c r="C2464" t="s">
        <v>2238</v>
      </c>
      <c r="D2464" s="14">
        <v>1.5</v>
      </c>
      <c r="E2464" s="15">
        <v>38</v>
      </c>
    </row>
    <row r="2465" spans="1:5">
      <c r="A2465">
        <v>2010</v>
      </c>
      <c r="B2465" t="s">
        <v>2217</v>
      </c>
      <c r="C2465" t="s">
        <v>2238</v>
      </c>
      <c r="D2465" s="14">
        <v>6.69</v>
      </c>
      <c r="E2465" s="15">
        <v>38</v>
      </c>
    </row>
    <row r="2466" spans="1:5">
      <c r="A2466">
        <v>2010</v>
      </c>
      <c r="B2466" t="s">
        <v>2218</v>
      </c>
      <c r="C2466" t="s">
        <v>2238</v>
      </c>
      <c r="D2466" s="14">
        <v>7.38</v>
      </c>
      <c r="E2466" s="15">
        <v>38</v>
      </c>
    </row>
    <row r="2467" spans="1:5">
      <c r="A2467">
        <v>2010</v>
      </c>
      <c r="B2467" t="s">
        <v>2219</v>
      </c>
      <c r="C2467" t="s">
        <v>2238</v>
      </c>
      <c r="D2467" s="14">
        <v>3.7</v>
      </c>
      <c r="E2467" s="15">
        <v>38</v>
      </c>
    </row>
    <row r="2468" spans="1:5">
      <c r="A2468">
        <v>2010</v>
      </c>
      <c r="B2468" t="s">
        <v>2220</v>
      </c>
      <c r="C2468" t="s">
        <v>2238</v>
      </c>
      <c r="D2468" s="14">
        <v>2.72</v>
      </c>
      <c r="E2468" s="15">
        <v>38</v>
      </c>
    </row>
    <row r="2469" spans="1:5">
      <c r="A2469">
        <v>2010</v>
      </c>
      <c r="B2469" t="s">
        <v>2221</v>
      </c>
      <c r="C2469" t="s">
        <v>2238</v>
      </c>
      <c r="D2469" s="14">
        <v>9.07</v>
      </c>
      <c r="E2469" s="15">
        <v>38</v>
      </c>
    </row>
    <row r="2470" spans="1:5">
      <c r="A2470">
        <v>2010</v>
      </c>
      <c r="B2470" t="s">
        <v>2222</v>
      </c>
      <c r="C2470" t="s">
        <v>2238</v>
      </c>
      <c r="D2470" s="14">
        <v>2.75</v>
      </c>
      <c r="E2470" s="15">
        <v>38</v>
      </c>
    </row>
    <row r="2471" spans="1:5">
      <c r="A2471">
        <v>2010</v>
      </c>
      <c r="B2471" t="s">
        <v>2223</v>
      </c>
      <c r="C2471" t="s">
        <v>2238</v>
      </c>
      <c r="D2471" s="14">
        <v>0.4</v>
      </c>
      <c r="E2471" s="15">
        <v>38</v>
      </c>
    </row>
    <row r="2472" spans="1:5">
      <c r="A2472">
        <v>2011</v>
      </c>
      <c r="B2472" t="s">
        <v>2213</v>
      </c>
      <c r="C2472" t="s">
        <v>2238</v>
      </c>
      <c r="D2472" s="14">
        <v>1.88</v>
      </c>
      <c r="E2472" s="15">
        <v>38.200000000000003</v>
      </c>
    </row>
    <row r="2473" spans="1:5">
      <c r="A2473">
        <v>2011</v>
      </c>
      <c r="B2473" t="s">
        <v>2215</v>
      </c>
      <c r="C2473" t="s">
        <v>2238</v>
      </c>
      <c r="D2473" s="14">
        <v>2.2999999999999998</v>
      </c>
      <c r="E2473" s="15">
        <v>38.200000000000003</v>
      </c>
    </row>
    <row r="2474" spans="1:5">
      <c r="A2474">
        <v>2011</v>
      </c>
      <c r="B2474" t="s">
        <v>2216</v>
      </c>
      <c r="C2474" t="s">
        <v>2238</v>
      </c>
      <c r="D2474" s="14">
        <v>1.55</v>
      </c>
      <c r="E2474" s="15">
        <v>38.200000000000003</v>
      </c>
    </row>
    <row r="2475" spans="1:5">
      <c r="A2475">
        <v>2011</v>
      </c>
      <c r="B2475" t="s">
        <v>2217</v>
      </c>
      <c r="C2475" t="s">
        <v>2238</v>
      </c>
      <c r="D2475" s="14">
        <v>6.7</v>
      </c>
      <c r="E2475" s="15">
        <v>38.200000000000003</v>
      </c>
    </row>
    <row r="2476" spans="1:5">
      <c r="A2476">
        <v>2011</v>
      </c>
      <c r="B2476" t="s">
        <v>2218</v>
      </c>
      <c r="C2476" t="s">
        <v>2238</v>
      </c>
      <c r="D2476" s="14">
        <v>7.51</v>
      </c>
      <c r="E2476" s="15">
        <v>38.200000000000003</v>
      </c>
    </row>
    <row r="2477" spans="1:5">
      <c r="A2477">
        <v>2011</v>
      </c>
      <c r="B2477" t="s">
        <v>2219</v>
      </c>
      <c r="C2477" t="s">
        <v>2238</v>
      </c>
      <c r="D2477" s="14">
        <v>3.95</v>
      </c>
      <c r="E2477" s="15">
        <v>38.200000000000003</v>
      </c>
    </row>
    <row r="2478" spans="1:5">
      <c r="A2478">
        <v>2011</v>
      </c>
      <c r="B2478" t="s">
        <v>2220</v>
      </c>
      <c r="C2478" t="s">
        <v>2238</v>
      </c>
      <c r="D2478" s="14">
        <v>2.79</v>
      </c>
      <c r="E2478" s="15">
        <v>38.200000000000003</v>
      </c>
    </row>
    <row r="2479" spans="1:5">
      <c r="A2479">
        <v>2011</v>
      </c>
      <c r="B2479" t="s">
        <v>2221</v>
      </c>
      <c r="C2479" t="s">
        <v>2238</v>
      </c>
      <c r="D2479" s="14">
        <v>8.43</v>
      </c>
      <c r="E2479" s="15">
        <v>38.200000000000003</v>
      </c>
    </row>
    <row r="2480" spans="1:5">
      <c r="A2480">
        <v>2011</v>
      </c>
      <c r="B2480" t="s">
        <v>2222</v>
      </c>
      <c r="C2480" t="s">
        <v>2238</v>
      </c>
      <c r="D2480" s="14">
        <v>2.5499999999999998</v>
      </c>
      <c r="E2480" s="15">
        <v>38.200000000000003</v>
      </c>
    </row>
    <row r="2481" spans="1:5">
      <c r="A2481">
        <v>2011</v>
      </c>
      <c r="B2481" t="s">
        <v>2223</v>
      </c>
      <c r="C2481" t="s">
        <v>2238</v>
      </c>
      <c r="D2481" s="14">
        <v>0.38</v>
      </c>
      <c r="E2481" s="15">
        <v>38.200000000000003</v>
      </c>
    </row>
    <row r="2482" spans="1:5">
      <c r="A2482">
        <v>2012</v>
      </c>
      <c r="B2482" t="s">
        <v>2213</v>
      </c>
      <c r="C2482" t="s">
        <v>2238</v>
      </c>
      <c r="D2482" s="14">
        <v>1.81</v>
      </c>
      <c r="E2482" s="15">
        <v>38.4</v>
      </c>
    </row>
    <row r="2483" spans="1:5">
      <c r="A2483">
        <v>2012</v>
      </c>
      <c r="B2483" t="s">
        <v>2215</v>
      </c>
      <c r="C2483" t="s">
        <v>2238</v>
      </c>
      <c r="D2483" s="14">
        <v>2.31</v>
      </c>
      <c r="E2483" s="15">
        <v>38.4</v>
      </c>
    </row>
    <row r="2484" spans="1:5">
      <c r="A2484">
        <v>2012</v>
      </c>
      <c r="B2484" t="s">
        <v>2216</v>
      </c>
      <c r="C2484" t="s">
        <v>2238</v>
      </c>
      <c r="D2484" s="14">
        <v>1.55</v>
      </c>
      <c r="E2484" s="15">
        <v>38.4</v>
      </c>
    </row>
    <row r="2485" spans="1:5">
      <c r="A2485">
        <v>2012</v>
      </c>
      <c r="B2485" t="s">
        <v>2217</v>
      </c>
      <c r="C2485" t="s">
        <v>2238</v>
      </c>
      <c r="D2485" s="14">
        <v>6.84</v>
      </c>
      <c r="E2485" s="15">
        <v>38.4</v>
      </c>
    </row>
    <row r="2486" spans="1:5">
      <c r="A2486">
        <v>2012</v>
      </c>
      <c r="B2486" t="s">
        <v>2218</v>
      </c>
      <c r="C2486" t="s">
        <v>2238</v>
      </c>
      <c r="D2486" s="14">
        <v>7.75</v>
      </c>
      <c r="E2486" s="15">
        <v>38.4</v>
      </c>
    </row>
    <row r="2487" spans="1:5">
      <c r="A2487">
        <v>2012</v>
      </c>
      <c r="B2487" t="s">
        <v>2219</v>
      </c>
      <c r="C2487" t="s">
        <v>2238</v>
      </c>
      <c r="D2487" s="14">
        <v>3.9</v>
      </c>
      <c r="E2487" s="15">
        <v>38.4</v>
      </c>
    </row>
    <row r="2488" spans="1:5">
      <c r="A2488">
        <v>2012</v>
      </c>
      <c r="B2488" t="s">
        <v>2220</v>
      </c>
      <c r="C2488" t="s">
        <v>2238</v>
      </c>
      <c r="D2488" s="14">
        <v>2.72</v>
      </c>
      <c r="E2488" s="15">
        <v>38.4</v>
      </c>
    </row>
    <row r="2489" spans="1:5">
      <c r="A2489">
        <v>2012</v>
      </c>
      <c r="B2489" t="s">
        <v>2221</v>
      </c>
      <c r="C2489" t="s">
        <v>2238</v>
      </c>
      <c r="D2489" s="14">
        <v>8.0500000000000007</v>
      </c>
      <c r="E2489" s="15">
        <v>38.4</v>
      </c>
    </row>
    <row r="2490" spans="1:5">
      <c r="A2490">
        <v>2012</v>
      </c>
      <c r="B2490" t="s">
        <v>2222</v>
      </c>
      <c r="C2490" t="s">
        <v>2238</v>
      </c>
      <c r="D2490" s="14">
        <v>2.66</v>
      </c>
      <c r="E2490" s="15">
        <v>38.4</v>
      </c>
    </row>
    <row r="2491" spans="1:5">
      <c r="A2491">
        <v>2012</v>
      </c>
      <c r="B2491" t="s">
        <v>2223</v>
      </c>
      <c r="C2491" t="s">
        <v>2238</v>
      </c>
      <c r="D2491" s="14">
        <v>0.39</v>
      </c>
      <c r="E2491" s="15">
        <v>38.4</v>
      </c>
    </row>
    <row r="2492" spans="1:5">
      <c r="A2492">
        <v>2013</v>
      </c>
      <c r="B2492" t="s">
        <v>2213</v>
      </c>
      <c r="C2492" t="s">
        <v>2238</v>
      </c>
      <c r="D2492" s="14">
        <v>2.06</v>
      </c>
      <c r="E2492" s="15">
        <v>38.6</v>
      </c>
    </row>
    <row r="2493" spans="1:5">
      <c r="A2493">
        <v>2013</v>
      </c>
      <c r="B2493" t="s">
        <v>2215</v>
      </c>
      <c r="C2493" t="s">
        <v>2238</v>
      </c>
      <c r="D2493" s="14">
        <v>2.29</v>
      </c>
      <c r="E2493" s="15">
        <v>38.6</v>
      </c>
    </row>
    <row r="2494" spans="1:5">
      <c r="A2494">
        <v>2013</v>
      </c>
      <c r="B2494" t="s">
        <v>2216</v>
      </c>
      <c r="C2494" t="s">
        <v>2238</v>
      </c>
      <c r="D2494" s="14">
        <v>1.58</v>
      </c>
      <c r="E2494" s="15">
        <v>38.6</v>
      </c>
    </row>
    <row r="2495" spans="1:5">
      <c r="A2495">
        <v>2013</v>
      </c>
      <c r="B2495" t="s">
        <v>2217</v>
      </c>
      <c r="C2495" t="s">
        <v>2238</v>
      </c>
      <c r="D2495" s="14">
        <v>7.2</v>
      </c>
      <c r="E2495" s="15">
        <v>38.6</v>
      </c>
    </row>
    <row r="2496" spans="1:5">
      <c r="A2496">
        <v>2013</v>
      </c>
      <c r="B2496" t="s">
        <v>2218</v>
      </c>
      <c r="C2496" t="s">
        <v>2238</v>
      </c>
      <c r="D2496" s="14">
        <v>7.66</v>
      </c>
      <c r="E2496" s="15">
        <v>38.6</v>
      </c>
    </row>
    <row r="2497" spans="1:5">
      <c r="A2497">
        <v>2013</v>
      </c>
      <c r="B2497" t="s">
        <v>2219</v>
      </c>
      <c r="C2497" t="s">
        <v>2238</v>
      </c>
      <c r="D2497" s="14">
        <v>4.04</v>
      </c>
      <c r="E2497" s="15">
        <v>38.6</v>
      </c>
    </row>
    <row r="2498" spans="1:5">
      <c r="A2498">
        <v>2013</v>
      </c>
      <c r="B2498" t="s">
        <v>2220</v>
      </c>
      <c r="C2498" t="s">
        <v>2238</v>
      </c>
      <c r="D2498" s="14">
        <v>2.84</v>
      </c>
      <c r="E2498" s="15">
        <v>38.6</v>
      </c>
    </row>
    <row r="2499" spans="1:5">
      <c r="A2499">
        <v>2013</v>
      </c>
      <c r="B2499" t="s">
        <v>2221</v>
      </c>
      <c r="C2499" t="s">
        <v>2238</v>
      </c>
      <c r="D2499" s="14">
        <v>8.9700000000000006</v>
      </c>
      <c r="E2499" s="15">
        <v>38.6</v>
      </c>
    </row>
    <row r="2500" spans="1:5">
      <c r="A2500">
        <v>2013</v>
      </c>
      <c r="B2500" t="s">
        <v>2222</v>
      </c>
      <c r="C2500" t="s">
        <v>2238</v>
      </c>
      <c r="D2500" s="14">
        <v>2.75</v>
      </c>
      <c r="E2500" s="15">
        <v>38.6</v>
      </c>
    </row>
    <row r="2501" spans="1:5">
      <c r="A2501">
        <v>2013</v>
      </c>
      <c r="B2501" t="s">
        <v>2223</v>
      </c>
      <c r="C2501" t="s">
        <v>2238</v>
      </c>
      <c r="D2501" s="14">
        <v>0.42</v>
      </c>
      <c r="E2501" s="15">
        <v>38.6</v>
      </c>
    </row>
    <row r="2502" spans="1:5">
      <c r="A2502">
        <v>2014</v>
      </c>
      <c r="B2502" t="s">
        <v>2213</v>
      </c>
      <c r="C2502" t="s">
        <v>2238</v>
      </c>
      <c r="D2502" s="14">
        <v>1.89</v>
      </c>
      <c r="E2502" s="15">
        <v>38.799999999999997</v>
      </c>
    </row>
    <row r="2503" spans="1:5">
      <c r="A2503">
        <v>2014</v>
      </c>
      <c r="B2503" t="s">
        <v>2215</v>
      </c>
      <c r="C2503" t="s">
        <v>2238</v>
      </c>
      <c r="D2503" s="14">
        <v>2.5299999999999998</v>
      </c>
      <c r="E2503" s="15">
        <v>38.799999999999997</v>
      </c>
    </row>
    <row r="2504" spans="1:5">
      <c r="A2504">
        <v>2014</v>
      </c>
      <c r="B2504" t="s">
        <v>2216</v>
      </c>
      <c r="C2504" t="s">
        <v>2238</v>
      </c>
      <c r="D2504" s="14">
        <v>1.6</v>
      </c>
      <c r="E2504" s="15">
        <v>38.799999999999997</v>
      </c>
    </row>
    <row r="2505" spans="1:5">
      <c r="A2505">
        <v>2014</v>
      </c>
      <c r="B2505" t="s">
        <v>2217</v>
      </c>
      <c r="C2505" t="s">
        <v>2238</v>
      </c>
      <c r="D2505" s="14">
        <v>7.37</v>
      </c>
      <c r="E2505" s="15">
        <v>38.799999999999997</v>
      </c>
    </row>
    <row r="2506" spans="1:5">
      <c r="A2506">
        <v>2014</v>
      </c>
      <c r="B2506" t="s">
        <v>2218</v>
      </c>
      <c r="C2506" t="s">
        <v>2238</v>
      </c>
      <c r="D2506" s="14">
        <v>7.66</v>
      </c>
      <c r="E2506" s="15">
        <v>38.799999999999997</v>
      </c>
    </row>
    <row r="2507" spans="1:5">
      <c r="A2507">
        <v>2014</v>
      </c>
      <c r="B2507" t="s">
        <v>2219</v>
      </c>
      <c r="C2507" t="s">
        <v>2238</v>
      </c>
      <c r="D2507" s="14">
        <v>4.01</v>
      </c>
      <c r="E2507" s="15">
        <v>38.799999999999997</v>
      </c>
    </row>
    <row r="2508" spans="1:5">
      <c r="A2508">
        <v>2014</v>
      </c>
      <c r="B2508" t="s">
        <v>2220</v>
      </c>
      <c r="C2508" t="s">
        <v>2238</v>
      </c>
      <c r="D2508" s="14">
        <v>2.88</v>
      </c>
      <c r="E2508" s="15">
        <v>38.799999999999997</v>
      </c>
    </row>
    <row r="2509" spans="1:5">
      <c r="A2509">
        <v>2014</v>
      </c>
      <c r="B2509" t="s">
        <v>2221</v>
      </c>
      <c r="C2509" t="s">
        <v>2238</v>
      </c>
      <c r="D2509" s="14">
        <v>8.17</v>
      </c>
      <c r="E2509" s="15">
        <v>38.799999999999997</v>
      </c>
    </row>
    <row r="2510" spans="1:5">
      <c r="A2510">
        <v>2014</v>
      </c>
      <c r="B2510" t="s">
        <v>2222</v>
      </c>
      <c r="C2510" t="s">
        <v>2238</v>
      </c>
      <c r="D2510" s="14">
        <v>2.7</v>
      </c>
      <c r="E2510" s="15">
        <v>38.799999999999997</v>
      </c>
    </row>
    <row r="2511" spans="1:5">
      <c r="A2511">
        <v>2014</v>
      </c>
      <c r="B2511" t="s">
        <v>2223</v>
      </c>
      <c r="C2511" t="s">
        <v>2238</v>
      </c>
      <c r="D2511" s="14">
        <v>0.36</v>
      </c>
      <c r="E2511" s="15">
        <v>38.799999999999997</v>
      </c>
    </row>
    <row r="2512" spans="1:5">
      <c r="A2512">
        <v>2015</v>
      </c>
      <c r="B2512" t="s">
        <v>2213</v>
      </c>
      <c r="C2512" t="s">
        <v>2238</v>
      </c>
      <c r="D2512" s="14">
        <v>1.94</v>
      </c>
      <c r="E2512" s="15">
        <v>39</v>
      </c>
    </row>
    <row r="2513" spans="1:5">
      <c r="A2513">
        <v>2015</v>
      </c>
      <c r="B2513" t="s">
        <v>2215</v>
      </c>
      <c r="C2513" t="s">
        <v>2238</v>
      </c>
      <c r="D2513" s="14">
        <v>2.2599999999999998</v>
      </c>
      <c r="E2513" s="15">
        <v>39</v>
      </c>
    </row>
    <row r="2514" spans="1:5">
      <c r="A2514">
        <v>2015</v>
      </c>
      <c r="B2514" t="s">
        <v>2216</v>
      </c>
      <c r="C2514" t="s">
        <v>2238</v>
      </c>
      <c r="D2514" s="14">
        <v>1.55</v>
      </c>
      <c r="E2514" s="15">
        <v>39</v>
      </c>
    </row>
    <row r="2515" spans="1:5">
      <c r="A2515">
        <v>2015</v>
      </c>
      <c r="B2515" t="s">
        <v>2217</v>
      </c>
      <c r="C2515" t="s">
        <v>2238</v>
      </c>
      <c r="D2515" s="14">
        <v>7.89</v>
      </c>
      <c r="E2515" s="15">
        <v>39</v>
      </c>
    </row>
    <row r="2516" spans="1:5">
      <c r="A2516">
        <v>2015</v>
      </c>
      <c r="B2516" t="s">
        <v>2218</v>
      </c>
      <c r="C2516" t="s">
        <v>2238</v>
      </c>
      <c r="D2516" s="14">
        <v>8.35</v>
      </c>
      <c r="E2516" s="15">
        <v>39</v>
      </c>
    </row>
    <row r="2517" spans="1:5">
      <c r="A2517">
        <v>2015</v>
      </c>
      <c r="B2517" t="s">
        <v>2219</v>
      </c>
      <c r="C2517" t="s">
        <v>2238</v>
      </c>
      <c r="D2517" s="14">
        <v>3.68</v>
      </c>
      <c r="E2517" s="15">
        <v>39</v>
      </c>
    </row>
    <row r="2518" spans="1:5">
      <c r="A2518">
        <v>2015</v>
      </c>
      <c r="B2518" t="s">
        <v>2220</v>
      </c>
      <c r="C2518" t="s">
        <v>2238</v>
      </c>
      <c r="D2518" s="14">
        <v>2.79</v>
      </c>
      <c r="E2518" s="15">
        <v>39</v>
      </c>
    </row>
    <row r="2519" spans="1:5">
      <c r="A2519">
        <v>2015</v>
      </c>
      <c r="B2519" t="s">
        <v>2221</v>
      </c>
      <c r="C2519" t="s">
        <v>2238</v>
      </c>
      <c r="D2519" s="14">
        <v>8.86</v>
      </c>
      <c r="E2519" s="15">
        <v>39</v>
      </c>
    </row>
    <row r="2520" spans="1:5">
      <c r="A2520">
        <v>2015</v>
      </c>
      <c r="B2520" t="s">
        <v>2222</v>
      </c>
      <c r="C2520" t="s">
        <v>2238</v>
      </c>
      <c r="D2520" s="14">
        <v>2.69</v>
      </c>
      <c r="E2520" s="15">
        <v>39</v>
      </c>
    </row>
    <row r="2521" spans="1:5">
      <c r="A2521">
        <v>2015</v>
      </c>
      <c r="B2521" t="s">
        <v>2223</v>
      </c>
      <c r="C2521" t="s">
        <v>2238</v>
      </c>
      <c r="D2521" s="14">
        <v>0.39</v>
      </c>
      <c r="E2521" s="15">
        <v>39</v>
      </c>
    </row>
    <row r="2522" spans="1:5">
      <c r="A2522">
        <v>2016</v>
      </c>
      <c r="B2522" t="s">
        <v>2213</v>
      </c>
      <c r="C2522" t="s">
        <v>2238</v>
      </c>
      <c r="D2522" s="14">
        <v>1.93</v>
      </c>
      <c r="E2522" s="15">
        <v>38.200000000000003</v>
      </c>
    </row>
    <row r="2523" spans="1:5">
      <c r="A2523">
        <v>2016</v>
      </c>
      <c r="B2523" t="s">
        <v>2215</v>
      </c>
      <c r="C2523" t="s">
        <v>2238</v>
      </c>
      <c r="D2523" s="14">
        <v>2.17</v>
      </c>
      <c r="E2523" s="15">
        <v>38.200000000000003</v>
      </c>
    </row>
    <row r="2524" spans="1:5">
      <c r="A2524">
        <v>2016</v>
      </c>
      <c r="B2524" t="s">
        <v>2216</v>
      </c>
      <c r="C2524" t="s">
        <v>2238</v>
      </c>
      <c r="D2524" s="14">
        <v>1.47</v>
      </c>
      <c r="E2524" s="15">
        <v>38.200000000000003</v>
      </c>
    </row>
    <row r="2525" spans="1:5">
      <c r="A2525">
        <v>2016</v>
      </c>
      <c r="B2525" t="s">
        <v>2217</v>
      </c>
      <c r="C2525" t="s">
        <v>2238</v>
      </c>
      <c r="D2525" s="14">
        <v>6.93</v>
      </c>
      <c r="E2525" s="15">
        <v>38.200000000000003</v>
      </c>
    </row>
    <row r="2526" spans="1:5">
      <c r="A2526">
        <v>2016</v>
      </c>
      <c r="B2526" t="s">
        <v>2218</v>
      </c>
      <c r="C2526" t="s">
        <v>2238</v>
      </c>
      <c r="D2526" s="14">
        <v>7.68</v>
      </c>
      <c r="E2526" s="15">
        <v>38.200000000000003</v>
      </c>
    </row>
    <row r="2527" spans="1:5">
      <c r="A2527">
        <v>2016</v>
      </c>
      <c r="B2527" t="s">
        <v>2219</v>
      </c>
      <c r="C2527" t="s">
        <v>2238</v>
      </c>
      <c r="D2527" s="14">
        <v>3.72</v>
      </c>
      <c r="E2527" s="15">
        <v>38.200000000000003</v>
      </c>
    </row>
    <row r="2528" spans="1:5">
      <c r="A2528">
        <v>2016</v>
      </c>
      <c r="B2528" t="s">
        <v>2220</v>
      </c>
      <c r="C2528" t="s">
        <v>2238</v>
      </c>
      <c r="D2528" s="14">
        <v>2.59</v>
      </c>
      <c r="E2528" s="15">
        <v>38.200000000000003</v>
      </c>
    </row>
    <row r="2529" spans="1:5">
      <c r="A2529">
        <v>2016</v>
      </c>
      <c r="B2529" t="s">
        <v>2221</v>
      </c>
      <c r="C2529" t="s">
        <v>2238</v>
      </c>
      <c r="D2529" s="14">
        <v>8.3800000000000008</v>
      </c>
      <c r="E2529" s="15">
        <v>38.200000000000003</v>
      </c>
    </row>
    <row r="2530" spans="1:5">
      <c r="A2530">
        <v>2016</v>
      </c>
      <c r="B2530" t="s">
        <v>2222</v>
      </c>
      <c r="C2530" t="s">
        <v>2238</v>
      </c>
      <c r="D2530" s="14">
        <v>2.77</v>
      </c>
      <c r="E2530" s="15">
        <v>38.200000000000003</v>
      </c>
    </row>
    <row r="2531" spans="1:5">
      <c r="A2531">
        <v>2016</v>
      </c>
      <c r="B2531" t="s">
        <v>2223</v>
      </c>
      <c r="C2531" t="s">
        <v>2238</v>
      </c>
      <c r="D2531" s="14">
        <v>0.38</v>
      </c>
      <c r="E2531" s="15">
        <v>38.200000000000003</v>
      </c>
    </row>
    <row r="2532" spans="1:5">
      <c r="A2532">
        <v>2017</v>
      </c>
      <c r="B2532" t="s">
        <v>2213</v>
      </c>
      <c r="C2532" t="s">
        <v>2238</v>
      </c>
      <c r="D2532" s="14">
        <v>2</v>
      </c>
      <c r="E2532" s="15">
        <v>37.5</v>
      </c>
    </row>
    <row r="2533" spans="1:5">
      <c r="A2533">
        <v>2017</v>
      </c>
      <c r="B2533" t="s">
        <v>2215</v>
      </c>
      <c r="C2533" t="s">
        <v>2238</v>
      </c>
      <c r="D2533" s="14">
        <v>2.19</v>
      </c>
      <c r="E2533" s="15">
        <v>37.5</v>
      </c>
    </row>
    <row r="2534" spans="1:5">
      <c r="A2534">
        <v>2017</v>
      </c>
      <c r="B2534" t="s">
        <v>2216</v>
      </c>
      <c r="C2534" t="s">
        <v>2238</v>
      </c>
      <c r="D2534" s="14">
        <v>1.51</v>
      </c>
      <c r="E2534" s="15">
        <v>37.5</v>
      </c>
    </row>
    <row r="2535" spans="1:5">
      <c r="A2535">
        <v>2017</v>
      </c>
      <c r="B2535" t="s">
        <v>2217</v>
      </c>
      <c r="C2535" t="s">
        <v>2238</v>
      </c>
      <c r="D2535" s="14">
        <v>6.66</v>
      </c>
      <c r="E2535" s="15">
        <v>37.5</v>
      </c>
    </row>
    <row r="2536" spans="1:5">
      <c r="A2536">
        <v>2017</v>
      </c>
      <c r="B2536" t="s">
        <v>2218</v>
      </c>
      <c r="C2536" t="s">
        <v>2238</v>
      </c>
      <c r="D2536" s="14">
        <v>7.68</v>
      </c>
      <c r="E2536" s="15">
        <v>37.5</v>
      </c>
    </row>
    <row r="2537" spans="1:5">
      <c r="A2537">
        <v>2017</v>
      </c>
      <c r="B2537" t="s">
        <v>2219</v>
      </c>
      <c r="C2537" t="s">
        <v>2238</v>
      </c>
      <c r="D2537" s="14">
        <v>3.63</v>
      </c>
      <c r="E2537" s="15">
        <v>37.5</v>
      </c>
    </row>
    <row r="2538" spans="1:5">
      <c r="A2538">
        <v>2017</v>
      </c>
      <c r="B2538" t="s">
        <v>2220</v>
      </c>
      <c r="C2538" t="s">
        <v>2238</v>
      </c>
      <c r="D2538" s="14">
        <v>2.84</v>
      </c>
      <c r="E2538" s="15">
        <v>37.5</v>
      </c>
    </row>
    <row r="2539" spans="1:5">
      <c r="A2539">
        <v>2017</v>
      </c>
      <c r="B2539" t="s">
        <v>2221</v>
      </c>
      <c r="C2539" t="s">
        <v>2238</v>
      </c>
      <c r="D2539" s="14">
        <v>7.71</v>
      </c>
      <c r="E2539" s="15">
        <v>37.5</v>
      </c>
    </row>
    <row r="2540" spans="1:5">
      <c r="A2540">
        <v>2017</v>
      </c>
      <c r="B2540" t="s">
        <v>2222</v>
      </c>
      <c r="C2540" t="s">
        <v>2238</v>
      </c>
      <c r="D2540" s="14">
        <v>2.81</v>
      </c>
      <c r="E2540" s="15">
        <v>37.5</v>
      </c>
    </row>
    <row r="2541" spans="1:5">
      <c r="A2541">
        <v>2017</v>
      </c>
      <c r="B2541" t="s">
        <v>2223</v>
      </c>
      <c r="C2541" t="s">
        <v>2238</v>
      </c>
      <c r="D2541" s="14">
        <v>0.38</v>
      </c>
      <c r="E2541" s="15">
        <v>37.5</v>
      </c>
    </row>
    <row r="2542" spans="1:5">
      <c r="A2542">
        <v>2018</v>
      </c>
      <c r="B2542" t="s">
        <v>2213</v>
      </c>
      <c r="C2542" t="s">
        <v>2238</v>
      </c>
      <c r="D2542" s="14">
        <v>1.88</v>
      </c>
      <c r="E2542" s="15">
        <v>36.799999999999997</v>
      </c>
    </row>
    <row r="2543" spans="1:5">
      <c r="A2543">
        <v>2018</v>
      </c>
      <c r="B2543" t="s">
        <v>2215</v>
      </c>
      <c r="C2543" t="s">
        <v>2238</v>
      </c>
      <c r="D2543" s="14">
        <v>2.33</v>
      </c>
      <c r="E2543" s="15">
        <v>36.799999999999997</v>
      </c>
    </row>
    <row r="2544" spans="1:5">
      <c r="A2544">
        <v>2018</v>
      </c>
      <c r="B2544" t="s">
        <v>2216</v>
      </c>
      <c r="C2544" t="s">
        <v>2238</v>
      </c>
      <c r="D2544" s="14">
        <v>1.52</v>
      </c>
      <c r="E2544" s="15">
        <v>36.799999999999997</v>
      </c>
    </row>
    <row r="2545" spans="1:5">
      <c r="A2545">
        <v>2018</v>
      </c>
      <c r="B2545" t="s">
        <v>2217</v>
      </c>
      <c r="C2545" t="s">
        <v>2238</v>
      </c>
      <c r="D2545" s="14">
        <v>6.42</v>
      </c>
      <c r="E2545" s="15">
        <v>36.799999999999997</v>
      </c>
    </row>
    <row r="2546" spans="1:5">
      <c r="A2546">
        <v>2018</v>
      </c>
      <c r="B2546" t="s">
        <v>2218</v>
      </c>
      <c r="C2546" t="s">
        <v>2238</v>
      </c>
      <c r="D2546" s="14">
        <v>7.53</v>
      </c>
      <c r="E2546" s="15">
        <v>36.799999999999997</v>
      </c>
    </row>
    <row r="2547" spans="1:5">
      <c r="A2547">
        <v>2018</v>
      </c>
      <c r="B2547" t="s">
        <v>2219</v>
      </c>
      <c r="C2547" t="s">
        <v>2238</v>
      </c>
      <c r="D2547" s="14">
        <v>3.96</v>
      </c>
      <c r="E2547" s="15">
        <v>36.799999999999997</v>
      </c>
    </row>
    <row r="2548" spans="1:5">
      <c r="A2548">
        <v>2018</v>
      </c>
      <c r="B2548" t="s">
        <v>2220</v>
      </c>
      <c r="C2548" t="s">
        <v>2238</v>
      </c>
      <c r="D2548" s="14">
        <v>2.48</v>
      </c>
      <c r="E2548" s="15">
        <v>36.799999999999997</v>
      </c>
    </row>
    <row r="2549" spans="1:5">
      <c r="A2549">
        <v>2018</v>
      </c>
      <c r="B2549" t="s">
        <v>2221</v>
      </c>
      <c r="C2549" t="s">
        <v>2238</v>
      </c>
      <c r="D2549" s="14">
        <v>8.8000000000000007</v>
      </c>
      <c r="E2549" s="15">
        <v>36.799999999999997</v>
      </c>
    </row>
    <row r="2550" spans="1:5">
      <c r="A2550">
        <v>2018</v>
      </c>
      <c r="B2550" t="s">
        <v>2222</v>
      </c>
      <c r="C2550" t="s">
        <v>2238</v>
      </c>
      <c r="D2550" s="14">
        <v>2.61</v>
      </c>
      <c r="E2550" s="15">
        <v>36.799999999999997</v>
      </c>
    </row>
    <row r="2551" spans="1:5">
      <c r="A2551">
        <v>2018</v>
      </c>
      <c r="B2551" t="s">
        <v>2223</v>
      </c>
      <c r="C2551" t="s">
        <v>2238</v>
      </c>
      <c r="D2551" s="14">
        <v>0.36</v>
      </c>
      <c r="E2551" s="15">
        <v>36.799999999999997</v>
      </c>
    </row>
    <row r="2552" spans="1:5">
      <c r="A2552">
        <v>2019</v>
      </c>
      <c r="B2552" t="s">
        <v>2213</v>
      </c>
      <c r="C2552" t="s">
        <v>2238</v>
      </c>
      <c r="D2552" s="14">
        <v>1.74</v>
      </c>
      <c r="E2552" s="15">
        <v>36</v>
      </c>
    </row>
    <row r="2553" spans="1:5">
      <c r="A2553">
        <v>2019</v>
      </c>
      <c r="B2553" t="s">
        <v>2215</v>
      </c>
      <c r="C2553" t="s">
        <v>2238</v>
      </c>
      <c r="D2553" s="14">
        <v>2.14</v>
      </c>
      <c r="E2553" s="15">
        <v>36</v>
      </c>
    </row>
    <row r="2554" spans="1:5">
      <c r="A2554">
        <v>2019</v>
      </c>
      <c r="B2554" t="s">
        <v>2216</v>
      </c>
      <c r="C2554" t="s">
        <v>2238</v>
      </c>
      <c r="D2554" s="14">
        <v>1.33</v>
      </c>
      <c r="E2554" s="15">
        <v>36</v>
      </c>
    </row>
    <row r="2555" spans="1:5">
      <c r="A2555">
        <v>2019</v>
      </c>
      <c r="B2555" t="s">
        <v>2217</v>
      </c>
      <c r="C2555" t="s">
        <v>2238</v>
      </c>
      <c r="D2555" s="14">
        <v>6.37</v>
      </c>
      <c r="E2555" s="15">
        <v>36</v>
      </c>
    </row>
    <row r="2556" spans="1:5">
      <c r="A2556">
        <v>2019</v>
      </c>
      <c r="B2556" t="s">
        <v>2218</v>
      </c>
      <c r="C2556" t="s">
        <v>2238</v>
      </c>
      <c r="D2556" s="14">
        <v>7.12</v>
      </c>
      <c r="E2556" s="15">
        <v>36</v>
      </c>
    </row>
    <row r="2557" spans="1:5">
      <c r="A2557">
        <v>2019</v>
      </c>
      <c r="B2557" t="s">
        <v>2219</v>
      </c>
      <c r="C2557" t="s">
        <v>2238</v>
      </c>
      <c r="D2557" s="14">
        <v>3.45</v>
      </c>
      <c r="E2557" s="15">
        <v>36</v>
      </c>
    </row>
    <row r="2558" spans="1:5">
      <c r="A2558">
        <v>2019</v>
      </c>
      <c r="B2558" t="s">
        <v>2220</v>
      </c>
      <c r="C2558" t="s">
        <v>2238</v>
      </c>
      <c r="D2558" s="14">
        <v>2.6</v>
      </c>
      <c r="E2558" s="15">
        <v>36</v>
      </c>
    </row>
    <row r="2559" spans="1:5">
      <c r="A2559">
        <v>2019</v>
      </c>
      <c r="B2559" t="s">
        <v>2221</v>
      </c>
      <c r="C2559" t="s">
        <v>2238</v>
      </c>
      <c r="D2559" s="14">
        <v>7.85</v>
      </c>
      <c r="E2559" s="15">
        <v>36</v>
      </c>
    </row>
    <row r="2560" spans="1:5">
      <c r="A2560">
        <v>2019</v>
      </c>
      <c r="B2560" t="s">
        <v>2222</v>
      </c>
      <c r="C2560" t="s">
        <v>2238</v>
      </c>
      <c r="D2560" s="14">
        <v>2.46</v>
      </c>
      <c r="E2560" s="15">
        <v>36</v>
      </c>
    </row>
    <row r="2561" spans="1:5">
      <c r="A2561">
        <v>2019</v>
      </c>
      <c r="B2561" t="s">
        <v>2223</v>
      </c>
      <c r="C2561" t="s">
        <v>2238</v>
      </c>
      <c r="D2561" s="14">
        <v>0.36</v>
      </c>
      <c r="E2561" s="15">
        <v>36</v>
      </c>
    </row>
    <row r="2562" spans="1:5">
      <c r="A2562">
        <v>2020</v>
      </c>
      <c r="B2562" t="s">
        <v>2213</v>
      </c>
      <c r="C2562" t="s">
        <v>2238</v>
      </c>
      <c r="D2562" s="14">
        <v>1.8</v>
      </c>
      <c r="E2562" s="15">
        <v>35.5</v>
      </c>
    </row>
    <row r="2563" spans="1:5">
      <c r="A2563">
        <v>2020</v>
      </c>
      <c r="B2563" t="s">
        <v>2215</v>
      </c>
      <c r="C2563" t="s">
        <v>2238</v>
      </c>
      <c r="D2563" s="14">
        <v>2.14</v>
      </c>
      <c r="E2563" s="15">
        <v>35.5</v>
      </c>
    </row>
    <row r="2564" spans="1:5">
      <c r="A2564">
        <v>2020</v>
      </c>
      <c r="B2564" t="s">
        <v>2216</v>
      </c>
      <c r="C2564" t="s">
        <v>2238</v>
      </c>
      <c r="D2564" s="14">
        <v>1.38</v>
      </c>
      <c r="E2564" s="15">
        <v>35.5</v>
      </c>
    </row>
    <row r="2565" spans="1:5">
      <c r="A2565">
        <v>2020</v>
      </c>
      <c r="B2565" t="s">
        <v>2217</v>
      </c>
      <c r="C2565" t="s">
        <v>2238</v>
      </c>
      <c r="D2565" s="14">
        <v>6.42</v>
      </c>
      <c r="E2565" s="15">
        <v>35.5</v>
      </c>
    </row>
    <row r="2566" spans="1:5">
      <c r="A2566">
        <v>2020</v>
      </c>
      <c r="B2566" t="s">
        <v>2218</v>
      </c>
      <c r="C2566" t="s">
        <v>2238</v>
      </c>
      <c r="D2566" s="14">
        <v>7.09</v>
      </c>
      <c r="E2566" s="15">
        <v>35.5</v>
      </c>
    </row>
    <row r="2567" spans="1:5">
      <c r="A2567">
        <v>2020</v>
      </c>
      <c r="B2567" t="s">
        <v>2219</v>
      </c>
      <c r="C2567" t="s">
        <v>2238</v>
      </c>
      <c r="D2567" s="14">
        <v>3.39</v>
      </c>
      <c r="E2567" s="15">
        <v>35.5</v>
      </c>
    </row>
    <row r="2568" spans="1:5">
      <c r="A2568">
        <v>2020</v>
      </c>
      <c r="B2568" t="s">
        <v>2220</v>
      </c>
      <c r="C2568" t="s">
        <v>2238</v>
      </c>
      <c r="D2568" s="14">
        <v>2.46</v>
      </c>
      <c r="E2568" s="15">
        <v>35.5</v>
      </c>
    </row>
    <row r="2569" spans="1:5">
      <c r="A2569">
        <v>2020</v>
      </c>
      <c r="B2569" t="s">
        <v>2221</v>
      </c>
      <c r="C2569" t="s">
        <v>2238</v>
      </c>
      <c r="D2569" s="14">
        <v>7.99</v>
      </c>
      <c r="E2569" s="15">
        <v>35.5</v>
      </c>
    </row>
    <row r="2570" spans="1:5">
      <c r="A2570">
        <v>2020</v>
      </c>
      <c r="B2570" t="s">
        <v>2222</v>
      </c>
      <c r="C2570" t="s">
        <v>2238</v>
      </c>
      <c r="D2570" s="14">
        <v>2.54</v>
      </c>
      <c r="E2570" s="15">
        <v>35.5</v>
      </c>
    </row>
    <row r="2571" spans="1:5">
      <c r="A2571">
        <v>2020</v>
      </c>
      <c r="B2571" t="s">
        <v>2223</v>
      </c>
      <c r="C2571" t="s">
        <v>2238</v>
      </c>
      <c r="D2571" s="14">
        <v>0.35</v>
      </c>
      <c r="E2571" s="15">
        <v>35.5</v>
      </c>
    </row>
    <row r="2572" spans="1:5">
      <c r="A2572">
        <v>2021</v>
      </c>
      <c r="B2572" t="s">
        <v>2213</v>
      </c>
      <c r="C2572" t="s">
        <v>2238</v>
      </c>
      <c r="D2572" s="14">
        <v>1.8</v>
      </c>
      <c r="E2572" s="15">
        <v>35</v>
      </c>
    </row>
    <row r="2573" spans="1:5">
      <c r="A2573">
        <v>2021</v>
      </c>
      <c r="B2573" t="s">
        <v>2215</v>
      </c>
      <c r="C2573" t="s">
        <v>2238</v>
      </c>
      <c r="D2573" s="14">
        <v>2.02</v>
      </c>
      <c r="E2573" s="15">
        <v>35</v>
      </c>
    </row>
    <row r="2574" spans="1:5">
      <c r="A2574">
        <v>2021</v>
      </c>
      <c r="B2574" t="s">
        <v>2216</v>
      </c>
      <c r="C2574" t="s">
        <v>2238</v>
      </c>
      <c r="D2574" s="14">
        <v>1.35</v>
      </c>
      <c r="E2574" s="15">
        <v>35</v>
      </c>
    </row>
    <row r="2575" spans="1:5">
      <c r="A2575">
        <v>2021</v>
      </c>
      <c r="B2575" t="s">
        <v>2217</v>
      </c>
      <c r="C2575" t="s">
        <v>2238</v>
      </c>
      <c r="D2575" s="14">
        <v>6.24</v>
      </c>
      <c r="E2575" s="15">
        <v>35</v>
      </c>
    </row>
    <row r="2576" spans="1:5">
      <c r="A2576">
        <v>2021</v>
      </c>
      <c r="B2576" t="s">
        <v>2218</v>
      </c>
      <c r="C2576" t="s">
        <v>2238</v>
      </c>
      <c r="D2576" s="14">
        <v>7.43</v>
      </c>
      <c r="E2576" s="15">
        <v>35</v>
      </c>
    </row>
    <row r="2577" spans="1:5">
      <c r="A2577">
        <v>2021</v>
      </c>
      <c r="B2577" t="s">
        <v>2219</v>
      </c>
      <c r="C2577" t="s">
        <v>2238</v>
      </c>
      <c r="D2577" s="14">
        <v>3.52</v>
      </c>
      <c r="E2577" s="15">
        <v>35</v>
      </c>
    </row>
    <row r="2578" spans="1:5">
      <c r="A2578">
        <v>2021</v>
      </c>
      <c r="B2578" t="s">
        <v>2220</v>
      </c>
      <c r="C2578" t="s">
        <v>2238</v>
      </c>
      <c r="D2578" s="14">
        <v>2.42</v>
      </c>
      <c r="E2578" s="15">
        <v>35</v>
      </c>
    </row>
    <row r="2579" spans="1:5">
      <c r="A2579">
        <v>2021</v>
      </c>
      <c r="B2579" t="s">
        <v>2221</v>
      </c>
      <c r="C2579" t="s">
        <v>2238</v>
      </c>
      <c r="D2579" s="14">
        <v>8.19</v>
      </c>
      <c r="E2579" s="15">
        <v>35</v>
      </c>
    </row>
    <row r="2580" spans="1:5">
      <c r="A2580">
        <v>2021</v>
      </c>
      <c r="B2580" t="s">
        <v>2222</v>
      </c>
      <c r="C2580" t="s">
        <v>2238</v>
      </c>
      <c r="D2580" s="14">
        <v>2.42</v>
      </c>
      <c r="E2580" s="15">
        <v>35</v>
      </c>
    </row>
    <row r="2581" spans="1:5">
      <c r="A2581">
        <v>2021</v>
      </c>
      <c r="B2581" t="s">
        <v>2223</v>
      </c>
      <c r="C2581" t="s">
        <v>2238</v>
      </c>
      <c r="D2581" s="14">
        <v>0.38</v>
      </c>
      <c r="E2581" s="15">
        <v>35</v>
      </c>
    </row>
    <row r="2582" spans="1:5">
      <c r="A2582">
        <v>2022</v>
      </c>
      <c r="B2582" t="s">
        <v>2213</v>
      </c>
      <c r="C2582" t="s">
        <v>2238</v>
      </c>
      <c r="D2582" s="14">
        <v>1.71</v>
      </c>
      <c r="E2582" s="15">
        <v>35</v>
      </c>
    </row>
    <row r="2583" spans="1:5">
      <c r="A2583">
        <v>2022</v>
      </c>
      <c r="B2583" t="s">
        <v>2215</v>
      </c>
      <c r="C2583" t="s">
        <v>2238</v>
      </c>
      <c r="D2583" s="14">
        <v>2.02</v>
      </c>
      <c r="E2583" s="15">
        <v>35</v>
      </c>
    </row>
    <row r="2584" spans="1:5">
      <c r="A2584">
        <v>2022</v>
      </c>
      <c r="B2584" t="s">
        <v>2216</v>
      </c>
      <c r="C2584" t="s">
        <v>2238</v>
      </c>
      <c r="D2584" s="14">
        <v>1.39</v>
      </c>
      <c r="E2584" s="15">
        <v>35</v>
      </c>
    </row>
    <row r="2585" spans="1:5">
      <c r="A2585">
        <v>2022</v>
      </c>
      <c r="B2585" t="s">
        <v>2217</v>
      </c>
      <c r="C2585" t="s">
        <v>2238</v>
      </c>
      <c r="D2585" s="14">
        <v>6.24</v>
      </c>
      <c r="E2585" s="15">
        <v>35</v>
      </c>
    </row>
    <row r="2586" spans="1:5">
      <c r="A2586">
        <v>2022</v>
      </c>
      <c r="B2586" t="s">
        <v>2218</v>
      </c>
      <c r="C2586" t="s">
        <v>2238</v>
      </c>
      <c r="D2586" s="14">
        <v>6.78</v>
      </c>
      <c r="E2586" s="15">
        <v>35</v>
      </c>
    </row>
    <row r="2587" spans="1:5">
      <c r="A2587">
        <v>2022</v>
      </c>
      <c r="B2587" t="s">
        <v>2219</v>
      </c>
      <c r="C2587" t="s">
        <v>2238</v>
      </c>
      <c r="D2587" s="14">
        <v>3.88</v>
      </c>
      <c r="E2587" s="15">
        <v>35</v>
      </c>
    </row>
    <row r="2588" spans="1:5">
      <c r="A2588">
        <v>2022</v>
      </c>
      <c r="B2588" t="s">
        <v>2220</v>
      </c>
      <c r="C2588" t="s">
        <v>2238</v>
      </c>
      <c r="D2588" s="14">
        <v>2.48</v>
      </c>
      <c r="E2588" s="15">
        <v>35</v>
      </c>
    </row>
    <row r="2589" spans="1:5">
      <c r="A2589">
        <v>2022</v>
      </c>
      <c r="B2589" t="s">
        <v>2221</v>
      </c>
      <c r="C2589" t="s">
        <v>2238</v>
      </c>
      <c r="D2589" s="14">
        <v>7.84</v>
      </c>
      <c r="E2589" s="15">
        <v>35</v>
      </c>
    </row>
    <row r="2590" spans="1:5">
      <c r="A2590">
        <v>2022</v>
      </c>
      <c r="B2590" t="s">
        <v>2222</v>
      </c>
      <c r="C2590" t="s">
        <v>2238</v>
      </c>
      <c r="D2590" s="14">
        <v>2.41</v>
      </c>
      <c r="E2590" s="15">
        <v>35</v>
      </c>
    </row>
    <row r="2591" spans="1:5">
      <c r="A2591">
        <v>2022</v>
      </c>
      <c r="B2591" t="s">
        <v>2223</v>
      </c>
      <c r="C2591" t="s">
        <v>2238</v>
      </c>
      <c r="D2591" s="14">
        <v>0.34</v>
      </c>
      <c r="E2591" s="15">
        <v>35</v>
      </c>
    </row>
    <row r="2592" spans="1:5">
      <c r="A2592">
        <v>2023</v>
      </c>
      <c r="B2592" t="s">
        <v>2213</v>
      </c>
      <c r="C2592" t="s">
        <v>2238</v>
      </c>
      <c r="D2592" s="14">
        <v>1.82</v>
      </c>
      <c r="E2592" s="15">
        <v>35</v>
      </c>
    </row>
    <row r="2593" spans="1:5">
      <c r="A2593">
        <v>2023</v>
      </c>
      <c r="B2593" t="s">
        <v>2215</v>
      </c>
      <c r="C2593" t="s">
        <v>2238</v>
      </c>
      <c r="D2593" s="14">
        <v>1.96</v>
      </c>
      <c r="E2593" s="15">
        <v>35</v>
      </c>
    </row>
    <row r="2594" spans="1:5">
      <c r="A2594">
        <v>2023</v>
      </c>
      <c r="B2594" t="s">
        <v>2216</v>
      </c>
      <c r="C2594" t="s">
        <v>2238</v>
      </c>
      <c r="D2594" s="14">
        <v>1.34</v>
      </c>
      <c r="E2594" s="15">
        <v>35</v>
      </c>
    </row>
    <row r="2595" spans="1:5">
      <c r="A2595">
        <v>2023</v>
      </c>
      <c r="B2595" t="s">
        <v>2217</v>
      </c>
      <c r="C2595" t="s">
        <v>2238</v>
      </c>
      <c r="D2595" s="14">
        <v>6.24</v>
      </c>
      <c r="E2595" s="15">
        <v>35</v>
      </c>
    </row>
    <row r="2596" spans="1:5">
      <c r="A2596">
        <v>2023</v>
      </c>
      <c r="B2596" t="s">
        <v>2218</v>
      </c>
      <c r="C2596" t="s">
        <v>2238</v>
      </c>
      <c r="D2596" s="14">
        <v>7.39</v>
      </c>
      <c r="E2596" s="15">
        <v>35</v>
      </c>
    </row>
    <row r="2597" spans="1:5">
      <c r="A2597">
        <v>2023</v>
      </c>
      <c r="B2597" t="s">
        <v>2219</v>
      </c>
      <c r="C2597" t="s">
        <v>2238</v>
      </c>
      <c r="D2597" s="14">
        <v>3.45</v>
      </c>
      <c r="E2597" s="15">
        <v>35</v>
      </c>
    </row>
    <row r="2598" spans="1:5">
      <c r="A2598">
        <v>2023</v>
      </c>
      <c r="B2598" t="s">
        <v>2220</v>
      </c>
      <c r="C2598" t="s">
        <v>2238</v>
      </c>
      <c r="D2598" s="14">
        <v>2.4900000000000002</v>
      </c>
      <c r="E2598" s="15">
        <v>35</v>
      </c>
    </row>
    <row r="2599" spans="1:5">
      <c r="A2599">
        <v>2023</v>
      </c>
      <c r="B2599" t="s">
        <v>2221</v>
      </c>
      <c r="C2599" t="s">
        <v>2238</v>
      </c>
      <c r="D2599" s="14">
        <v>7.71</v>
      </c>
      <c r="E2599" s="15">
        <v>35</v>
      </c>
    </row>
    <row r="2600" spans="1:5">
      <c r="A2600">
        <v>2023</v>
      </c>
      <c r="B2600" t="s">
        <v>2222</v>
      </c>
      <c r="C2600" t="s">
        <v>2238</v>
      </c>
      <c r="D2600" s="14">
        <v>2.58</v>
      </c>
      <c r="E2600" s="15">
        <v>35</v>
      </c>
    </row>
    <row r="2601" spans="1:5">
      <c r="A2601">
        <v>2023</v>
      </c>
      <c r="B2601" t="s">
        <v>2223</v>
      </c>
      <c r="C2601" t="s">
        <v>2238</v>
      </c>
      <c r="D2601" s="14">
        <v>0.33</v>
      </c>
      <c r="E2601" s="15">
        <v>35</v>
      </c>
    </row>
    <row r="2602" spans="1:5">
      <c r="A2602">
        <v>2024</v>
      </c>
      <c r="B2602" t="s">
        <v>2213</v>
      </c>
      <c r="C2602" t="s">
        <v>2238</v>
      </c>
      <c r="D2602" s="14">
        <v>1.8</v>
      </c>
      <c r="E2602" s="15">
        <v>35</v>
      </c>
    </row>
    <row r="2603" spans="1:5">
      <c r="A2603">
        <v>2024</v>
      </c>
      <c r="B2603" t="s">
        <v>2215</v>
      </c>
      <c r="C2603" t="s">
        <v>2238</v>
      </c>
      <c r="D2603" s="14">
        <v>2.08</v>
      </c>
      <c r="E2603" s="15">
        <v>35</v>
      </c>
    </row>
    <row r="2604" spans="1:5">
      <c r="A2604">
        <v>2024</v>
      </c>
      <c r="B2604" t="s">
        <v>2216</v>
      </c>
      <c r="C2604" t="s">
        <v>2238</v>
      </c>
      <c r="D2604" s="14">
        <v>1.45</v>
      </c>
      <c r="E2604" s="15">
        <v>35</v>
      </c>
    </row>
    <row r="2605" spans="1:5">
      <c r="A2605">
        <v>2024</v>
      </c>
      <c r="B2605" t="s">
        <v>2217</v>
      </c>
      <c r="C2605" t="s">
        <v>2238</v>
      </c>
      <c r="D2605" s="14">
        <v>6.1</v>
      </c>
      <c r="E2605" s="15">
        <v>35</v>
      </c>
    </row>
    <row r="2606" spans="1:5">
      <c r="A2606">
        <v>2024</v>
      </c>
      <c r="B2606" t="s">
        <v>2218</v>
      </c>
      <c r="C2606" t="s">
        <v>2238</v>
      </c>
      <c r="D2606" s="14">
        <v>7.01</v>
      </c>
      <c r="E2606" s="15">
        <v>35</v>
      </c>
    </row>
    <row r="2607" spans="1:5">
      <c r="A2607">
        <v>2024</v>
      </c>
      <c r="B2607" t="s">
        <v>2219</v>
      </c>
      <c r="C2607" t="s">
        <v>2238</v>
      </c>
      <c r="D2607" s="14">
        <v>3.49</v>
      </c>
      <c r="E2607" s="15">
        <v>35</v>
      </c>
    </row>
    <row r="2608" spans="1:5">
      <c r="A2608">
        <v>2024</v>
      </c>
      <c r="B2608" t="s">
        <v>2220</v>
      </c>
      <c r="C2608" t="s">
        <v>2238</v>
      </c>
      <c r="D2608" s="14">
        <v>2.35</v>
      </c>
      <c r="E2608" s="15">
        <v>35</v>
      </c>
    </row>
    <row r="2609" spans="1:5">
      <c r="A2609">
        <v>2024</v>
      </c>
      <c r="B2609" t="s">
        <v>2221</v>
      </c>
      <c r="C2609" t="s">
        <v>2238</v>
      </c>
      <c r="D2609" s="14">
        <v>7.32</v>
      </c>
      <c r="E2609" s="15">
        <v>35</v>
      </c>
    </row>
    <row r="2610" spans="1:5">
      <c r="A2610">
        <v>2024</v>
      </c>
      <c r="B2610" t="s">
        <v>2222</v>
      </c>
      <c r="C2610" t="s">
        <v>2238</v>
      </c>
      <c r="D2610" s="14">
        <v>2.39</v>
      </c>
      <c r="E2610" s="15">
        <v>35</v>
      </c>
    </row>
    <row r="2611" spans="1:5">
      <c r="A2611">
        <v>2024</v>
      </c>
      <c r="B2611" t="s">
        <v>2223</v>
      </c>
      <c r="C2611" t="s">
        <v>2238</v>
      </c>
      <c r="D2611" s="14">
        <v>0.35</v>
      </c>
      <c r="E2611" s="15">
        <v>35</v>
      </c>
    </row>
    <row r="2612" spans="1:5">
      <c r="A2612">
        <v>2025</v>
      </c>
      <c r="B2612" t="s">
        <v>2213</v>
      </c>
      <c r="C2612" t="s">
        <v>2238</v>
      </c>
      <c r="D2612" s="14">
        <v>1.7</v>
      </c>
      <c r="E2612" s="15">
        <v>35</v>
      </c>
    </row>
    <row r="2613" spans="1:5">
      <c r="A2613">
        <v>2025</v>
      </c>
      <c r="B2613" t="s">
        <v>2215</v>
      </c>
      <c r="C2613" t="s">
        <v>2238</v>
      </c>
      <c r="D2613" s="14">
        <v>2.0699999999999998</v>
      </c>
      <c r="E2613" s="15">
        <v>35</v>
      </c>
    </row>
    <row r="2614" spans="1:5">
      <c r="A2614">
        <v>2025</v>
      </c>
      <c r="B2614" t="s">
        <v>2216</v>
      </c>
      <c r="C2614" t="s">
        <v>2238</v>
      </c>
      <c r="D2614" s="14">
        <v>1.3</v>
      </c>
      <c r="E2614" s="15">
        <v>35</v>
      </c>
    </row>
    <row r="2615" spans="1:5">
      <c r="A2615">
        <v>2025</v>
      </c>
      <c r="B2615" t="s">
        <v>2217</v>
      </c>
      <c r="C2615" t="s">
        <v>2238</v>
      </c>
      <c r="D2615" s="14">
        <v>6.21</v>
      </c>
      <c r="E2615" s="15">
        <v>35</v>
      </c>
    </row>
    <row r="2616" spans="1:5">
      <c r="A2616">
        <v>2025</v>
      </c>
      <c r="B2616" t="s">
        <v>2218</v>
      </c>
      <c r="C2616" t="s">
        <v>2238</v>
      </c>
      <c r="D2616" s="14">
        <v>7.29</v>
      </c>
      <c r="E2616" s="15">
        <v>35</v>
      </c>
    </row>
    <row r="2617" spans="1:5">
      <c r="A2617">
        <v>2025</v>
      </c>
      <c r="B2617" t="s">
        <v>2219</v>
      </c>
      <c r="C2617" t="s">
        <v>2238</v>
      </c>
      <c r="D2617" s="14">
        <v>3.6</v>
      </c>
      <c r="E2617" s="15">
        <v>35</v>
      </c>
    </row>
    <row r="2618" spans="1:5">
      <c r="A2618">
        <v>2025</v>
      </c>
      <c r="B2618" t="s">
        <v>2220</v>
      </c>
      <c r="C2618" t="s">
        <v>2238</v>
      </c>
      <c r="D2618" s="14">
        <v>2.44</v>
      </c>
      <c r="E2618" s="15">
        <v>35</v>
      </c>
    </row>
    <row r="2619" spans="1:5">
      <c r="A2619">
        <v>2025</v>
      </c>
      <c r="B2619" t="s">
        <v>2221</v>
      </c>
      <c r="C2619" t="s">
        <v>2238</v>
      </c>
      <c r="D2619" s="14">
        <v>7.78</v>
      </c>
      <c r="E2619" s="15">
        <v>35</v>
      </c>
    </row>
    <row r="2620" spans="1:5">
      <c r="A2620">
        <v>2025</v>
      </c>
      <c r="B2620" t="s">
        <v>2222</v>
      </c>
      <c r="C2620" t="s">
        <v>2238</v>
      </c>
      <c r="D2620" s="14">
        <v>2.37</v>
      </c>
      <c r="E2620" s="15">
        <v>35</v>
      </c>
    </row>
    <row r="2621" spans="1:5">
      <c r="A2621">
        <v>2025</v>
      </c>
      <c r="B2621" t="s">
        <v>2223</v>
      </c>
      <c r="C2621" t="s">
        <v>2238</v>
      </c>
      <c r="D2621" s="14">
        <v>0.37</v>
      </c>
      <c r="E2621" s="15">
        <v>35</v>
      </c>
    </row>
    <row r="2622" spans="1:5">
      <c r="A2622">
        <v>2026</v>
      </c>
      <c r="B2622" t="s">
        <v>2213</v>
      </c>
      <c r="C2622" t="s">
        <v>2238</v>
      </c>
      <c r="D2622" s="14">
        <v>1.9</v>
      </c>
      <c r="E2622" s="15">
        <v>35</v>
      </c>
    </row>
    <row r="2623" spans="1:5">
      <c r="A2623">
        <v>2026</v>
      </c>
      <c r="B2623" t="s">
        <v>2215</v>
      </c>
      <c r="C2623" t="s">
        <v>2238</v>
      </c>
      <c r="D2623" s="14">
        <v>2.11</v>
      </c>
      <c r="E2623" s="15">
        <v>35</v>
      </c>
    </row>
    <row r="2624" spans="1:5">
      <c r="A2624">
        <v>2026</v>
      </c>
      <c r="B2624" t="s">
        <v>2216</v>
      </c>
      <c r="C2624" t="s">
        <v>2238</v>
      </c>
      <c r="D2624" s="14">
        <v>1.55</v>
      </c>
      <c r="E2624" s="15">
        <v>35</v>
      </c>
    </row>
    <row r="2625" spans="1:5">
      <c r="A2625">
        <v>2026</v>
      </c>
      <c r="B2625" t="s">
        <v>2217</v>
      </c>
      <c r="C2625" t="s">
        <v>2238</v>
      </c>
      <c r="D2625" s="14">
        <v>6.13</v>
      </c>
      <c r="E2625" s="15">
        <v>35</v>
      </c>
    </row>
    <row r="2626" spans="1:5">
      <c r="A2626">
        <v>2026</v>
      </c>
      <c r="B2626" t="s">
        <v>2218</v>
      </c>
      <c r="C2626" t="s">
        <v>2238</v>
      </c>
      <c r="D2626" s="14">
        <v>6.66</v>
      </c>
      <c r="E2626" s="15">
        <v>35</v>
      </c>
    </row>
    <row r="2627" spans="1:5">
      <c r="A2627">
        <v>2026</v>
      </c>
      <c r="B2627" t="s">
        <v>2219</v>
      </c>
      <c r="C2627" t="s">
        <v>2238</v>
      </c>
      <c r="D2627" s="14">
        <v>3.4</v>
      </c>
      <c r="E2627" s="15">
        <v>35</v>
      </c>
    </row>
    <row r="2628" spans="1:5">
      <c r="A2628">
        <v>2026</v>
      </c>
      <c r="B2628" t="s">
        <v>2220</v>
      </c>
      <c r="C2628" t="s">
        <v>2238</v>
      </c>
      <c r="D2628" s="14">
        <v>2.4300000000000002</v>
      </c>
      <c r="E2628" s="15">
        <v>35</v>
      </c>
    </row>
    <row r="2629" spans="1:5">
      <c r="A2629">
        <v>2026</v>
      </c>
      <c r="B2629" t="s">
        <v>2221</v>
      </c>
      <c r="C2629" t="s">
        <v>2238</v>
      </c>
      <c r="D2629" s="14">
        <v>8.4499999999999993</v>
      </c>
      <c r="E2629" s="15">
        <v>35</v>
      </c>
    </row>
    <row r="2630" spans="1:5">
      <c r="A2630">
        <v>2026</v>
      </c>
      <c r="B2630" t="s">
        <v>2222</v>
      </c>
      <c r="C2630" t="s">
        <v>2238</v>
      </c>
      <c r="D2630" s="14">
        <v>2.42</v>
      </c>
      <c r="E2630" s="15">
        <v>35</v>
      </c>
    </row>
    <row r="2631" spans="1:5">
      <c r="A2631">
        <v>2026</v>
      </c>
      <c r="B2631" t="s">
        <v>2223</v>
      </c>
      <c r="C2631" t="s">
        <v>2238</v>
      </c>
      <c r="D2631" s="14">
        <v>0.34</v>
      </c>
      <c r="E2631" s="15">
        <v>35</v>
      </c>
    </row>
    <row r="2632" spans="1:5">
      <c r="A2632">
        <v>2010</v>
      </c>
      <c r="B2632" t="s">
        <v>2213</v>
      </c>
      <c r="C2632" t="s">
        <v>2239</v>
      </c>
      <c r="D2632" s="14">
        <v>1.56</v>
      </c>
      <c r="E2632" s="15">
        <v>18</v>
      </c>
    </row>
    <row r="2633" spans="1:5">
      <c r="A2633">
        <v>2010</v>
      </c>
      <c r="B2633" t="s">
        <v>2215</v>
      </c>
      <c r="C2633" t="s">
        <v>2239</v>
      </c>
      <c r="D2633" s="14">
        <v>2.0299999999999998</v>
      </c>
      <c r="E2633" s="15">
        <v>18</v>
      </c>
    </row>
    <row r="2634" spans="1:5">
      <c r="A2634">
        <v>2010</v>
      </c>
      <c r="B2634" t="s">
        <v>2216</v>
      </c>
      <c r="C2634" t="s">
        <v>2239</v>
      </c>
      <c r="D2634" s="14">
        <v>0.75</v>
      </c>
      <c r="E2634" s="15">
        <v>18</v>
      </c>
    </row>
    <row r="2635" spans="1:5">
      <c r="A2635">
        <v>2010</v>
      </c>
      <c r="B2635" t="s">
        <v>2217</v>
      </c>
      <c r="C2635" t="s">
        <v>2239</v>
      </c>
      <c r="D2635" s="14">
        <v>3.18</v>
      </c>
      <c r="E2635" s="15">
        <v>18</v>
      </c>
    </row>
    <row r="2636" spans="1:5">
      <c r="A2636">
        <v>2010</v>
      </c>
      <c r="B2636" t="s">
        <v>2218</v>
      </c>
      <c r="C2636" t="s">
        <v>2239</v>
      </c>
      <c r="D2636" s="14">
        <v>3.34</v>
      </c>
      <c r="E2636" s="15">
        <v>18</v>
      </c>
    </row>
    <row r="2637" spans="1:5">
      <c r="A2637">
        <v>2010</v>
      </c>
      <c r="B2637" t="s">
        <v>2219</v>
      </c>
      <c r="C2637" t="s">
        <v>2239</v>
      </c>
      <c r="D2637" s="14">
        <v>1.72</v>
      </c>
      <c r="E2637" s="15">
        <v>18</v>
      </c>
    </row>
    <row r="2638" spans="1:5">
      <c r="A2638">
        <v>2010</v>
      </c>
      <c r="B2638" t="s">
        <v>2220</v>
      </c>
      <c r="C2638" t="s">
        <v>2239</v>
      </c>
      <c r="D2638" s="14">
        <v>1.35</v>
      </c>
      <c r="E2638" s="15">
        <v>18</v>
      </c>
    </row>
    <row r="2639" spans="1:5">
      <c r="A2639">
        <v>2010</v>
      </c>
      <c r="B2639" t="s">
        <v>2221</v>
      </c>
      <c r="C2639" t="s">
        <v>2239</v>
      </c>
      <c r="D2639" s="14">
        <v>2.44</v>
      </c>
      <c r="E2639" s="15">
        <v>18</v>
      </c>
    </row>
    <row r="2640" spans="1:5">
      <c r="A2640">
        <v>2010</v>
      </c>
      <c r="B2640" t="s">
        <v>2222</v>
      </c>
      <c r="C2640" t="s">
        <v>2239</v>
      </c>
      <c r="D2640" s="14">
        <v>1.26</v>
      </c>
      <c r="E2640" s="15">
        <v>18</v>
      </c>
    </row>
    <row r="2641" spans="1:5">
      <c r="A2641">
        <v>2010</v>
      </c>
      <c r="B2641" t="s">
        <v>2223</v>
      </c>
      <c r="C2641" t="s">
        <v>2239</v>
      </c>
      <c r="D2641" s="14">
        <v>0.19</v>
      </c>
      <c r="E2641" s="15">
        <v>18</v>
      </c>
    </row>
    <row r="2642" spans="1:5">
      <c r="A2642">
        <v>2011</v>
      </c>
      <c r="B2642" t="s">
        <v>2213</v>
      </c>
      <c r="C2642" t="s">
        <v>2239</v>
      </c>
      <c r="D2642" s="14">
        <v>1.87</v>
      </c>
      <c r="E2642" s="15">
        <v>19.2</v>
      </c>
    </row>
    <row r="2643" spans="1:5">
      <c r="A2643">
        <v>2011</v>
      </c>
      <c r="B2643" t="s">
        <v>2215</v>
      </c>
      <c r="C2643" t="s">
        <v>2239</v>
      </c>
      <c r="D2643" s="14">
        <v>2.0699999999999998</v>
      </c>
      <c r="E2643" s="15">
        <v>19.2</v>
      </c>
    </row>
    <row r="2644" spans="1:5">
      <c r="A2644">
        <v>2011</v>
      </c>
      <c r="B2644" t="s">
        <v>2216</v>
      </c>
      <c r="C2644" t="s">
        <v>2239</v>
      </c>
      <c r="D2644" s="14">
        <v>0.77</v>
      </c>
      <c r="E2644" s="15">
        <v>19.2</v>
      </c>
    </row>
    <row r="2645" spans="1:5">
      <c r="A2645">
        <v>2011</v>
      </c>
      <c r="B2645" t="s">
        <v>2217</v>
      </c>
      <c r="C2645" t="s">
        <v>2239</v>
      </c>
      <c r="D2645" s="14">
        <v>3.38</v>
      </c>
      <c r="E2645" s="15">
        <v>19.2</v>
      </c>
    </row>
    <row r="2646" spans="1:5">
      <c r="A2646">
        <v>2011</v>
      </c>
      <c r="B2646" t="s">
        <v>2218</v>
      </c>
      <c r="C2646" t="s">
        <v>2239</v>
      </c>
      <c r="D2646" s="14">
        <v>3.8</v>
      </c>
      <c r="E2646" s="15">
        <v>19.2</v>
      </c>
    </row>
    <row r="2647" spans="1:5">
      <c r="A2647">
        <v>2011</v>
      </c>
      <c r="B2647" t="s">
        <v>2219</v>
      </c>
      <c r="C2647" t="s">
        <v>2239</v>
      </c>
      <c r="D2647" s="14">
        <v>1.81</v>
      </c>
      <c r="E2647" s="15">
        <v>19.2</v>
      </c>
    </row>
    <row r="2648" spans="1:5">
      <c r="A2648">
        <v>2011</v>
      </c>
      <c r="B2648" t="s">
        <v>2220</v>
      </c>
      <c r="C2648" t="s">
        <v>2239</v>
      </c>
      <c r="D2648" s="14">
        <v>1.27</v>
      </c>
      <c r="E2648" s="15">
        <v>19.2</v>
      </c>
    </row>
    <row r="2649" spans="1:5">
      <c r="A2649">
        <v>2011</v>
      </c>
      <c r="B2649" t="s">
        <v>2221</v>
      </c>
      <c r="C2649" t="s">
        <v>2239</v>
      </c>
      <c r="D2649" s="14">
        <v>2.37</v>
      </c>
      <c r="E2649" s="15">
        <v>19.2</v>
      </c>
    </row>
    <row r="2650" spans="1:5">
      <c r="A2650">
        <v>2011</v>
      </c>
      <c r="B2650" t="s">
        <v>2222</v>
      </c>
      <c r="C2650" t="s">
        <v>2239</v>
      </c>
      <c r="D2650" s="14">
        <v>1.4</v>
      </c>
      <c r="E2650" s="15">
        <v>19.2</v>
      </c>
    </row>
    <row r="2651" spans="1:5">
      <c r="A2651">
        <v>2011</v>
      </c>
      <c r="B2651" t="s">
        <v>2223</v>
      </c>
      <c r="C2651" t="s">
        <v>2239</v>
      </c>
      <c r="D2651" s="14">
        <v>0.18</v>
      </c>
      <c r="E2651" s="15">
        <v>19.2</v>
      </c>
    </row>
    <row r="2652" spans="1:5">
      <c r="A2652">
        <v>2012</v>
      </c>
      <c r="B2652" t="s">
        <v>2213</v>
      </c>
      <c r="C2652" t="s">
        <v>2239</v>
      </c>
      <c r="D2652" s="14">
        <v>1.98</v>
      </c>
      <c r="E2652" s="15">
        <v>20.399999999999999</v>
      </c>
    </row>
    <row r="2653" spans="1:5">
      <c r="A2653">
        <v>2012</v>
      </c>
      <c r="B2653" t="s">
        <v>2215</v>
      </c>
      <c r="C2653" t="s">
        <v>2239</v>
      </c>
      <c r="D2653" s="14">
        <v>2.14</v>
      </c>
      <c r="E2653" s="15">
        <v>20.399999999999999</v>
      </c>
    </row>
    <row r="2654" spans="1:5">
      <c r="A2654">
        <v>2012</v>
      </c>
      <c r="B2654" t="s">
        <v>2216</v>
      </c>
      <c r="C2654" t="s">
        <v>2239</v>
      </c>
      <c r="D2654" s="14">
        <v>0.87</v>
      </c>
      <c r="E2654" s="15">
        <v>20.399999999999999</v>
      </c>
    </row>
    <row r="2655" spans="1:5">
      <c r="A2655">
        <v>2012</v>
      </c>
      <c r="B2655" t="s">
        <v>2217</v>
      </c>
      <c r="C2655" t="s">
        <v>2239</v>
      </c>
      <c r="D2655" s="14">
        <v>3.62</v>
      </c>
      <c r="E2655" s="15">
        <v>20.399999999999999</v>
      </c>
    </row>
    <row r="2656" spans="1:5">
      <c r="A2656">
        <v>2012</v>
      </c>
      <c r="B2656" t="s">
        <v>2218</v>
      </c>
      <c r="C2656" t="s">
        <v>2239</v>
      </c>
      <c r="D2656" s="14">
        <v>3.83</v>
      </c>
      <c r="E2656" s="15">
        <v>20.399999999999999</v>
      </c>
    </row>
    <row r="2657" spans="1:5">
      <c r="A2657">
        <v>2012</v>
      </c>
      <c r="B2657" t="s">
        <v>2219</v>
      </c>
      <c r="C2657" t="s">
        <v>2239</v>
      </c>
      <c r="D2657" s="14">
        <v>2.15</v>
      </c>
      <c r="E2657" s="15">
        <v>20.399999999999999</v>
      </c>
    </row>
    <row r="2658" spans="1:5">
      <c r="A2658">
        <v>2012</v>
      </c>
      <c r="B2658" t="s">
        <v>2220</v>
      </c>
      <c r="C2658" t="s">
        <v>2239</v>
      </c>
      <c r="D2658" s="14">
        <v>1.51</v>
      </c>
      <c r="E2658" s="15">
        <v>20.399999999999999</v>
      </c>
    </row>
    <row r="2659" spans="1:5">
      <c r="A2659">
        <v>2012</v>
      </c>
      <c r="B2659" t="s">
        <v>2221</v>
      </c>
      <c r="C2659" t="s">
        <v>2239</v>
      </c>
      <c r="D2659" s="14">
        <v>2.6</v>
      </c>
      <c r="E2659" s="15">
        <v>20.399999999999999</v>
      </c>
    </row>
    <row r="2660" spans="1:5">
      <c r="A2660">
        <v>2012</v>
      </c>
      <c r="B2660" t="s">
        <v>2222</v>
      </c>
      <c r="C2660" t="s">
        <v>2239</v>
      </c>
      <c r="D2660" s="14">
        <v>1.41</v>
      </c>
      <c r="E2660" s="15">
        <v>20.399999999999999</v>
      </c>
    </row>
    <row r="2661" spans="1:5">
      <c r="A2661">
        <v>2012</v>
      </c>
      <c r="B2661" t="s">
        <v>2223</v>
      </c>
      <c r="C2661" t="s">
        <v>2239</v>
      </c>
      <c r="D2661" s="14">
        <v>0.2</v>
      </c>
      <c r="E2661" s="15">
        <v>20.399999999999999</v>
      </c>
    </row>
    <row r="2662" spans="1:5">
      <c r="A2662">
        <v>2013</v>
      </c>
      <c r="B2662" t="s">
        <v>2213</v>
      </c>
      <c r="C2662" t="s">
        <v>2239</v>
      </c>
      <c r="D2662" s="14">
        <v>1.93</v>
      </c>
      <c r="E2662" s="15">
        <v>21.6</v>
      </c>
    </row>
    <row r="2663" spans="1:5">
      <c r="A2663">
        <v>2013</v>
      </c>
      <c r="B2663" t="s">
        <v>2215</v>
      </c>
      <c r="C2663" t="s">
        <v>2239</v>
      </c>
      <c r="D2663" s="14">
        <v>2.34</v>
      </c>
      <c r="E2663" s="15">
        <v>21.6</v>
      </c>
    </row>
    <row r="2664" spans="1:5">
      <c r="A2664">
        <v>2013</v>
      </c>
      <c r="B2664" t="s">
        <v>2216</v>
      </c>
      <c r="C2664" t="s">
        <v>2239</v>
      </c>
      <c r="D2664" s="14">
        <v>0.85</v>
      </c>
      <c r="E2664" s="15">
        <v>21.6</v>
      </c>
    </row>
    <row r="2665" spans="1:5">
      <c r="A2665">
        <v>2013</v>
      </c>
      <c r="B2665" t="s">
        <v>2217</v>
      </c>
      <c r="C2665" t="s">
        <v>2239</v>
      </c>
      <c r="D2665" s="14">
        <v>3.62</v>
      </c>
      <c r="E2665" s="15">
        <v>21.6</v>
      </c>
    </row>
    <row r="2666" spans="1:5">
      <c r="A2666">
        <v>2013</v>
      </c>
      <c r="B2666" t="s">
        <v>2218</v>
      </c>
      <c r="C2666" t="s">
        <v>2239</v>
      </c>
      <c r="D2666" s="14">
        <v>4.22</v>
      </c>
      <c r="E2666" s="15">
        <v>21.6</v>
      </c>
    </row>
    <row r="2667" spans="1:5">
      <c r="A2667">
        <v>2013</v>
      </c>
      <c r="B2667" t="s">
        <v>2219</v>
      </c>
      <c r="C2667" t="s">
        <v>2239</v>
      </c>
      <c r="D2667" s="14">
        <v>2.2200000000000002</v>
      </c>
      <c r="E2667" s="15">
        <v>21.6</v>
      </c>
    </row>
    <row r="2668" spans="1:5">
      <c r="A2668">
        <v>2013</v>
      </c>
      <c r="B2668" t="s">
        <v>2220</v>
      </c>
      <c r="C2668" t="s">
        <v>2239</v>
      </c>
      <c r="D2668" s="14">
        <v>1.5</v>
      </c>
      <c r="E2668" s="15">
        <v>21.6</v>
      </c>
    </row>
    <row r="2669" spans="1:5">
      <c r="A2669">
        <v>2013</v>
      </c>
      <c r="B2669" t="s">
        <v>2221</v>
      </c>
      <c r="C2669" t="s">
        <v>2239</v>
      </c>
      <c r="D2669" s="14">
        <v>2.81</v>
      </c>
      <c r="E2669" s="15">
        <v>21.6</v>
      </c>
    </row>
    <row r="2670" spans="1:5">
      <c r="A2670">
        <v>2013</v>
      </c>
      <c r="B2670" t="s">
        <v>2222</v>
      </c>
      <c r="C2670" t="s">
        <v>2239</v>
      </c>
      <c r="D2670" s="14">
        <v>1.46</v>
      </c>
      <c r="E2670" s="15">
        <v>21.6</v>
      </c>
    </row>
    <row r="2671" spans="1:5">
      <c r="A2671">
        <v>2013</v>
      </c>
      <c r="B2671" t="s">
        <v>2223</v>
      </c>
      <c r="C2671" t="s">
        <v>2239</v>
      </c>
      <c r="D2671" s="14">
        <v>0.21</v>
      </c>
      <c r="E2671" s="15">
        <v>21.6</v>
      </c>
    </row>
    <row r="2672" spans="1:5">
      <c r="A2672">
        <v>2014</v>
      </c>
      <c r="B2672" t="s">
        <v>2213</v>
      </c>
      <c r="C2672" t="s">
        <v>2239</v>
      </c>
      <c r="D2672" s="14">
        <v>2.17</v>
      </c>
      <c r="E2672" s="15">
        <v>22.8</v>
      </c>
    </row>
    <row r="2673" spans="1:5">
      <c r="A2673">
        <v>2014</v>
      </c>
      <c r="B2673" t="s">
        <v>2215</v>
      </c>
      <c r="C2673" t="s">
        <v>2239</v>
      </c>
      <c r="D2673" s="14">
        <v>2.35</v>
      </c>
      <c r="E2673" s="15">
        <v>22.8</v>
      </c>
    </row>
    <row r="2674" spans="1:5">
      <c r="A2674">
        <v>2014</v>
      </c>
      <c r="B2674" t="s">
        <v>2216</v>
      </c>
      <c r="C2674" t="s">
        <v>2239</v>
      </c>
      <c r="D2674" s="14">
        <v>0.94</v>
      </c>
      <c r="E2674" s="15">
        <v>22.8</v>
      </c>
    </row>
    <row r="2675" spans="1:5">
      <c r="A2675">
        <v>2014</v>
      </c>
      <c r="B2675" t="s">
        <v>2217</v>
      </c>
      <c r="C2675" t="s">
        <v>2239</v>
      </c>
      <c r="D2675" s="14">
        <v>4.1100000000000003</v>
      </c>
      <c r="E2675" s="15">
        <v>22.8</v>
      </c>
    </row>
    <row r="2676" spans="1:5">
      <c r="A2676">
        <v>2014</v>
      </c>
      <c r="B2676" t="s">
        <v>2218</v>
      </c>
      <c r="C2676" t="s">
        <v>2239</v>
      </c>
      <c r="D2676" s="14">
        <v>4.5999999999999996</v>
      </c>
      <c r="E2676" s="15">
        <v>22.8</v>
      </c>
    </row>
    <row r="2677" spans="1:5">
      <c r="A2677">
        <v>2014</v>
      </c>
      <c r="B2677" t="s">
        <v>2219</v>
      </c>
      <c r="C2677" t="s">
        <v>2239</v>
      </c>
      <c r="D2677" s="14">
        <v>2.21</v>
      </c>
      <c r="E2677" s="15">
        <v>22.8</v>
      </c>
    </row>
    <row r="2678" spans="1:5">
      <c r="A2678">
        <v>2014</v>
      </c>
      <c r="B2678" t="s">
        <v>2220</v>
      </c>
      <c r="C2678" t="s">
        <v>2239</v>
      </c>
      <c r="D2678" s="14">
        <v>1.57</v>
      </c>
      <c r="E2678" s="15">
        <v>22.8</v>
      </c>
    </row>
    <row r="2679" spans="1:5">
      <c r="A2679">
        <v>2014</v>
      </c>
      <c r="B2679" t="s">
        <v>2221</v>
      </c>
      <c r="C2679" t="s">
        <v>2239</v>
      </c>
      <c r="D2679" s="14">
        <v>3.01</v>
      </c>
      <c r="E2679" s="15">
        <v>22.8</v>
      </c>
    </row>
    <row r="2680" spans="1:5">
      <c r="A2680">
        <v>2014</v>
      </c>
      <c r="B2680" t="s">
        <v>2222</v>
      </c>
      <c r="C2680" t="s">
        <v>2239</v>
      </c>
      <c r="D2680" s="14">
        <v>1.56</v>
      </c>
      <c r="E2680" s="15">
        <v>22.8</v>
      </c>
    </row>
    <row r="2681" spans="1:5">
      <c r="A2681">
        <v>2014</v>
      </c>
      <c r="B2681" t="s">
        <v>2223</v>
      </c>
      <c r="C2681" t="s">
        <v>2239</v>
      </c>
      <c r="D2681" s="14">
        <v>0.23</v>
      </c>
      <c r="E2681" s="15">
        <v>22.8</v>
      </c>
    </row>
    <row r="2682" spans="1:5">
      <c r="A2682">
        <v>2015</v>
      </c>
      <c r="B2682" t="s">
        <v>2213</v>
      </c>
      <c r="C2682" t="s">
        <v>2239</v>
      </c>
      <c r="D2682" s="14">
        <v>2.2000000000000002</v>
      </c>
      <c r="E2682" s="15">
        <v>24</v>
      </c>
    </row>
    <row r="2683" spans="1:5">
      <c r="A2683">
        <v>2015</v>
      </c>
      <c r="B2683" t="s">
        <v>2215</v>
      </c>
      <c r="C2683" t="s">
        <v>2239</v>
      </c>
      <c r="D2683" s="14">
        <v>2.83</v>
      </c>
      <c r="E2683" s="15">
        <v>24</v>
      </c>
    </row>
    <row r="2684" spans="1:5">
      <c r="A2684">
        <v>2015</v>
      </c>
      <c r="B2684" t="s">
        <v>2216</v>
      </c>
      <c r="C2684" t="s">
        <v>2239</v>
      </c>
      <c r="D2684" s="14">
        <v>0.97</v>
      </c>
      <c r="E2684" s="15">
        <v>24</v>
      </c>
    </row>
    <row r="2685" spans="1:5">
      <c r="A2685">
        <v>2015</v>
      </c>
      <c r="B2685" t="s">
        <v>2217</v>
      </c>
      <c r="C2685" t="s">
        <v>2239</v>
      </c>
      <c r="D2685" s="14">
        <v>4</v>
      </c>
      <c r="E2685" s="15">
        <v>24</v>
      </c>
    </row>
    <row r="2686" spans="1:5">
      <c r="A2686">
        <v>2015</v>
      </c>
      <c r="B2686" t="s">
        <v>2218</v>
      </c>
      <c r="C2686" t="s">
        <v>2239</v>
      </c>
      <c r="D2686" s="14">
        <v>5.03</v>
      </c>
      <c r="E2686" s="15">
        <v>24</v>
      </c>
    </row>
    <row r="2687" spans="1:5">
      <c r="A2687">
        <v>2015</v>
      </c>
      <c r="B2687" t="s">
        <v>2219</v>
      </c>
      <c r="C2687" t="s">
        <v>2239</v>
      </c>
      <c r="D2687" s="14">
        <v>2.38</v>
      </c>
      <c r="E2687" s="15">
        <v>24</v>
      </c>
    </row>
    <row r="2688" spans="1:5">
      <c r="A2688">
        <v>2015</v>
      </c>
      <c r="B2688" t="s">
        <v>2220</v>
      </c>
      <c r="C2688" t="s">
        <v>2239</v>
      </c>
      <c r="D2688" s="14">
        <v>1.82</v>
      </c>
      <c r="E2688" s="15">
        <v>24</v>
      </c>
    </row>
    <row r="2689" spans="1:5">
      <c r="A2689">
        <v>2015</v>
      </c>
      <c r="B2689" t="s">
        <v>2221</v>
      </c>
      <c r="C2689" t="s">
        <v>2239</v>
      </c>
      <c r="D2689" s="14">
        <v>3.36</v>
      </c>
      <c r="E2689" s="15">
        <v>24</v>
      </c>
    </row>
    <row r="2690" spans="1:5">
      <c r="A2690">
        <v>2015</v>
      </c>
      <c r="B2690" t="s">
        <v>2222</v>
      </c>
      <c r="C2690" t="s">
        <v>2239</v>
      </c>
      <c r="D2690" s="14">
        <v>1.65</v>
      </c>
      <c r="E2690" s="15">
        <v>24</v>
      </c>
    </row>
    <row r="2691" spans="1:5">
      <c r="A2691">
        <v>2015</v>
      </c>
      <c r="B2691" t="s">
        <v>2223</v>
      </c>
      <c r="C2691" t="s">
        <v>2239</v>
      </c>
      <c r="D2691" s="14">
        <v>0.25</v>
      </c>
      <c r="E2691" s="15">
        <v>24</v>
      </c>
    </row>
    <row r="2692" spans="1:5">
      <c r="A2692">
        <v>2016</v>
      </c>
      <c r="B2692" t="s">
        <v>2213</v>
      </c>
      <c r="C2692" t="s">
        <v>2239</v>
      </c>
      <c r="D2692" s="14">
        <v>2.2000000000000002</v>
      </c>
      <c r="E2692" s="15">
        <v>25</v>
      </c>
    </row>
    <row r="2693" spans="1:5">
      <c r="A2693">
        <v>2016</v>
      </c>
      <c r="B2693" t="s">
        <v>2215</v>
      </c>
      <c r="C2693" t="s">
        <v>2239</v>
      </c>
      <c r="D2693" s="14">
        <v>2.7</v>
      </c>
      <c r="E2693" s="15">
        <v>25</v>
      </c>
    </row>
    <row r="2694" spans="1:5">
      <c r="A2694">
        <v>2016</v>
      </c>
      <c r="B2694" t="s">
        <v>2216</v>
      </c>
      <c r="C2694" t="s">
        <v>2239</v>
      </c>
      <c r="D2694" s="14">
        <v>1.03</v>
      </c>
      <c r="E2694" s="15">
        <v>25</v>
      </c>
    </row>
    <row r="2695" spans="1:5">
      <c r="A2695">
        <v>2016</v>
      </c>
      <c r="B2695" t="s">
        <v>2217</v>
      </c>
      <c r="C2695" t="s">
        <v>2239</v>
      </c>
      <c r="D2695" s="14">
        <v>4.7</v>
      </c>
      <c r="E2695" s="15">
        <v>25</v>
      </c>
    </row>
    <row r="2696" spans="1:5">
      <c r="A2696">
        <v>2016</v>
      </c>
      <c r="B2696" t="s">
        <v>2218</v>
      </c>
      <c r="C2696" t="s">
        <v>2239</v>
      </c>
      <c r="D2696" s="14">
        <v>5.18</v>
      </c>
      <c r="E2696" s="15">
        <v>25</v>
      </c>
    </row>
    <row r="2697" spans="1:5">
      <c r="A2697">
        <v>2016</v>
      </c>
      <c r="B2697" t="s">
        <v>2219</v>
      </c>
      <c r="C2697" t="s">
        <v>2239</v>
      </c>
      <c r="D2697" s="14">
        <v>2.5099999999999998</v>
      </c>
      <c r="E2697" s="15">
        <v>25</v>
      </c>
    </row>
    <row r="2698" spans="1:5">
      <c r="A2698">
        <v>2016</v>
      </c>
      <c r="B2698" t="s">
        <v>2220</v>
      </c>
      <c r="C2698" t="s">
        <v>2239</v>
      </c>
      <c r="D2698" s="14">
        <v>1.93</v>
      </c>
      <c r="E2698" s="15">
        <v>25</v>
      </c>
    </row>
    <row r="2699" spans="1:5">
      <c r="A2699">
        <v>2016</v>
      </c>
      <c r="B2699" t="s">
        <v>2221</v>
      </c>
      <c r="C2699" t="s">
        <v>2239</v>
      </c>
      <c r="D2699" s="14">
        <v>3.25</v>
      </c>
      <c r="E2699" s="15">
        <v>25</v>
      </c>
    </row>
    <row r="2700" spans="1:5">
      <c r="A2700">
        <v>2016</v>
      </c>
      <c r="B2700" t="s">
        <v>2222</v>
      </c>
      <c r="C2700" t="s">
        <v>2239</v>
      </c>
      <c r="D2700" s="14">
        <v>1.64</v>
      </c>
      <c r="E2700" s="15">
        <v>25</v>
      </c>
    </row>
    <row r="2701" spans="1:5">
      <c r="A2701">
        <v>2016</v>
      </c>
      <c r="B2701" t="s">
        <v>2223</v>
      </c>
      <c r="C2701" t="s">
        <v>2239</v>
      </c>
      <c r="D2701" s="14">
        <v>0.24</v>
      </c>
      <c r="E2701" s="15">
        <v>25</v>
      </c>
    </row>
    <row r="2702" spans="1:5">
      <c r="A2702">
        <v>2017</v>
      </c>
      <c r="B2702" t="s">
        <v>2213</v>
      </c>
      <c r="C2702" t="s">
        <v>2239</v>
      </c>
      <c r="D2702" s="14">
        <v>2.48</v>
      </c>
      <c r="E2702" s="15">
        <v>26</v>
      </c>
    </row>
    <row r="2703" spans="1:5">
      <c r="A2703">
        <v>2017</v>
      </c>
      <c r="B2703" t="s">
        <v>2215</v>
      </c>
      <c r="C2703" t="s">
        <v>2239</v>
      </c>
      <c r="D2703" s="14">
        <v>2.8</v>
      </c>
      <c r="E2703" s="15">
        <v>26</v>
      </c>
    </row>
    <row r="2704" spans="1:5">
      <c r="A2704">
        <v>2017</v>
      </c>
      <c r="B2704" t="s">
        <v>2216</v>
      </c>
      <c r="C2704" t="s">
        <v>2239</v>
      </c>
      <c r="D2704" s="14">
        <v>1.05</v>
      </c>
      <c r="E2704" s="15">
        <v>26</v>
      </c>
    </row>
    <row r="2705" spans="1:5">
      <c r="A2705">
        <v>2017</v>
      </c>
      <c r="B2705" t="s">
        <v>2217</v>
      </c>
      <c r="C2705" t="s">
        <v>2239</v>
      </c>
      <c r="D2705" s="14">
        <v>4.58</v>
      </c>
      <c r="E2705" s="15">
        <v>26</v>
      </c>
    </row>
    <row r="2706" spans="1:5">
      <c r="A2706">
        <v>2017</v>
      </c>
      <c r="B2706" t="s">
        <v>2218</v>
      </c>
      <c r="C2706" t="s">
        <v>2239</v>
      </c>
      <c r="D2706" s="14">
        <v>5.1100000000000003</v>
      </c>
      <c r="E2706" s="15">
        <v>26</v>
      </c>
    </row>
    <row r="2707" spans="1:5">
      <c r="A2707">
        <v>2017</v>
      </c>
      <c r="B2707" t="s">
        <v>2219</v>
      </c>
      <c r="C2707" t="s">
        <v>2239</v>
      </c>
      <c r="D2707" s="14">
        <v>2.52</v>
      </c>
      <c r="E2707" s="15">
        <v>26</v>
      </c>
    </row>
    <row r="2708" spans="1:5">
      <c r="A2708">
        <v>2017</v>
      </c>
      <c r="B2708" t="s">
        <v>2220</v>
      </c>
      <c r="C2708" t="s">
        <v>2239</v>
      </c>
      <c r="D2708" s="14">
        <v>1.85</v>
      </c>
      <c r="E2708" s="15">
        <v>26</v>
      </c>
    </row>
    <row r="2709" spans="1:5">
      <c r="A2709">
        <v>2017</v>
      </c>
      <c r="B2709" t="s">
        <v>2221</v>
      </c>
      <c r="C2709" t="s">
        <v>2239</v>
      </c>
      <c r="D2709" s="14">
        <v>3.42</v>
      </c>
      <c r="E2709" s="15">
        <v>26</v>
      </c>
    </row>
    <row r="2710" spans="1:5">
      <c r="A2710">
        <v>2017</v>
      </c>
      <c r="B2710" t="s">
        <v>2222</v>
      </c>
      <c r="C2710" t="s">
        <v>2239</v>
      </c>
      <c r="D2710" s="14">
        <v>1.85</v>
      </c>
      <c r="E2710" s="15">
        <v>26</v>
      </c>
    </row>
    <row r="2711" spans="1:5">
      <c r="A2711">
        <v>2017</v>
      </c>
      <c r="B2711" t="s">
        <v>2223</v>
      </c>
      <c r="C2711" t="s">
        <v>2239</v>
      </c>
      <c r="D2711" s="14">
        <v>0.26</v>
      </c>
      <c r="E2711" s="15">
        <v>26</v>
      </c>
    </row>
    <row r="2712" spans="1:5">
      <c r="A2712">
        <v>2018</v>
      </c>
      <c r="B2712" t="s">
        <v>2213</v>
      </c>
      <c r="C2712" t="s">
        <v>2239</v>
      </c>
      <c r="D2712" s="14">
        <v>2.39</v>
      </c>
      <c r="E2712" s="15">
        <v>27</v>
      </c>
    </row>
    <row r="2713" spans="1:5">
      <c r="A2713">
        <v>2018</v>
      </c>
      <c r="B2713" t="s">
        <v>2215</v>
      </c>
      <c r="C2713" t="s">
        <v>2239</v>
      </c>
      <c r="D2713" s="14">
        <v>2.75</v>
      </c>
      <c r="E2713" s="15">
        <v>27</v>
      </c>
    </row>
    <row r="2714" spans="1:5">
      <c r="A2714">
        <v>2018</v>
      </c>
      <c r="B2714" t="s">
        <v>2216</v>
      </c>
      <c r="C2714" t="s">
        <v>2239</v>
      </c>
      <c r="D2714" s="14">
        <v>1.02</v>
      </c>
      <c r="E2714" s="15">
        <v>27</v>
      </c>
    </row>
    <row r="2715" spans="1:5">
      <c r="A2715">
        <v>2018</v>
      </c>
      <c r="B2715" t="s">
        <v>2217</v>
      </c>
      <c r="C2715" t="s">
        <v>2239</v>
      </c>
      <c r="D2715" s="14">
        <v>5.49</v>
      </c>
      <c r="E2715" s="15">
        <v>27</v>
      </c>
    </row>
    <row r="2716" spans="1:5">
      <c r="A2716">
        <v>2018</v>
      </c>
      <c r="B2716" t="s">
        <v>2218</v>
      </c>
      <c r="C2716" t="s">
        <v>2239</v>
      </c>
      <c r="D2716" s="14">
        <v>5.73</v>
      </c>
      <c r="E2716" s="15">
        <v>27</v>
      </c>
    </row>
    <row r="2717" spans="1:5">
      <c r="A2717">
        <v>2018</v>
      </c>
      <c r="B2717" t="s">
        <v>2219</v>
      </c>
      <c r="C2717" t="s">
        <v>2239</v>
      </c>
      <c r="D2717" s="14">
        <v>2.85</v>
      </c>
      <c r="E2717" s="15">
        <v>27</v>
      </c>
    </row>
    <row r="2718" spans="1:5">
      <c r="A2718">
        <v>2018</v>
      </c>
      <c r="B2718" t="s">
        <v>2220</v>
      </c>
      <c r="C2718" t="s">
        <v>2239</v>
      </c>
      <c r="D2718" s="14">
        <v>1.84</v>
      </c>
      <c r="E2718" s="15">
        <v>27</v>
      </c>
    </row>
    <row r="2719" spans="1:5">
      <c r="A2719">
        <v>2018</v>
      </c>
      <c r="B2719" t="s">
        <v>2221</v>
      </c>
      <c r="C2719" t="s">
        <v>2239</v>
      </c>
      <c r="D2719" s="14">
        <v>3.57</v>
      </c>
      <c r="E2719" s="15">
        <v>27</v>
      </c>
    </row>
    <row r="2720" spans="1:5">
      <c r="A2720">
        <v>2018</v>
      </c>
      <c r="B2720" t="s">
        <v>2222</v>
      </c>
      <c r="C2720" t="s">
        <v>2239</v>
      </c>
      <c r="D2720" s="14">
        <v>1.83</v>
      </c>
      <c r="E2720" s="15">
        <v>27</v>
      </c>
    </row>
    <row r="2721" spans="1:5">
      <c r="A2721">
        <v>2018</v>
      </c>
      <c r="B2721" t="s">
        <v>2223</v>
      </c>
      <c r="C2721" t="s">
        <v>2239</v>
      </c>
      <c r="D2721" s="14">
        <v>0.26</v>
      </c>
      <c r="E2721" s="15">
        <v>27</v>
      </c>
    </row>
    <row r="2722" spans="1:5">
      <c r="A2722">
        <v>2019</v>
      </c>
      <c r="B2722" t="s">
        <v>2213</v>
      </c>
      <c r="C2722" t="s">
        <v>2239</v>
      </c>
      <c r="D2722" s="14">
        <v>2.46</v>
      </c>
      <c r="E2722" s="15">
        <v>28</v>
      </c>
    </row>
    <row r="2723" spans="1:5">
      <c r="A2723">
        <v>2019</v>
      </c>
      <c r="B2723" t="s">
        <v>2215</v>
      </c>
      <c r="C2723" t="s">
        <v>2239</v>
      </c>
      <c r="D2723" s="14">
        <v>3.19</v>
      </c>
      <c r="E2723" s="15">
        <v>28</v>
      </c>
    </row>
    <row r="2724" spans="1:5">
      <c r="A2724">
        <v>2019</v>
      </c>
      <c r="B2724" t="s">
        <v>2216</v>
      </c>
      <c r="C2724" t="s">
        <v>2239</v>
      </c>
      <c r="D2724" s="14">
        <v>1.1599999999999999</v>
      </c>
      <c r="E2724" s="15">
        <v>28</v>
      </c>
    </row>
    <row r="2725" spans="1:5">
      <c r="A2725">
        <v>2019</v>
      </c>
      <c r="B2725" t="s">
        <v>2217</v>
      </c>
      <c r="C2725" t="s">
        <v>2239</v>
      </c>
      <c r="D2725" s="14">
        <v>4.8499999999999996</v>
      </c>
      <c r="E2725" s="15">
        <v>28</v>
      </c>
    </row>
    <row r="2726" spans="1:5">
      <c r="A2726">
        <v>2019</v>
      </c>
      <c r="B2726" t="s">
        <v>2218</v>
      </c>
      <c r="C2726" t="s">
        <v>2239</v>
      </c>
      <c r="D2726" s="14">
        <v>5.53</v>
      </c>
      <c r="E2726" s="15">
        <v>28</v>
      </c>
    </row>
    <row r="2727" spans="1:5">
      <c r="A2727">
        <v>2019</v>
      </c>
      <c r="B2727" t="s">
        <v>2219</v>
      </c>
      <c r="C2727" t="s">
        <v>2239</v>
      </c>
      <c r="D2727" s="14">
        <v>2.89</v>
      </c>
      <c r="E2727" s="15">
        <v>28</v>
      </c>
    </row>
    <row r="2728" spans="1:5">
      <c r="A2728">
        <v>2019</v>
      </c>
      <c r="B2728" t="s">
        <v>2220</v>
      </c>
      <c r="C2728" t="s">
        <v>2239</v>
      </c>
      <c r="D2728" s="14">
        <v>1.92</v>
      </c>
      <c r="E2728" s="15">
        <v>28</v>
      </c>
    </row>
    <row r="2729" spans="1:5">
      <c r="A2729">
        <v>2019</v>
      </c>
      <c r="B2729" t="s">
        <v>2221</v>
      </c>
      <c r="C2729" t="s">
        <v>2239</v>
      </c>
      <c r="D2729" s="14">
        <v>3.71</v>
      </c>
      <c r="E2729" s="15">
        <v>28</v>
      </c>
    </row>
    <row r="2730" spans="1:5">
      <c r="A2730">
        <v>2019</v>
      </c>
      <c r="B2730" t="s">
        <v>2222</v>
      </c>
      <c r="C2730" t="s">
        <v>2239</v>
      </c>
      <c r="D2730" s="14">
        <v>1.99</v>
      </c>
      <c r="E2730" s="15">
        <v>28</v>
      </c>
    </row>
    <row r="2731" spans="1:5">
      <c r="A2731">
        <v>2019</v>
      </c>
      <c r="B2731" t="s">
        <v>2223</v>
      </c>
      <c r="C2731" t="s">
        <v>2239</v>
      </c>
      <c r="D2731" s="14">
        <v>0.28000000000000003</v>
      </c>
      <c r="E2731" s="15">
        <v>28</v>
      </c>
    </row>
    <row r="2732" spans="1:5">
      <c r="A2732">
        <v>2020</v>
      </c>
      <c r="B2732" t="s">
        <v>2213</v>
      </c>
      <c r="C2732" t="s">
        <v>2239</v>
      </c>
      <c r="D2732" s="14">
        <v>2.68</v>
      </c>
      <c r="E2732" s="15">
        <v>29.5</v>
      </c>
    </row>
    <row r="2733" spans="1:5">
      <c r="A2733">
        <v>2020</v>
      </c>
      <c r="B2733" t="s">
        <v>2215</v>
      </c>
      <c r="C2733" t="s">
        <v>2239</v>
      </c>
      <c r="D2733" s="14">
        <v>3.1</v>
      </c>
      <c r="E2733" s="15">
        <v>29.5</v>
      </c>
    </row>
    <row r="2734" spans="1:5">
      <c r="A2734">
        <v>2020</v>
      </c>
      <c r="B2734" t="s">
        <v>2216</v>
      </c>
      <c r="C2734" t="s">
        <v>2239</v>
      </c>
      <c r="D2734" s="14">
        <v>1.1499999999999999</v>
      </c>
      <c r="E2734" s="15">
        <v>29.5</v>
      </c>
    </row>
    <row r="2735" spans="1:5">
      <c r="A2735">
        <v>2020</v>
      </c>
      <c r="B2735" t="s">
        <v>2217</v>
      </c>
      <c r="C2735" t="s">
        <v>2239</v>
      </c>
      <c r="D2735" s="14">
        <v>5.07</v>
      </c>
      <c r="E2735" s="15">
        <v>29.5</v>
      </c>
    </row>
    <row r="2736" spans="1:5">
      <c r="A2736">
        <v>2020</v>
      </c>
      <c r="B2736" t="s">
        <v>2218</v>
      </c>
      <c r="C2736" t="s">
        <v>2239</v>
      </c>
      <c r="D2736" s="14">
        <v>5.54</v>
      </c>
      <c r="E2736" s="15">
        <v>29.5</v>
      </c>
    </row>
    <row r="2737" spans="1:5">
      <c r="A2737">
        <v>2020</v>
      </c>
      <c r="B2737" t="s">
        <v>2219</v>
      </c>
      <c r="C2737" t="s">
        <v>2239</v>
      </c>
      <c r="D2737" s="14">
        <v>2.94</v>
      </c>
      <c r="E2737" s="15">
        <v>29.5</v>
      </c>
    </row>
    <row r="2738" spans="1:5">
      <c r="A2738">
        <v>2020</v>
      </c>
      <c r="B2738" t="s">
        <v>2220</v>
      </c>
      <c r="C2738" t="s">
        <v>2239</v>
      </c>
      <c r="D2738" s="14">
        <v>2.13</v>
      </c>
      <c r="E2738" s="15">
        <v>29.5</v>
      </c>
    </row>
    <row r="2739" spans="1:5">
      <c r="A2739">
        <v>2020</v>
      </c>
      <c r="B2739" t="s">
        <v>2221</v>
      </c>
      <c r="C2739" t="s">
        <v>2239</v>
      </c>
      <c r="D2739" s="14">
        <v>3.68</v>
      </c>
      <c r="E2739" s="15">
        <v>29.5</v>
      </c>
    </row>
    <row r="2740" spans="1:5">
      <c r="A2740">
        <v>2020</v>
      </c>
      <c r="B2740" t="s">
        <v>2222</v>
      </c>
      <c r="C2740" t="s">
        <v>2239</v>
      </c>
      <c r="D2740" s="14">
        <v>2.09</v>
      </c>
      <c r="E2740" s="15">
        <v>29.5</v>
      </c>
    </row>
    <row r="2741" spans="1:5">
      <c r="A2741">
        <v>2020</v>
      </c>
      <c r="B2741" t="s">
        <v>2223</v>
      </c>
      <c r="C2741" t="s">
        <v>2239</v>
      </c>
      <c r="D2741" s="14">
        <v>0.3</v>
      </c>
      <c r="E2741" s="15">
        <v>29.5</v>
      </c>
    </row>
    <row r="2742" spans="1:5">
      <c r="A2742">
        <v>2021</v>
      </c>
      <c r="B2742" t="s">
        <v>2213</v>
      </c>
      <c r="C2742" t="s">
        <v>2239</v>
      </c>
      <c r="D2742" s="14">
        <v>2.59</v>
      </c>
      <c r="E2742" s="15">
        <v>31</v>
      </c>
    </row>
    <row r="2743" spans="1:5">
      <c r="A2743">
        <v>2021</v>
      </c>
      <c r="B2743" t="s">
        <v>2215</v>
      </c>
      <c r="C2743" t="s">
        <v>2239</v>
      </c>
      <c r="D2743" s="14">
        <v>3.31</v>
      </c>
      <c r="E2743" s="15">
        <v>31</v>
      </c>
    </row>
    <row r="2744" spans="1:5">
      <c r="A2744">
        <v>2021</v>
      </c>
      <c r="B2744" t="s">
        <v>2216</v>
      </c>
      <c r="C2744" t="s">
        <v>2239</v>
      </c>
      <c r="D2744" s="14">
        <v>1.32</v>
      </c>
      <c r="E2744" s="15">
        <v>31</v>
      </c>
    </row>
    <row r="2745" spans="1:5">
      <c r="A2745">
        <v>2021</v>
      </c>
      <c r="B2745" t="s">
        <v>2217</v>
      </c>
      <c r="C2745" t="s">
        <v>2239</v>
      </c>
      <c r="D2745" s="14">
        <v>5.7</v>
      </c>
      <c r="E2745" s="15">
        <v>31</v>
      </c>
    </row>
    <row r="2746" spans="1:5">
      <c r="A2746">
        <v>2021</v>
      </c>
      <c r="B2746" t="s">
        <v>2218</v>
      </c>
      <c r="C2746" t="s">
        <v>2239</v>
      </c>
      <c r="D2746" s="14">
        <v>5.75</v>
      </c>
      <c r="E2746" s="15">
        <v>31</v>
      </c>
    </row>
    <row r="2747" spans="1:5">
      <c r="A2747">
        <v>2021</v>
      </c>
      <c r="B2747" t="s">
        <v>2219</v>
      </c>
      <c r="C2747" t="s">
        <v>2239</v>
      </c>
      <c r="D2747" s="14">
        <v>3.18</v>
      </c>
      <c r="E2747" s="15">
        <v>31</v>
      </c>
    </row>
    <row r="2748" spans="1:5">
      <c r="A2748">
        <v>2021</v>
      </c>
      <c r="B2748" t="s">
        <v>2220</v>
      </c>
      <c r="C2748" t="s">
        <v>2239</v>
      </c>
      <c r="D2748" s="14">
        <v>2.11</v>
      </c>
      <c r="E2748" s="15">
        <v>31</v>
      </c>
    </row>
    <row r="2749" spans="1:5">
      <c r="A2749">
        <v>2021</v>
      </c>
      <c r="B2749" t="s">
        <v>2221</v>
      </c>
      <c r="C2749" t="s">
        <v>2239</v>
      </c>
      <c r="D2749" s="14">
        <v>4.21</v>
      </c>
      <c r="E2749" s="15">
        <v>31</v>
      </c>
    </row>
    <row r="2750" spans="1:5">
      <c r="A2750">
        <v>2021</v>
      </c>
      <c r="B2750" t="s">
        <v>2222</v>
      </c>
      <c r="C2750" t="s">
        <v>2239</v>
      </c>
      <c r="D2750" s="14">
        <v>2.11</v>
      </c>
      <c r="E2750" s="15">
        <v>31</v>
      </c>
    </row>
    <row r="2751" spans="1:5">
      <c r="A2751">
        <v>2021</v>
      </c>
      <c r="B2751" t="s">
        <v>2223</v>
      </c>
      <c r="C2751" t="s">
        <v>2239</v>
      </c>
      <c r="D2751" s="14">
        <v>0.31</v>
      </c>
      <c r="E2751" s="15">
        <v>31</v>
      </c>
    </row>
    <row r="2752" spans="1:5">
      <c r="A2752">
        <v>2022</v>
      </c>
      <c r="B2752" t="s">
        <v>2213</v>
      </c>
      <c r="C2752" t="s">
        <v>2239</v>
      </c>
      <c r="D2752" s="14">
        <v>2.85</v>
      </c>
      <c r="E2752" s="15">
        <v>32.299999999999997</v>
      </c>
    </row>
    <row r="2753" spans="1:5">
      <c r="A2753">
        <v>2022</v>
      </c>
      <c r="B2753" t="s">
        <v>2215</v>
      </c>
      <c r="C2753" t="s">
        <v>2239</v>
      </c>
      <c r="D2753" s="14">
        <v>3.49</v>
      </c>
      <c r="E2753" s="15">
        <v>32.299999999999997</v>
      </c>
    </row>
    <row r="2754" spans="1:5">
      <c r="A2754">
        <v>2022</v>
      </c>
      <c r="B2754" t="s">
        <v>2216</v>
      </c>
      <c r="C2754" t="s">
        <v>2239</v>
      </c>
      <c r="D2754" s="14">
        <v>1.26</v>
      </c>
      <c r="E2754" s="15">
        <v>32.299999999999997</v>
      </c>
    </row>
    <row r="2755" spans="1:5">
      <c r="A2755">
        <v>2022</v>
      </c>
      <c r="B2755" t="s">
        <v>2217</v>
      </c>
      <c r="C2755" t="s">
        <v>2239</v>
      </c>
      <c r="D2755" s="14">
        <v>5.77</v>
      </c>
      <c r="E2755" s="15">
        <v>32.299999999999997</v>
      </c>
    </row>
    <row r="2756" spans="1:5">
      <c r="A2756">
        <v>2022</v>
      </c>
      <c r="B2756" t="s">
        <v>2218</v>
      </c>
      <c r="C2756" t="s">
        <v>2239</v>
      </c>
      <c r="D2756" s="14">
        <v>6.17</v>
      </c>
      <c r="E2756" s="15">
        <v>32.299999999999997</v>
      </c>
    </row>
    <row r="2757" spans="1:5">
      <c r="A2757">
        <v>2022</v>
      </c>
      <c r="B2757" t="s">
        <v>2219</v>
      </c>
      <c r="C2757" t="s">
        <v>2239</v>
      </c>
      <c r="D2757" s="14">
        <v>3.3</v>
      </c>
      <c r="E2757" s="15">
        <v>32.299999999999997</v>
      </c>
    </row>
    <row r="2758" spans="1:5">
      <c r="A2758">
        <v>2022</v>
      </c>
      <c r="B2758" t="s">
        <v>2220</v>
      </c>
      <c r="C2758" t="s">
        <v>2239</v>
      </c>
      <c r="D2758" s="14">
        <v>2.2799999999999998</v>
      </c>
      <c r="E2758" s="15">
        <v>32.299999999999997</v>
      </c>
    </row>
    <row r="2759" spans="1:5">
      <c r="A2759">
        <v>2022</v>
      </c>
      <c r="B2759" t="s">
        <v>2221</v>
      </c>
      <c r="C2759" t="s">
        <v>2239</v>
      </c>
      <c r="D2759" s="14">
        <v>4</v>
      </c>
      <c r="E2759" s="15">
        <v>32.299999999999997</v>
      </c>
    </row>
    <row r="2760" spans="1:5">
      <c r="A2760">
        <v>2022</v>
      </c>
      <c r="B2760" t="s">
        <v>2222</v>
      </c>
      <c r="C2760" t="s">
        <v>2239</v>
      </c>
      <c r="D2760" s="14">
        <v>2.36</v>
      </c>
      <c r="E2760" s="15">
        <v>32.299999999999997</v>
      </c>
    </row>
    <row r="2761" spans="1:5">
      <c r="A2761">
        <v>2022</v>
      </c>
      <c r="B2761" t="s">
        <v>2223</v>
      </c>
      <c r="C2761" t="s">
        <v>2239</v>
      </c>
      <c r="D2761" s="14">
        <v>0.32</v>
      </c>
      <c r="E2761" s="15">
        <v>32.299999999999997</v>
      </c>
    </row>
    <row r="2762" spans="1:5">
      <c r="A2762">
        <v>2023</v>
      </c>
      <c r="B2762" t="s">
        <v>2213</v>
      </c>
      <c r="C2762" t="s">
        <v>2239</v>
      </c>
      <c r="D2762" s="14">
        <v>3.05</v>
      </c>
      <c r="E2762" s="15">
        <v>33.700000000000003</v>
      </c>
    </row>
    <row r="2763" spans="1:5">
      <c r="A2763">
        <v>2023</v>
      </c>
      <c r="B2763" t="s">
        <v>2215</v>
      </c>
      <c r="C2763" t="s">
        <v>2239</v>
      </c>
      <c r="D2763" s="14">
        <v>3.75</v>
      </c>
      <c r="E2763" s="15">
        <v>33.700000000000003</v>
      </c>
    </row>
    <row r="2764" spans="1:5">
      <c r="A2764">
        <v>2023</v>
      </c>
      <c r="B2764" t="s">
        <v>2216</v>
      </c>
      <c r="C2764" t="s">
        <v>2239</v>
      </c>
      <c r="D2764" s="14">
        <v>1.36</v>
      </c>
      <c r="E2764" s="15">
        <v>33.700000000000003</v>
      </c>
    </row>
    <row r="2765" spans="1:5">
      <c r="A2765">
        <v>2023</v>
      </c>
      <c r="B2765" t="s">
        <v>2217</v>
      </c>
      <c r="C2765" t="s">
        <v>2239</v>
      </c>
      <c r="D2765" s="14">
        <v>6.35</v>
      </c>
      <c r="E2765" s="15">
        <v>33.700000000000003</v>
      </c>
    </row>
    <row r="2766" spans="1:5">
      <c r="A2766">
        <v>2023</v>
      </c>
      <c r="B2766" t="s">
        <v>2218</v>
      </c>
      <c r="C2766" t="s">
        <v>2239</v>
      </c>
      <c r="D2766" s="14">
        <v>6.65</v>
      </c>
      <c r="E2766" s="15">
        <v>33.700000000000003</v>
      </c>
    </row>
    <row r="2767" spans="1:5">
      <c r="A2767">
        <v>2023</v>
      </c>
      <c r="B2767" t="s">
        <v>2219</v>
      </c>
      <c r="C2767" t="s">
        <v>2239</v>
      </c>
      <c r="D2767" s="14">
        <v>3.51</v>
      </c>
      <c r="E2767" s="15">
        <v>33.700000000000003</v>
      </c>
    </row>
    <row r="2768" spans="1:5">
      <c r="A2768">
        <v>2023</v>
      </c>
      <c r="B2768" t="s">
        <v>2220</v>
      </c>
      <c r="C2768" t="s">
        <v>2239</v>
      </c>
      <c r="D2768" s="14">
        <v>2.37</v>
      </c>
      <c r="E2768" s="15">
        <v>33.700000000000003</v>
      </c>
    </row>
    <row r="2769" spans="1:5">
      <c r="A2769">
        <v>2023</v>
      </c>
      <c r="B2769" t="s">
        <v>2221</v>
      </c>
      <c r="C2769" t="s">
        <v>2239</v>
      </c>
      <c r="D2769" s="14">
        <v>4.54</v>
      </c>
      <c r="E2769" s="15">
        <v>33.700000000000003</v>
      </c>
    </row>
    <row r="2770" spans="1:5">
      <c r="A2770">
        <v>2023</v>
      </c>
      <c r="B2770" t="s">
        <v>2222</v>
      </c>
      <c r="C2770" t="s">
        <v>2239</v>
      </c>
      <c r="D2770" s="14">
        <v>2.4</v>
      </c>
      <c r="E2770" s="15">
        <v>33.700000000000003</v>
      </c>
    </row>
    <row r="2771" spans="1:5">
      <c r="A2771">
        <v>2023</v>
      </c>
      <c r="B2771" t="s">
        <v>2223</v>
      </c>
      <c r="C2771" t="s">
        <v>2239</v>
      </c>
      <c r="D2771" s="14">
        <v>0.35</v>
      </c>
      <c r="E2771" s="15">
        <v>33.700000000000003</v>
      </c>
    </row>
    <row r="2772" spans="1:5">
      <c r="A2772">
        <v>2024</v>
      </c>
      <c r="B2772" t="s">
        <v>2213</v>
      </c>
      <c r="C2772" t="s">
        <v>2239</v>
      </c>
      <c r="D2772" s="14">
        <v>3.24</v>
      </c>
      <c r="E2772" s="15">
        <v>35</v>
      </c>
    </row>
    <row r="2773" spans="1:5">
      <c r="A2773">
        <v>2024</v>
      </c>
      <c r="B2773" t="s">
        <v>2215</v>
      </c>
      <c r="C2773" t="s">
        <v>2239</v>
      </c>
      <c r="D2773" s="14">
        <v>3.71</v>
      </c>
      <c r="E2773" s="15">
        <v>35</v>
      </c>
    </row>
    <row r="2774" spans="1:5">
      <c r="A2774">
        <v>2024</v>
      </c>
      <c r="B2774" t="s">
        <v>2216</v>
      </c>
      <c r="C2774" t="s">
        <v>2239</v>
      </c>
      <c r="D2774" s="14">
        <v>1.36</v>
      </c>
      <c r="E2774" s="15">
        <v>35</v>
      </c>
    </row>
    <row r="2775" spans="1:5">
      <c r="A2775">
        <v>2024</v>
      </c>
      <c r="B2775" t="s">
        <v>2217</v>
      </c>
      <c r="C2775" t="s">
        <v>2239</v>
      </c>
      <c r="D2775" s="14">
        <v>6.29</v>
      </c>
      <c r="E2775" s="15">
        <v>35</v>
      </c>
    </row>
    <row r="2776" spans="1:5">
      <c r="A2776">
        <v>2024</v>
      </c>
      <c r="B2776" t="s">
        <v>2218</v>
      </c>
      <c r="C2776" t="s">
        <v>2239</v>
      </c>
      <c r="D2776" s="14">
        <v>6.79</v>
      </c>
      <c r="E2776" s="15">
        <v>35</v>
      </c>
    </row>
    <row r="2777" spans="1:5">
      <c r="A2777">
        <v>2024</v>
      </c>
      <c r="B2777" t="s">
        <v>2219</v>
      </c>
      <c r="C2777" t="s">
        <v>2239</v>
      </c>
      <c r="D2777" s="14">
        <v>3.36</v>
      </c>
      <c r="E2777" s="15">
        <v>35</v>
      </c>
    </row>
    <row r="2778" spans="1:5">
      <c r="A2778">
        <v>2024</v>
      </c>
      <c r="B2778" t="s">
        <v>2220</v>
      </c>
      <c r="C2778" t="s">
        <v>2239</v>
      </c>
      <c r="D2778" s="14">
        <v>2.25</v>
      </c>
      <c r="E2778" s="15">
        <v>35</v>
      </c>
    </row>
    <row r="2779" spans="1:5">
      <c r="A2779">
        <v>2024</v>
      </c>
      <c r="B2779" t="s">
        <v>2221</v>
      </c>
      <c r="C2779" t="s">
        <v>2239</v>
      </c>
      <c r="D2779" s="14">
        <v>4.34</v>
      </c>
      <c r="E2779" s="15">
        <v>35</v>
      </c>
    </row>
    <row r="2780" spans="1:5">
      <c r="A2780">
        <v>2024</v>
      </c>
      <c r="B2780" t="s">
        <v>2222</v>
      </c>
      <c r="C2780" t="s">
        <v>2239</v>
      </c>
      <c r="D2780" s="14">
        <v>2.65</v>
      </c>
      <c r="E2780" s="15">
        <v>35</v>
      </c>
    </row>
    <row r="2781" spans="1:5">
      <c r="A2781">
        <v>2024</v>
      </c>
      <c r="B2781" t="s">
        <v>2223</v>
      </c>
      <c r="C2781" t="s">
        <v>2239</v>
      </c>
      <c r="D2781" s="14">
        <v>0.34</v>
      </c>
      <c r="E2781" s="15">
        <v>35</v>
      </c>
    </row>
    <row r="2782" spans="1:5">
      <c r="A2782">
        <v>2025</v>
      </c>
      <c r="B2782" t="s">
        <v>2213</v>
      </c>
      <c r="C2782" t="s">
        <v>2239</v>
      </c>
      <c r="D2782" s="14">
        <v>3.54</v>
      </c>
      <c r="E2782" s="15">
        <v>36.5</v>
      </c>
    </row>
    <row r="2783" spans="1:5">
      <c r="A2783">
        <v>2025</v>
      </c>
      <c r="B2783" t="s">
        <v>2215</v>
      </c>
      <c r="C2783" t="s">
        <v>2239</v>
      </c>
      <c r="D2783" s="14">
        <v>4.01</v>
      </c>
      <c r="E2783" s="15">
        <v>36.5</v>
      </c>
    </row>
    <row r="2784" spans="1:5">
      <c r="A2784">
        <v>2025</v>
      </c>
      <c r="B2784" t="s">
        <v>2216</v>
      </c>
      <c r="C2784" t="s">
        <v>2239</v>
      </c>
      <c r="D2784" s="14">
        <v>1.46</v>
      </c>
      <c r="E2784" s="15">
        <v>36.5</v>
      </c>
    </row>
    <row r="2785" spans="1:5">
      <c r="A2785">
        <v>2025</v>
      </c>
      <c r="B2785" t="s">
        <v>2217</v>
      </c>
      <c r="C2785" t="s">
        <v>2239</v>
      </c>
      <c r="D2785" s="14">
        <v>6.19</v>
      </c>
      <c r="E2785" s="15">
        <v>36.5</v>
      </c>
    </row>
    <row r="2786" spans="1:5">
      <c r="A2786">
        <v>2025</v>
      </c>
      <c r="B2786" t="s">
        <v>2218</v>
      </c>
      <c r="C2786" t="s">
        <v>2239</v>
      </c>
      <c r="D2786" s="14">
        <v>7.3</v>
      </c>
      <c r="E2786" s="15">
        <v>36.5</v>
      </c>
    </row>
    <row r="2787" spans="1:5">
      <c r="A2787">
        <v>2025</v>
      </c>
      <c r="B2787" t="s">
        <v>2219</v>
      </c>
      <c r="C2787" t="s">
        <v>2239</v>
      </c>
      <c r="D2787" s="14">
        <v>3.94</v>
      </c>
      <c r="E2787" s="15">
        <v>36.5</v>
      </c>
    </row>
    <row r="2788" spans="1:5">
      <c r="A2788">
        <v>2025</v>
      </c>
      <c r="B2788" t="s">
        <v>2220</v>
      </c>
      <c r="C2788" t="s">
        <v>2239</v>
      </c>
      <c r="D2788" s="14">
        <v>2.72</v>
      </c>
      <c r="E2788" s="15">
        <v>36.5</v>
      </c>
    </row>
    <row r="2789" spans="1:5">
      <c r="A2789">
        <v>2025</v>
      </c>
      <c r="B2789" t="s">
        <v>2221</v>
      </c>
      <c r="C2789" t="s">
        <v>2239</v>
      </c>
      <c r="D2789" s="14">
        <v>4.87</v>
      </c>
      <c r="E2789" s="15">
        <v>36.5</v>
      </c>
    </row>
    <row r="2790" spans="1:5">
      <c r="A2790">
        <v>2025</v>
      </c>
      <c r="B2790" t="s">
        <v>2222</v>
      </c>
      <c r="C2790" t="s">
        <v>2239</v>
      </c>
      <c r="D2790" s="14">
        <v>2.44</v>
      </c>
      <c r="E2790" s="15">
        <v>36.5</v>
      </c>
    </row>
    <row r="2791" spans="1:5">
      <c r="A2791">
        <v>2025</v>
      </c>
      <c r="B2791" t="s">
        <v>2223</v>
      </c>
      <c r="C2791" t="s">
        <v>2239</v>
      </c>
      <c r="D2791" s="14">
        <v>0.35</v>
      </c>
      <c r="E2791" s="15">
        <v>36.5</v>
      </c>
    </row>
    <row r="2792" spans="1:5">
      <c r="A2792">
        <v>2026</v>
      </c>
      <c r="B2792" t="s">
        <v>2213</v>
      </c>
      <c r="C2792" t="s">
        <v>2239</v>
      </c>
      <c r="D2792" s="14">
        <v>3.31</v>
      </c>
      <c r="E2792" s="15">
        <v>38</v>
      </c>
    </row>
    <row r="2793" spans="1:5">
      <c r="A2793">
        <v>2026</v>
      </c>
      <c r="B2793" t="s">
        <v>2215</v>
      </c>
      <c r="C2793" t="s">
        <v>2239</v>
      </c>
      <c r="D2793" s="14">
        <v>4.32</v>
      </c>
      <c r="E2793" s="15">
        <v>38</v>
      </c>
    </row>
    <row r="2794" spans="1:5">
      <c r="A2794">
        <v>2026</v>
      </c>
      <c r="B2794" t="s">
        <v>2216</v>
      </c>
      <c r="C2794" t="s">
        <v>2239</v>
      </c>
      <c r="D2794" s="14">
        <v>1.62</v>
      </c>
      <c r="E2794" s="15">
        <v>38</v>
      </c>
    </row>
    <row r="2795" spans="1:5">
      <c r="A2795">
        <v>2026</v>
      </c>
      <c r="B2795" t="s">
        <v>2217</v>
      </c>
      <c r="C2795" t="s">
        <v>2239</v>
      </c>
      <c r="D2795" s="14">
        <v>6.89</v>
      </c>
      <c r="E2795" s="15">
        <v>38</v>
      </c>
    </row>
    <row r="2796" spans="1:5">
      <c r="A2796">
        <v>2026</v>
      </c>
      <c r="B2796" t="s">
        <v>2218</v>
      </c>
      <c r="C2796" t="s">
        <v>2239</v>
      </c>
      <c r="D2796" s="14">
        <v>7.51</v>
      </c>
      <c r="E2796" s="15">
        <v>38</v>
      </c>
    </row>
    <row r="2797" spans="1:5">
      <c r="A2797">
        <v>2026</v>
      </c>
      <c r="B2797" t="s">
        <v>2219</v>
      </c>
      <c r="C2797" t="s">
        <v>2239</v>
      </c>
      <c r="D2797" s="14">
        <v>4.04</v>
      </c>
      <c r="E2797" s="15">
        <v>38</v>
      </c>
    </row>
    <row r="2798" spans="1:5">
      <c r="A2798">
        <v>2026</v>
      </c>
      <c r="B2798" t="s">
        <v>2220</v>
      </c>
      <c r="C2798" t="s">
        <v>2239</v>
      </c>
      <c r="D2798" s="14">
        <v>2.56</v>
      </c>
      <c r="E2798" s="15">
        <v>38</v>
      </c>
    </row>
    <row r="2799" spans="1:5">
      <c r="A2799">
        <v>2026</v>
      </c>
      <c r="B2799" t="s">
        <v>2221</v>
      </c>
      <c r="C2799" t="s">
        <v>2239</v>
      </c>
      <c r="D2799" s="14">
        <v>5.03</v>
      </c>
      <c r="E2799" s="15">
        <v>38</v>
      </c>
    </row>
    <row r="2800" spans="1:5">
      <c r="A2800">
        <v>2026</v>
      </c>
      <c r="B2800" t="s">
        <v>2222</v>
      </c>
      <c r="C2800" t="s">
        <v>2239</v>
      </c>
      <c r="D2800" s="14">
        <v>2.71</v>
      </c>
      <c r="E2800" s="15">
        <v>38</v>
      </c>
    </row>
    <row r="2801" spans="1:5">
      <c r="A2801">
        <v>2026</v>
      </c>
      <c r="B2801" t="s">
        <v>2223</v>
      </c>
      <c r="C2801" t="s">
        <v>2239</v>
      </c>
      <c r="D2801" s="14">
        <v>0.37</v>
      </c>
      <c r="E2801" s="15">
        <v>38</v>
      </c>
    </row>
    <row r="2802" spans="1:5">
      <c r="A2802">
        <v>2010</v>
      </c>
      <c r="B2802" t="s">
        <v>2213</v>
      </c>
      <c r="C2802" t="s">
        <v>2240</v>
      </c>
      <c r="D2802" s="14">
        <v>1.36</v>
      </c>
      <c r="E2802" s="15">
        <v>28</v>
      </c>
    </row>
    <row r="2803" spans="1:5">
      <c r="A2803">
        <v>2010</v>
      </c>
      <c r="B2803" t="s">
        <v>2215</v>
      </c>
      <c r="C2803" t="s">
        <v>2240</v>
      </c>
      <c r="D2803" s="14">
        <v>1.63</v>
      </c>
      <c r="E2803" s="15">
        <v>28</v>
      </c>
    </row>
    <row r="2804" spans="1:5">
      <c r="A2804">
        <v>2010</v>
      </c>
      <c r="B2804" t="s">
        <v>2216</v>
      </c>
      <c r="C2804" t="s">
        <v>2240</v>
      </c>
      <c r="D2804" s="14">
        <v>1.19</v>
      </c>
      <c r="E2804" s="15">
        <v>28</v>
      </c>
    </row>
    <row r="2805" spans="1:5">
      <c r="A2805">
        <v>2010</v>
      </c>
      <c r="B2805" t="s">
        <v>2217</v>
      </c>
      <c r="C2805" t="s">
        <v>2240</v>
      </c>
      <c r="D2805" s="14">
        <v>5.44</v>
      </c>
      <c r="E2805" s="15">
        <v>28</v>
      </c>
    </row>
    <row r="2806" spans="1:5">
      <c r="A2806">
        <v>2010</v>
      </c>
      <c r="B2806" t="s">
        <v>2218</v>
      </c>
      <c r="C2806" t="s">
        <v>2240</v>
      </c>
      <c r="D2806" s="14">
        <v>5.63</v>
      </c>
      <c r="E2806" s="15">
        <v>28</v>
      </c>
    </row>
    <row r="2807" spans="1:5">
      <c r="A2807">
        <v>2010</v>
      </c>
      <c r="B2807" t="s">
        <v>2219</v>
      </c>
      <c r="C2807" t="s">
        <v>2240</v>
      </c>
      <c r="D2807" s="14">
        <v>2.77</v>
      </c>
      <c r="E2807" s="15">
        <v>28</v>
      </c>
    </row>
    <row r="2808" spans="1:5">
      <c r="A2808">
        <v>2010</v>
      </c>
      <c r="B2808" t="s">
        <v>2220</v>
      </c>
      <c r="C2808" t="s">
        <v>2240</v>
      </c>
      <c r="D2808" s="14">
        <v>1.91</v>
      </c>
      <c r="E2808" s="15">
        <v>28</v>
      </c>
    </row>
    <row r="2809" spans="1:5">
      <c r="A2809">
        <v>2010</v>
      </c>
      <c r="B2809" t="s">
        <v>2221</v>
      </c>
      <c r="C2809" t="s">
        <v>2240</v>
      </c>
      <c r="D2809" s="14">
        <v>6.16</v>
      </c>
      <c r="E2809" s="15">
        <v>28</v>
      </c>
    </row>
    <row r="2810" spans="1:5">
      <c r="A2810">
        <v>2010</v>
      </c>
      <c r="B2810" t="s">
        <v>2222</v>
      </c>
      <c r="C2810" t="s">
        <v>2240</v>
      </c>
      <c r="D2810" s="14">
        <v>1.92</v>
      </c>
      <c r="E2810" s="15">
        <v>28</v>
      </c>
    </row>
    <row r="2811" spans="1:5">
      <c r="A2811">
        <v>2010</v>
      </c>
      <c r="B2811" t="s">
        <v>2223</v>
      </c>
      <c r="C2811" t="s">
        <v>2240</v>
      </c>
      <c r="D2811" s="14">
        <v>0.28000000000000003</v>
      </c>
      <c r="E2811" s="15">
        <v>28</v>
      </c>
    </row>
    <row r="2812" spans="1:5">
      <c r="A2812">
        <v>2011</v>
      </c>
      <c r="B2812" t="s">
        <v>2213</v>
      </c>
      <c r="C2812" t="s">
        <v>2240</v>
      </c>
      <c r="D2812" s="14">
        <v>1.47</v>
      </c>
      <c r="E2812" s="15">
        <v>29</v>
      </c>
    </row>
    <row r="2813" spans="1:5">
      <c r="A2813">
        <v>2011</v>
      </c>
      <c r="B2813" t="s">
        <v>2215</v>
      </c>
      <c r="C2813" t="s">
        <v>2240</v>
      </c>
      <c r="D2813" s="14">
        <v>1.71</v>
      </c>
      <c r="E2813" s="15">
        <v>29</v>
      </c>
    </row>
    <row r="2814" spans="1:5">
      <c r="A2814">
        <v>2011</v>
      </c>
      <c r="B2814" t="s">
        <v>2216</v>
      </c>
      <c r="C2814" t="s">
        <v>2240</v>
      </c>
      <c r="D2814" s="14">
        <v>1.1499999999999999</v>
      </c>
      <c r="E2814" s="15">
        <v>29</v>
      </c>
    </row>
    <row r="2815" spans="1:5">
      <c r="A2815">
        <v>2011</v>
      </c>
      <c r="B2815" t="s">
        <v>2217</v>
      </c>
      <c r="C2815" t="s">
        <v>2240</v>
      </c>
      <c r="D2815" s="14">
        <v>5.18</v>
      </c>
      <c r="E2815" s="15">
        <v>29</v>
      </c>
    </row>
    <row r="2816" spans="1:5">
      <c r="A2816">
        <v>2011</v>
      </c>
      <c r="B2816" t="s">
        <v>2218</v>
      </c>
      <c r="C2816" t="s">
        <v>2240</v>
      </c>
      <c r="D2816" s="14">
        <v>5.73</v>
      </c>
      <c r="E2816" s="15">
        <v>29</v>
      </c>
    </row>
    <row r="2817" spans="1:5">
      <c r="A2817">
        <v>2011</v>
      </c>
      <c r="B2817" t="s">
        <v>2219</v>
      </c>
      <c r="C2817" t="s">
        <v>2240</v>
      </c>
      <c r="D2817" s="14">
        <v>2.85</v>
      </c>
      <c r="E2817" s="15">
        <v>29</v>
      </c>
    </row>
    <row r="2818" spans="1:5">
      <c r="A2818">
        <v>2011</v>
      </c>
      <c r="B2818" t="s">
        <v>2220</v>
      </c>
      <c r="C2818" t="s">
        <v>2240</v>
      </c>
      <c r="D2818" s="14">
        <v>2.09</v>
      </c>
      <c r="E2818" s="15">
        <v>29</v>
      </c>
    </row>
    <row r="2819" spans="1:5">
      <c r="A2819">
        <v>2011</v>
      </c>
      <c r="B2819" t="s">
        <v>2221</v>
      </c>
      <c r="C2819" t="s">
        <v>2240</v>
      </c>
      <c r="D2819" s="14">
        <v>5.94</v>
      </c>
      <c r="E2819" s="15">
        <v>29</v>
      </c>
    </row>
    <row r="2820" spans="1:5">
      <c r="A2820">
        <v>2011</v>
      </c>
      <c r="B2820" t="s">
        <v>2222</v>
      </c>
      <c r="C2820" t="s">
        <v>2240</v>
      </c>
      <c r="D2820" s="14">
        <v>2.16</v>
      </c>
      <c r="E2820" s="15">
        <v>29</v>
      </c>
    </row>
    <row r="2821" spans="1:5">
      <c r="A2821">
        <v>2011</v>
      </c>
      <c r="B2821" t="s">
        <v>2223</v>
      </c>
      <c r="C2821" t="s">
        <v>2240</v>
      </c>
      <c r="D2821" s="14">
        <v>0.28999999999999998</v>
      </c>
      <c r="E2821" s="15">
        <v>29</v>
      </c>
    </row>
    <row r="2822" spans="1:5">
      <c r="A2822">
        <v>2012</v>
      </c>
      <c r="B2822" t="s">
        <v>2213</v>
      </c>
      <c r="C2822" t="s">
        <v>2240</v>
      </c>
      <c r="D2822" s="14">
        <v>1.54</v>
      </c>
      <c r="E2822" s="15">
        <v>30</v>
      </c>
    </row>
    <row r="2823" spans="1:5">
      <c r="A2823">
        <v>2012</v>
      </c>
      <c r="B2823" t="s">
        <v>2215</v>
      </c>
      <c r="C2823" t="s">
        <v>2240</v>
      </c>
      <c r="D2823" s="14">
        <v>1.85</v>
      </c>
      <c r="E2823" s="15">
        <v>30</v>
      </c>
    </row>
    <row r="2824" spans="1:5">
      <c r="A2824">
        <v>2012</v>
      </c>
      <c r="B2824" t="s">
        <v>2216</v>
      </c>
      <c r="C2824" t="s">
        <v>2240</v>
      </c>
      <c r="D2824" s="14">
        <v>1.17</v>
      </c>
      <c r="E2824" s="15">
        <v>30</v>
      </c>
    </row>
    <row r="2825" spans="1:5">
      <c r="A2825">
        <v>2012</v>
      </c>
      <c r="B2825" t="s">
        <v>2217</v>
      </c>
      <c r="C2825" t="s">
        <v>2240</v>
      </c>
      <c r="D2825" s="14">
        <v>5.21</v>
      </c>
      <c r="E2825" s="15">
        <v>30</v>
      </c>
    </row>
    <row r="2826" spans="1:5">
      <c r="A2826">
        <v>2012</v>
      </c>
      <c r="B2826" t="s">
        <v>2218</v>
      </c>
      <c r="C2826" t="s">
        <v>2240</v>
      </c>
      <c r="D2826" s="14">
        <v>5.76</v>
      </c>
      <c r="E2826" s="15">
        <v>30</v>
      </c>
    </row>
    <row r="2827" spans="1:5">
      <c r="A2827">
        <v>2012</v>
      </c>
      <c r="B2827" t="s">
        <v>2219</v>
      </c>
      <c r="C2827" t="s">
        <v>2240</v>
      </c>
      <c r="D2827" s="14">
        <v>2.97</v>
      </c>
      <c r="E2827" s="15">
        <v>30</v>
      </c>
    </row>
    <row r="2828" spans="1:5">
      <c r="A2828">
        <v>2012</v>
      </c>
      <c r="B2828" t="s">
        <v>2220</v>
      </c>
      <c r="C2828" t="s">
        <v>2240</v>
      </c>
      <c r="D2828" s="14">
        <v>2.16</v>
      </c>
      <c r="E2828" s="15">
        <v>30</v>
      </c>
    </row>
    <row r="2829" spans="1:5">
      <c r="A2829">
        <v>2012</v>
      </c>
      <c r="B2829" t="s">
        <v>2221</v>
      </c>
      <c r="C2829" t="s">
        <v>2240</v>
      </c>
      <c r="D2829" s="14">
        <v>6.45</v>
      </c>
      <c r="E2829" s="15">
        <v>30</v>
      </c>
    </row>
    <row r="2830" spans="1:5">
      <c r="A2830">
        <v>2012</v>
      </c>
      <c r="B2830" t="s">
        <v>2222</v>
      </c>
      <c r="C2830" t="s">
        <v>2240</v>
      </c>
      <c r="D2830" s="14">
        <v>2.15</v>
      </c>
      <c r="E2830" s="15">
        <v>30</v>
      </c>
    </row>
    <row r="2831" spans="1:5">
      <c r="A2831">
        <v>2012</v>
      </c>
      <c r="B2831" t="s">
        <v>2223</v>
      </c>
      <c r="C2831" t="s">
        <v>2240</v>
      </c>
      <c r="D2831" s="14">
        <v>0.27</v>
      </c>
      <c r="E2831" s="15">
        <v>30</v>
      </c>
    </row>
    <row r="2832" spans="1:5">
      <c r="A2832">
        <v>2013</v>
      </c>
      <c r="B2832" t="s">
        <v>2213</v>
      </c>
      <c r="C2832" t="s">
        <v>2240</v>
      </c>
      <c r="D2832" s="14">
        <v>1.53</v>
      </c>
      <c r="E2832" s="15">
        <v>31</v>
      </c>
    </row>
    <row r="2833" spans="1:5">
      <c r="A2833">
        <v>2013</v>
      </c>
      <c r="B2833" t="s">
        <v>2215</v>
      </c>
      <c r="C2833" t="s">
        <v>2240</v>
      </c>
      <c r="D2833" s="14">
        <v>1.95</v>
      </c>
      <c r="E2833" s="15">
        <v>31</v>
      </c>
    </row>
    <row r="2834" spans="1:5">
      <c r="A2834">
        <v>2013</v>
      </c>
      <c r="B2834" t="s">
        <v>2216</v>
      </c>
      <c r="C2834" t="s">
        <v>2240</v>
      </c>
      <c r="D2834" s="14">
        <v>1.23</v>
      </c>
      <c r="E2834" s="15">
        <v>31</v>
      </c>
    </row>
    <row r="2835" spans="1:5">
      <c r="A2835">
        <v>2013</v>
      </c>
      <c r="B2835" t="s">
        <v>2217</v>
      </c>
      <c r="C2835" t="s">
        <v>2240</v>
      </c>
      <c r="D2835" s="14">
        <v>5.4</v>
      </c>
      <c r="E2835" s="15">
        <v>31</v>
      </c>
    </row>
    <row r="2836" spans="1:5">
      <c r="A2836">
        <v>2013</v>
      </c>
      <c r="B2836" t="s">
        <v>2218</v>
      </c>
      <c r="C2836" t="s">
        <v>2240</v>
      </c>
      <c r="D2836" s="14">
        <v>6.04</v>
      </c>
      <c r="E2836" s="15">
        <v>31</v>
      </c>
    </row>
    <row r="2837" spans="1:5">
      <c r="A2837">
        <v>2013</v>
      </c>
      <c r="B2837" t="s">
        <v>2219</v>
      </c>
      <c r="C2837" t="s">
        <v>2240</v>
      </c>
      <c r="D2837" s="14">
        <v>2.75</v>
      </c>
      <c r="E2837" s="15">
        <v>31</v>
      </c>
    </row>
    <row r="2838" spans="1:5">
      <c r="A2838">
        <v>2013</v>
      </c>
      <c r="B2838" t="s">
        <v>2220</v>
      </c>
      <c r="C2838" t="s">
        <v>2240</v>
      </c>
      <c r="D2838" s="14">
        <v>2.08</v>
      </c>
      <c r="E2838" s="15">
        <v>31</v>
      </c>
    </row>
    <row r="2839" spans="1:5">
      <c r="A2839">
        <v>2013</v>
      </c>
      <c r="B2839" t="s">
        <v>2221</v>
      </c>
      <c r="C2839" t="s">
        <v>2240</v>
      </c>
      <c r="D2839" s="14">
        <v>7.11</v>
      </c>
      <c r="E2839" s="15">
        <v>31</v>
      </c>
    </row>
    <row r="2840" spans="1:5">
      <c r="A2840">
        <v>2013</v>
      </c>
      <c r="B2840" t="s">
        <v>2222</v>
      </c>
      <c r="C2840" t="s">
        <v>2240</v>
      </c>
      <c r="D2840" s="14">
        <v>2.12</v>
      </c>
      <c r="E2840" s="15">
        <v>31</v>
      </c>
    </row>
    <row r="2841" spans="1:5">
      <c r="A2841">
        <v>2013</v>
      </c>
      <c r="B2841" t="s">
        <v>2223</v>
      </c>
      <c r="C2841" t="s">
        <v>2240</v>
      </c>
      <c r="D2841" s="14">
        <v>0.3</v>
      </c>
      <c r="E2841" s="15">
        <v>31</v>
      </c>
    </row>
    <row r="2842" spans="1:5">
      <c r="A2842">
        <v>2014</v>
      </c>
      <c r="B2842" t="s">
        <v>2213</v>
      </c>
      <c r="C2842" t="s">
        <v>2240</v>
      </c>
      <c r="D2842" s="14">
        <v>1.46</v>
      </c>
      <c r="E2842" s="15">
        <v>32</v>
      </c>
    </row>
    <row r="2843" spans="1:5">
      <c r="A2843">
        <v>2014</v>
      </c>
      <c r="B2843" t="s">
        <v>2215</v>
      </c>
      <c r="C2843" t="s">
        <v>2240</v>
      </c>
      <c r="D2843" s="14">
        <v>1.8</v>
      </c>
      <c r="E2843" s="15">
        <v>32</v>
      </c>
    </row>
    <row r="2844" spans="1:5">
      <c r="A2844">
        <v>2014</v>
      </c>
      <c r="B2844" t="s">
        <v>2216</v>
      </c>
      <c r="C2844" t="s">
        <v>2240</v>
      </c>
      <c r="D2844" s="14">
        <v>1.34</v>
      </c>
      <c r="E2844" s="15">
        <v>32</v>
      </c>
    </row>
    <row r="2845" spans="1:5">
      <c r="A2845">
        <v>2014</v>
      </c>
      <c r="B2845" t="s">
        <v>2217</v>
      </c>
      <c r="C2845" t="s">
        <v>2240</v>
      </c>
      <c r="D2845" s="14">
        <v>5.9</v>
      </c>
      <c r="E2845" s="15">
        <v>32</v>
      </c>
    </row>
    <row r="2846" spans="1:5">
      <c r="A2846">
        <v>2014</v>
      </c>
      <c r="B2846" t="s">
        <v>2218</v>
      </c>
      <c r="C2846" t="s">
        <v>2240</v>
      </c>
      <c r="D2846" s="14">
        <v>6.08</v>
      </c>
      <c r="E2846" s="15">
        <v>32</v>
      </c>
    </row>
    <row r="2847" spans="1:5">
      <c r="A2847">
        <v>2014</v>
      </c>
      <c r="B2847" t="s">
        <v>2219</v>
      </c>
      <c r="C2847" t="s">
        <v>2240</v>
      </c>
      <c r="D2847" s="14">
        <v>3.12</v>
      </c>
      <c r="E2847" s="15">
        <v>32</v>
      </c>
    </row>
    <row r="2848" spans="1:5">
      <c r="A2848">
        <v>2014</v>
      </c>
      <c r="B2848" t="s">
        <v>2220</v>
      </c>
      <c r="C2848" t="s">
        <v>2240</v>
      </c>
      <c r="D2848" s="14">
        <v>2.2400000000000002</v>
      </c>
      <c r="E2848" s="15">
        <v>32</v>
      </c>
    </row>
    <row r="2849" spans="1:5">
      <c r="A2849">
        <v>2014</v>
      </c>
      <c r="B2849" t="s">
        <v>2221</v>
      </c>
      <c r="C2849" t="s">
        <v>2240</v>
      </c>
      <c r="D2849" s="14">
        <v>6.71</v>
      </c>
      <c r="E2849" s="15">
        <v>32</v>
      </c>
    </row>
    <row r="2850" spans="1:5">
      <c r="A2850">
        <v>2014</v>
      </c>
      <c r="B2850" t="s">
        <v>2222</v>
      </c>
      <c r="C2850" t="s">
        <v>2240</v>
      </c>
      <c r="D2850" s="14">
        <v>2.0699999999999998</v>
      </c>
      <c r="E2850" s="15">
        <v>32</v>
      </c>
    </row>
    <row r="2851" spans="1:5">
      <c r="A2851">
        <v>2014</v>
      </c>
      <c r="B2851" t="s">
        <v>2223</v>
      </c>
      <c r="C2851" t="s">
        <v>2240</v>
      </c>
      <c r="D2851" s="14">
        <v>0.32</v>
      </c>
      <c r="E2851" s="15">
        <v>32</v>
      </c>
    </row>
    <row r="2852" spans="1:5">
      <c r="A2852">
        <v>2015</v>
      </c>
      <c r="B2852" t="s">
        <v>2213</v>
      </c>
      <c r="C2852" t="s">
        <v>2240</v>
      </c>
      <c r="D2852" s="14">
        <v>1.69</v>
      </c>
      <c r="E2852" s="15">
        <v>33</v>
      </c>
    </row>
    <row r="2853" spans="1:5">
      <c r="A2853">
        <v>2015</v>
      </c>
      <c r="B2853" t="s">
        <v>2215</v>
      </c>
      <c r="C2853" t="s">
        <v>2240</v>
      </c>
      <c r="D2853" s="14">
        <v>2.0299999999999998</v>
      </c>
      <c r="E2853" s="15">
        <v>33</v>
      </c>
    </row>
    <row r="2854" spans="1:5">
      <c r="A2854">
        <v>2015</v>
      </c>
      <c r="B2854" t="s">
        <v>2216</v>
      </c>
      <c r="C2854" t="s">
        <v>2240</v>
      </c>
      <c r="D2854" s="14">
        <v>1.37</v>
      </c>
      <c r="E2854" s="15">
        <v>33</v>
      </c>
    </row>
    <row r="2855" spans="1:5">
      <c r="A2855">
        <v>2015</v>
      </c>
      <c r="B2855" t="s">
        <v>2217</v>
      </c>
      <c r="C2855" t="s">
        <v>2240</v>
      </c>
      <c r="D2855" s="14">
        <v>5.58</v>
      </c>
      <c r="E2855" s="15">
        <v>33</v>
      </c>
    </row>
    <row r="2856" spans="1:5">
      <c r="A2856">
        <v>2015</v>
      </c>
      <c r="B2856" t="s">
        <v>2218</v>
      </c>
      <c r="C2856" t="s">
        <v>2240</v>
      </c>
      <c r="D2856" s="14">
        <v>6.62</v>
      </c>
      <c r="E2856" s="15">
        <v>33</v>
      </c>
    </row>
    <row r="2857" spans="1:5">
      <c r="A2857">
        <v>2015</v>
      </c>
      <c r="B2857" t="s">
        <v>2219</v>
      </c>
      <c r="C2857" t="s">
        <v>2240</v>
      </c>
      <c r="D2857" s="14">
        <v>3.26</v>
      </c>
      <c r="E2857" s="15">
        <v>33</v>
      </c>
    </row>
    <row r="2858" spans="1:5">
      <c r="A2858">
        <v>2015</v>
      </c>
      <c r="B2858" t="s">
        <v>2220</v>
      </c>
      <c r="C2858" t="s">
        <v>2240</v>
      </c>
      <c r="D2858" s="14">
        <v>2.2999999999999998</v>
      </c>
      <c r="E2858" s="15">
        <v>33</v>
      </c>
    </row>
    <row r="2859" spans="1:5">
      <c r="A2859">
        <v>2015</v>
      </c>
      <c r="B2859" t="s">
        <v>2221</v>
      </c>
      <c r="C2859" t="s">
        <v>2240</v>
      </c>
      <c r="D2859" s="14">
        <v>7.2</v>
      </c>
      <c r="E2859" s="15">
        <v>33</v>
      </c>
    </row>
    <row r="2860" spans="1:5">
      <c r="A2860">
        <v>2015</v>
      </c>
      <c r="B2860" t="s">
        <v>2222</v>
      </c>
      <c r="C2860" t="s">
        <v>2240</v>
      </c>
      <c r="D2860" s="14">
        <v>2.25</v>
      </c>
      <c r="E2860" s="15">
        <v>33</v>
      </c>
    </row>
    <row r="2861" spans="1:5">
      <c r="A2861">
        <v>2015</v>
      </c>
      <c r="B2861" t="s">
        <v>2223</v>
      </c>
      <c r="C2861" t="s">
        <v>2240</v>
      </c>
      <c r="D2861" s="14">
        <v>0.28999999999999998</v>
      </c>
      <c r="E2861" s="15">
        <v>33</v>
      </c>
    </row>
    <row r="2862" spans="1:5">
      <c r="A2862">
        <v>2016</v>
      </c>
      <c r="B2862" t="s">
        <v>2213</v>
      </c>
      <c r="C2862" t="s">
        <v>2240</v>
      </c>
      <c r="D2862" s="14">
        <v>1.83</v>
      </c>
      <c r="E2862" s="15">
        <v>35</v>
      </c>
    </row>
    <row r="2863" spans="1:5">
      <c r="A2863">
        <v>2016</v>
      </c>
      <c r="B2863" t="s">
        <v>2215</v>
      </c>
      <c r="C2863" t="s">
        <v>2240</v>
      </c>
      <c r="D2863" s="14">
        <v>2.13</v>
      </c>
      <c r="E2863" s="15">
        <v>35</v>
      </c>
    </row>
    <row r="2864" spans="1:5">
      <c r="A2864">
        <v>2016</v>
      </c>
      <c r="B2864" t="s">
        <v>2216</v>
      </c>
      <c r="C2864" t="s">
        <v>2240</v>
      </c>
      <c r="D2864" s="14">
        <v>1.32</v>
      </c>
      <c r="E2864" s="15">
        <v>35</v>
      </c>
    </row>
    <row r="2865" spans="1:5">
      <c r="A2865">
        <v>2016</v>
      </c>
      <c r="B2865" t="s">
        <v>2217</v>
      </c>
      <c r="C2865" t="s">
        <v>2240</v>
      </c>
      <c r="D2865" s="14">
        <v>6.42</v>
      </c>
      <c r="E2865" s="15">
        <v>35</v>
      </c>
    </row>
    <row r="2866" spans="1:5">
      <c r="A2866">
        <v>2016</v>
      </c>
      <c r="B2866" t="s">
        <v>2218</v>
      </c>
      <c r="C2866" t="s">
        <v>2240</v>
      </c>
      <c r="D2866" s="14">
        <v>6.88</v>
      </c>
      <c r="E2866" s="15">
        <v>35</v>
      </c>
    </row>
    <row r="2867" spans="1:5">
      <c r="A2867">
        <v>2016</v>
      </c>
      <c r="B2867" t="s">
        <v>2219</v>
      </c>
      <c r="C2867" t="s">
        <v>2240</v>
      </c>
      <c r="D2867" s="14">
        <v>3.44</v>
      </c>
      <c r="E2867" s="15">
        <v>35</v>
      </c>
    </row>
    <row r="2868" spans="1:5">
      <c r="A2868">
        <v>2016</v>
      </c>
      <c r="B2868" t="s">
        <v>2220</v>
      </c>
      <c r="C2868" t="s">
        <v>2240</v>
      </c>
      <c r="D2868" s="14">
        <v>2.38</v>
      </c>
      <c r="E2868" s="15">
        <v>35</v>
      </c>
    </row>
    <row r="2869" spans="1:5">
      <c r="A2869">
        <v>2016</v>
      </c>
      <c r="B2869" t="s">
        <v>2221</v>
      </c>
      <c r="C2869" t="s">
        <v>2240</v>
      </c>
      <c r="D2869" s="14">
        <v>7.87</v>
      </c>
      <c r="E2869" s="15">
        <v>35</v>
      </c>
    </row>
    <row r="2870" spans="1:5">
      <c r="A2870">
        <v>2016</v>
      </c>
      <c r="B2870" t="s">
        <v>2222</v>
      </c>
      <c r="C2870" t="s">
        <v>2240</v>
      </c>
      <c r="D2870" s="14">
        <v>2.37</v>
      </c>
      <c r="E2870" s="15">
        <v>35</v>
      </c>
    </row>
    <row r="2871" spans="1:5">
      <c r="A2871">
        <v>2016</v>
      </c>
      <c r="B2871" t="s">
        <v>2223</v>
      </c>
      <c r="C2871" t="s">
        <v>2240</v>
      </c>
      <c r="D2871" s="14">
        <v>0.33</v>
      </c>
      <c r="E2871" s="15">
        <v>35</v>
      </c>
    </row>
    <row r="2872" spans="1:5">
      <c r="A2872">
        <v>2017</v>
      </c>
      <c r="B2872" t="s">
        <v>2213</v>
      </c>
      <c r="C2872" t="s">
        <v>2240</v>
      </c>
      <c r="D2872" s="14">
        <v>1.94</v>
      </c>
      <c r="E2872" s="15">
        <v>37</v>
      </c>
    </row>
    <row r="2873" spans="1:5">
      <c r="A2873">
        <v>2017</v>
      </c>
      <c r="B2873" t="s">
        <v>2215</v>
      </c>
      <c r="C2873" t="s">
        <v>2240</v>
      </c>
      <c r="D2873" s="14">
        <v>2.2000000000000002</v>
      </c>
      <c r="E2873" s="15">
        <v>37</v>
      </c>
    </row>
    <row r="2874" spans="1:5">
      <c r="A2874">
        <v>2017</v>
      </c>
      <c r="B2874" t="s">
        <v>2216</v>
      </c>
      <c r="C2874" t="s">
        <v>2240</v>
      </c>
      <c r="D2874" s="14">
        <v>1.47</v>
      </c>
      <c r="E2874" s="15">
        <v>37</v>
      </c>
    </row>
    <row r="2875" spans="1:5">
      <c r="A2875">
        <v>2017</v>
      </c>
      <c r="B2875" t="s">
        <v>2217</v>
      </c>
      <c r="C2875" t="s">
        <v>2240</v>
      </c>
      <c r="D2875" s="14">
        <v>6.85</v>
      </c>
      <c r="E2875" s="15">
        <v>37</v>
      </c>
    </row>
    <row r="2876" spans="1:5">
      <c r="A2876">
        <v>2017</v>
      </c>
      <c r="B2876" t="s">
        <v>2218</v>
      </c>
      <c r="C2876" t="s">
        <v>2240</v>
      </c>
      <c r="D2876" s="14">
        <v>7.21</v>
      </c>
      <c r="E2876" s="15">
        <v>37</v>
      </c>
    </row>
    <row r="2877" spans="1:5">
      <c r="A2877">
        <v>2017</v>
      </c>
      <c r="B2877" t="s">
        <v>2219</v>
      </c>
      <c r="C2877" t="s">
        <v>2240</v>
      </c>
      <c r="D2877" s="14">
        <v>3.63</v>
      </c>
      <c r="E2877" s="15">
        <v>37</v>
      </c>
    </row>
    <row r="2878" spans="1:5">
      <c r="A2878">
        <v>2017</v>
      </c>
      <c r="B2878" t="s">
        <v>2220</v>
      </c>
      <c r="C2878" t="s">
        <v>2240</v>
      </c>
      <c r="D2878" s="14">
        <v>2.62</v>
      </c>
      <c r="E2878" s="15">
        <v>37</v>
      </c>
    </row>
    <row r="2879" spans="1:5">
      <c r="A2879">
        <v>2017</v>
      </c>
      <c r="B2879" t="s">
        <v>2221</v>
      </c>
      <c r="C2879" t="s">
        <v>2240</v>
      </c>
      <c r="D2879" s="14">
        <v>7.65</v>
      </c>
      <c r="E2879" s="15">
        <v>37</v>
      </c>
    </row>
    <row r="2880" spans="1:5">
      <c r="A2880">
        <v>2017</v>
      </c>
      <c r="B2880" t="s">
        <v>2222</v>
      </c>
      <c r="C2880" t="s">
        <v>2240</v>
      </c>
      <c r="D2880" s="14">
        <v>2.61</v>
      </c>
      <c r="E2880" s="15">
        <v>37</v>
      </c>
    </row>
    <row r="2881" spans="1:5">
      <c r="A2881">
        <v>2017</v>
      </c>
      <c r="B2881" t="s">
        <v>2223</v>
      </c>
      <c r="C2881" t="s">
        <v>2240</v>
      </c>
      <c r="D2881" s="14">
        <v>0.36</v>
      </c>
      <c r="E2881" s="15">
        <v>37</v>
      </c>
    </row>
    <row r="2882" spans="1:5">
      <c r="A2882">
        <v>2018</v>
      </c>
      <c r="B2882" t="s">
        <v>2213</v>
      </c>
      <c r="C2882" t="s">
        <v>2240</v>
      </c>
      <c r="D2882" s="14">
        <v>2.02</v>
      </c>
      <c r="E2882" s="15">
        <v>39</v>
      </c>
    </row>
    <row r="2883" spans="1:5">
      <c r="A2883">
        <v>2018</v>
      </c>
      <c r="B2883" t="s">
        <v>2215</v>
      </c>
      <c r="C2883" t="s">
        <v>2240</v>
      </c>
      <c r="D2883" s="14">
        <v>2.39</v>
      </c>
      <c r="E2883" s="15">
        <v>39</v>
      </c>
    </row>
    <row r="2884" spans="1:5">
      <c r="A2884">
        <v>2018</v>
      </c>
      <c r="B2884" t="s">
        <v>2216</v>
      </c>
      <c r="C2884" t="s">
        <v>2240</v>
      </c>
      <c r="D2884" s="14">
        <v>1.59</v>
      </c>
      <c r="E2884" s="15">
        <v>39</v>
      </c>
    </row>
    <row r="2885" spans="1:5">
      <c r="A2885">
        <v>2018</v>
      </c>
      <c r="B2885" t="s">
        <v>2217</v>
      </c>
      <c r="C2885" t="s">
        <v>2240</v>
      </c>
      <c r="D2885" s="14">
        <v>6.58</v>
      </c>
      <c r="E2885" s="15">
        <v>39</v>
      </c>
    </row>
    <row r="2886" spans="1:5">
      <c r="A2886">
        <v>2018</v>
      </c>
      <c r="B2886" t="s">
        <v>2218</v>
      </c>
      <c r="C2886" t="s">
        <v>2240</v>
      </c>
      <c r="D2886" s="14">
        <v>7.77</v>
      </c>
      <c r="E2886" s="15">
        <v>39</v>
      </c>
    </row>
    <row r="2887" spans="1:5">
      <c r="A2887">
        <v>2018</v>
      </c>
      <c r="B2887" t="s">
        <v>2219</v>
      </c>
      <c r="C2887" t="s">
        <v>2240</v>
      </c>
      <c r="D2887" s="14">
        <v>3.72</v>
      </c>
      <c r="E2887" s="15">
        <v>39</v>
      </c>
    </row>
    <row r="2888" spans="1:5">
      <c r="A2888">
        <v>2018</v>
      </c>
      <c r="B2888" t="s">
        <v>2220</v>
      </c>
      <c r="C2888" t="s">
        <v>2240</v>
      </c>
      <c r="D2888" s="14">
        <v>2.73</v>
      </c>
      <c r="E2888" s="15">
        <v>39</v>
      </c>
    </row>
    <row r="2889" spans="1:5">
      <c r="A2889">
        <v>2018</v>
      </c>
      <c r="B2889" t="s">
        <v>2221</v>
      </c>
      <c r="C2889" t="s">
        <v>2240</v>
      </c>
      <c r="D2889" s="14">
        <v>7.82</v>
      </c>
      <c r="E2889" s="15">
        <v>39</v>
      </c>
    </row>
    <row r="2890" spans="1:5">
      <c r="A2890">
        <v>2018</v>
      </c>
      <c r="B2890" t="s">
        <v>2222</v>
      </c>
      <c r="C2890" t="s">
        <v>2240</v>
      </c>
      <c r="D2890" s="14">
        <v>2.57</v>
      </c>
      <c r="E2890" s="15">
        <v>39</v>
      </c>
    </row>
    <row r="2891" spans="1:5">
      <c r="A2891">
        <v>2018</v>
      </c>
      <c r="B2891" t="s">
        <v>2223</v>
      </c>
      <c r="C2891" t="s">
        <v>2240</v>
      </c>
      <c r="D2891" s="14">
        <v>0.41</v>
      </c>
      <c r="E2891" s="15">
        <v>39</v>
      </c>
    </row>
    <row r="2892" spans="1:5">
      <c r="A2892">
        <v>2019</v>
      </c>
      <c r="B2892" t="s">
        <v>2213</v>
      </c>
      <c r="C2892" t="s">
        <v>2240</v>
      </c>
      <c r="D2892" s="14">
        <v>2.08</v>
      </c>
      <c r="E2892" s="15">
        <v>41</v>
      </c>
    </row>
    <row r="2893" spans="1:5">
      <c r="A2893">
        <v>2019</v>
      </c>
      <c r="B2893" t="s">
        <v>2215</v>
      </c>
      <c r="C2893" t="s">
        <v>2240</v>
      </c>
      <c r="D2893" s="14">
        <v>2.4300000000000002</v>
      </c>
      <c r="E2893" s="15">
        <v>41</v>
      </c>
    </row>
    <row r="2894" spans="1:5">
      <c r="A2894">
        <v>2019</v>
      </c>
      <c r="B2894" t="s">
        <v>2216</v>
      </c>
      <c r="C2894" t="s">
        <v>2240</v>
      </c>
      <c r="D2894" s="14">
        <v>1.58</v>
      </c>
      <c r="E2894" s="15">
        <v>41</v>
      </c>
    </row>
    <row r="2895" spans="1:5">
      <c r="A2895">
        <v>2019</v>
      </c>
      <c r="B2895" t="s">
        <v>2217</v>
      </c>
      <c r="C2895" t="s">
        <v>2240</v>
      </c>
      <c r="D2895" s="14">
        <v>7.07</v>
      </c>
      <c r="E2895" s="15">
        <v>41</v>
      </c>
    </row>
    <row r="2896" spans="1:5">
      <c r="A2896">
        <v>2019</v>
      </c>
      <c r="B2896" t="s">
        <v>2218</v>
      </c>
      <c r="C2896" t="s">
        <v>2240</v>
      </c>
      <c r="D2896" s="14">
        <v>8.27</v>
      </c>
      <c r="E2896" s="15">
        <v>41</v>
      </c>
    </row>
    <row r="2897" spans="1:5">
      <c r="A2897">
        <v>2019</v>
      </c>
      <c r="B2897" t="s">
        <v>2219</v>
      </c>
      <c r="C2897" t="s">
        <v>2240</v>
      </c>
      <c r="D2897" s="14">
        <v>4.04</v>
      </c>
      <c r="E2897" s="15">
        <v>41</v>
      </c>
    </row>
    <row r="2898" spans="1:5">
      <c r="A2898">
        <v>2019</v>
      </c>
      <c r="B2898" t="s">
        <v>2220</v>
      </c>
      <c r="C2898" t="s">
        <v>2240</v>
      </c>
      <c r="D2898" s="14">
        <v>3.05</v>
      </c>
      <c r="E2898" s="15">
        <v>41</v>
      </c>
    </row>
    <row r="2899" spans="1:5">
      <c r="A2899">
        <v>2019</v>
      </c>
      <c r="B2899" t="s">
        <v>2221</v>
      </c>
      <c r="C2899" t="s">
        <v>2240</v>
      </c>
      <c r="D2899" s="14">
        <v>8.9499999999999993</v>
      </c>
      <c r="E2899" s="15">
        <v>41</v>
      </c>
    </row>
    <row r="2900" spans="1:5">
      <c r="A2900">
        <v>2019</v>
      </c>
      <c r="B2900" t="s">
        <v>2222</v>
      </c>
      <c r="C2900" t="s">
        <v>2240</v>
      </c>
      <c r="D2900" s="14">
        <v>2.88</v>
      </c>
      <c r="E2900" s="15">
        <v>41</v>
      </c>
    </row>
    <row r="2901" spans="1:5">
      <c r="A2901">
        <v>2019</v>
      </c>
      <c r="B2901" t="s">
        <v>2223</v>
      </c>
      <c r="C2901" t="s">
        <v>2240</v>
      </c>
      <c r="D2901" s="14">
        <v>0.39</v>
      </c>
      <c r="E2901" s="15">
        <v>41</v>
      </c>
    </row>
    <row r="2902" spans="1:5">
      <c r="A2902">
        <v>2020</v>
      </c>
      <c r="B2902" t="s">
        <v>2213</v>
      </c>
      <c r="C2902" t="s">
        <v>2240</v>
      </c>
      <c r="D2902" s="14">
        <v>2.09</v>
      </c>
      <c r="E2902" s="15">
        <v>42.5</v>
      </c>
    </row>
    <row r="2903" spans="1:5">
      <c r="A2903">
        <v>2020</v>
      </c>
      <c r="B2903" t="s">
        <v>2215</v>
      </c>
      <c r="C2903" t="s">
        <v>2240</v>
      </c>
      <c r="D2903" s="14">
        <v>2.57</v>
      </c>
      <c r="E2903" s="15">
        <v>42.5</v>
      </c>
    </row>
    <row r="2904" spans="1:5">
      <c r="A2904">
        <v>2020</v>
      </c>
      <c r="B2904" t="s">
        <v>2216</v>
      </c>
      <c r="C2904" t="s">
        <v>2240</v>
      </c>
      <c r="D2904" s="14">
        <v>1.67</v>
      </c>
      <c r="E2904" s="15">
        <v>42.5</v>
      </c>
    </row>
    <row r="2905" spans="1:5">
      <c r="A2905">
        <v>2020</v>
      </c>
      <c r="B2905" t="s">
        <v>2217</v>
      </c>
      <c r="C2905" t="s">
        <v>2240</v>
      </c>
      <c r="D2905" s="14">
        <v>7.5</v>
      </c>
      <c r="E2905" s="15">
        <v>42.5</v>
      </c>
    </row>
    <row r="2906" spans="1:5">
      <c r="A2906">
        <v>2020</v>
      </c>
      <c r="B2906" t="s">
        <v>2218</v>
      </c>
      <c r="C2906" t="s">
        <v>2240</v>
      </c>
      <c r="D2906" s="14">
        <v>8.61</v>
      </c>
      <c r="E2906" s="15">
        <v>42.5</v>
      </c>
    </row>
    <row r="2907" spans="1:5">
      <c r="A2907">
        <v>2020</v>
      </c>
      <c r="B2907" t="s">
        <v>2219</v>
      </c>
      <c r="C2907" t="s">
        <v>2240</v>
      </c>
      <c r="D2907" s="14">
        <v>4.5199999999999996</v>
      </c>
      <c r="E2907" s="15">
        <v>42.5</v>
      </c>
    </row>
    <row r="2908" spans="1:5">
      <c r="A2908">
        <v>2020</v>
      </c>
      <c r="B2908" t="s">
        <v>2220</v>
      </c>
      <c r="C2908" t="s">
        <v>2240</v>
      </c>
      <c r="D2908" s="14">
        <v>2.99</v>
      </c>
      <c r="E2908" s="15">
        <v>42.5</v>
      </c>
    </row>
    <row r="2909" spans="1:5">
      <c r="A2909">
        <v>2020</v>
      </c>
      <c r="B2909" t="s">
        <v>2221</v>
      </c>
      <c r="C2909" t="s">
        <v>2240</v>
      </c>
      <c r="D2909" s="14">
        <v>9.7899999999999991</v>
      </c>
      <c r="E2909" s="15">
        <v>42.5</v>
      </c>
    </row>
    <row r="2910" spans="1:5">
      <c r="A2910">
        <v>2020</v>
      </c>
      <c r="B2910" t="s">
        <v>2222</v>
      </c>
      <c r="C2910" t="s">
        <v>2240</v>
      </c>
      <c r="D2910" s="14">
        <v>3.05</v>
      </c>
      <c r="E2910" s="15">
        <v>42.5</v>
      </c>
    </row>
    <row r="2911" spans="1:5">
      <c r="A2911">
        <v>2020</v>
      </c>
      <c r="B2911" t="s">
        <v>2223</v>
      </c>
      <c r="C2911" t="s">
        <v>2240</v>
      </c>
      <c r="D2911" s="14">
        <v>0.44</v>
      </c>
      <c r="E2911" s="15">
        <v>42.5</v>
      </c>
    </row>
    <row r="2912" spans="1:5">
      <c r="A2912">
        <v>2021</v>
      </c>
      <c r="B2912" t="s">
        <v>2213</v>
      </c>
      <c r="C2912" t="s">
        <v>2240</v>
      </c>
      <c r="D2912" s="14">
        <v>2.15</v>
      </c>
      <c r="E2912" s="15">
        <v>44</v>
      </c>
    </row>
    <row r="2913" spans="1:5">
      <c r="A2913">
        <v>2021</v>
      </c>
      <c r="B2913" t="s">
        <v>2215</v>
      </c>
      <c r="C2913" t="s">
        <v>2240</v>
      </c>
      <c r="D2913" s="14">
        <v>2.62</v>
      </c>
      <c r="E2913" s="15">
        <v>44</v>
      </c>
    </row>
    <row r="2914" spans="1:5">
      <c r="A2914">
        <v>2021</v>
      </c>
      <c r="B2914" t="s">
        <v>2216</v>
      </c>
      <c r="C2914" t="s">
        <v>2240</v>
      </c>
      <c r="D2914" s="14">
        <v>1.75</v>
      </c>
      <c r="E2914" s="15">
        <v>44</v>
      </c>
    </row>
    <row r="2915" spans="1:5">
      <c r="A2915">
        <v>2021</v>
      </c>
      <c r="B2915" t="s">
        <v>2217</v>
      </c>
      <c r="C2915" t="s">
        <v>2240</v>
      </c>
      <c r="D2915" s="14">
        <v>8.09</v>
      </c>
      <c r="E2915" s="15">
        <v>44</v>
      </c>
    </row>
    <row r="2916" spans="1:5">
      <c r="A2916">
        <v>2021</v>
      </c>
      <c r="B2916" t="s">
        <v>2218</v>
      </c>
      <c r="C2916" t="s">
        <v>2240</v>
      </c>
      <c r="D2916" s="14">
        <v>9.08</v>
      </c>
      <c r="E2916" s="15">
        <v>44</v>
      </c>
    </row>
    <row r="2917" spans="1:5">
      <c r="A2917">
        <v>2021</v>
      </c>
      <c r="B2917" t="s">
        <v>2219</v>
      </c>
      <c r="C2917" t="s">
        <v>2240</v>
      </c>
      <c r="D2917" s="14">
        <v>4.42</v>
      </c>
      <c r="E2917" s="15">
        <v>44</v>
      </c>
    </row>
    <row r="2918" spans="1:5">
      <c r="A2918">
        <v>2021</v>
      </c>
      <c r="B2918" t="s">
        <v>2220</v>
      </c>
      <c r="C2918" t="s">
        <v>2240</v>
      </c>
      <c r="D2918" s="14">
        <v>3.19</v>
      </c>
      <c r="E2918" s="15">
        <v>44</v>
      </c>
    </row>
    <row r="2919" spans="1:5">
      <c r="A2919">
        <v>2021</v>
      </c>
      <c r="B2919" t="s">
        <v>2221</v>
      </c>
      <c r="C2919" t="s">
        <v>2240</v>
      </c>
      <c r="D2919" s="14">
        <v>9.4600000000000009</v>
      </c>
      <c r="E2919" s="15">
        <v>44</v>
      </c>
    </row>
    <row r="2920" spans="1:5">
      <c r="A2920">
        <v>2021</v>
      </c>
      <c r="B2920" t="s">
        <v>2222</v>
      </c>
      <c r="C2920" t="s">
        <v>2240</v>
      </c>
      <c r="D2920" s="14">
        <v>3.19</v>
      </c>
      <c r="E2920" s="15">
        <v>44</v>
      </c>
    </row>
    <row r="2921" spans="1:5">
      <c r="A2921">
        <v>2021</v>
      </c>
      <c r="B2921" t="s">
        <v>2223</v>
      </c>
      <c r="C2921" t="s">
        <v>2240</v>
      </c>
      <c r="D2921" s="14">
        <v>0.46</v>
      </c>
      <c r="E2921" s="15">
        <v>44</v>
      </c>
    </row>
    <row r="2922" spans="1:5">
      <c r="A2922">
        <v>2022</v>
      </c>
      <c r="B2922" t="s">
        <v>2213</v>
      </c>
      <c r="C2922" t="s">
        <v>2240</v>
      </c>
      <c r="D2922" s="14">
        <v>2.36</v>
      </c>
      <c r="E2922" s="15">
        <v>46</v>
      </c>
    </row>
    <row r="2923" spans="1:5">
      <c r="A2923">
        <v>2022</v>
      </c>
      <c r="B2923" t="s">
        <v>2215</v>
      </c>
      <c r="C2923" t="s">
        <v>2240</v>
      </c>
      <c r="D2923" s="14">
        <v>2.77</v>
      </c>
      <c r="E2923" s="15">
        <v>46</v>
      </c>
    </row>
    <row r="2924" spans="1:5">
      <c r="A2924">
        <v>2022</v>
      </c>
      <c r="B2924" t="s">
        <v>2216</v>
      </c>
      <c r="C2924" t="s">
        <v>2240</v>
      </c>
      <c r="D2924" s="14">
        <v>1.89</v>
      </c>
      <c r="E2924" s="15">
        <v>46</v>
      </c>
    </row>
    <row r="2925" spans="1:5">
      <c r="A2925">
        <v>2022</v>
      </c>
      <c r="B2925" t="s">
        <v>2217</v>
      </c>
      <c r="C2925" t="s">
        <v>2240</v>
      </c>
      <c r="D2925" s="14">
        <v>7.99</v>
      </c>
      <c r="E2925" s="15">
        <v>46</v>
      </c>
    </row>
    <row r="2926" spans="1:5">
      <c r="A2926">
        <v>2022</v>
      </c>
      <c r="B2926" t="s">
        <v>2218</v>
      </c>
      <c r="C2926" t="s">
        <v>2240</v>
      </c>
      <c r="D2926" s="14">
        <v>9.27</v>
      </c>
      <c r="E2926" s="15">
        <v>46</v>
      </c>
    </row>
    <row r="2927" spans="1:5">
      <c r="A2927">
        <v>2022</v>
      </c>
      <c r="B2927" t="s">
        <v>2219</v>
      </c>
      <c r="C2927" t="s">
        <v>2240</v>
      </c>
      <c r="D2927" s="14">
        <v>4.66</v>
      </c>
      <c r="E2927" s="15">
        <v>46</v>
      </c>
    </row>
    <row r="2928" spans="1:5">
      <c r="A2928">
        <v>2022</v>
      </c>
      <c r="B2928" t="s">
        <v>2220</v>
      </c>
      <c r="C2928" t="s">
        <v>2240</v>
      </c>
      <c r="D2928" s="14">
        <v>3.05</v>
      </c>
      <c r="E2928" s="15">
        <v>46</v>
      </c>
    </row>
    <row r="2929" spans="1:5">
      <c r="A2929">
        <v>2022</v>
      </c>
      <c r="B2929" t="s">
        <v>2221</v>
      </c>
      <c r="C2929" t="s">
        <v>2240</v>
      </c>
      <c r="D2929" s="14">
        <v>10.31</v>
      </c>
      <c r="E2929" s="15">
        <v>46</v>
      </c>
    </row>
    <row r="2930" spans="1:5">
      <c r="A2930">
        <v>2022</v>
      </c>
      <c r="B2930" t="s">
        <v>2222</v>
      </c>
      <c r="C2930" t="s">
        <v>2240</v>
      </c>
      <c r="D2930" s="14">
        <v>3.06</v>
      </c>
      <c r="E2930" s="15">
        <v>46</v>
      </c>
    </row>
    <row r="2931" spans="1:5">
      <c r="A2931">
        <v>2022</v>
      </c>
      <c r="B2931" t="s">
        <v>2223</v>
      </c>
      <c r="C2931" t="s">
        <v>2240</v>
      </c>
      <c r="D2931" s="14">
        <v>0.45</v>
      </c>
      <c r="E2931" s="15">
        <v>46</v>
      </c>
    </row>
    <row r="2932" spans="1:5">
      <c r="A2932">
        <v>2023</v>
      </c>
      <c r="B2932" t="s">
        <v>2213</v>
      </c>
      <c r="C2932" t="s">
        <v>2240</v>
      </c>
      <c r="D2932" s="14">
        <v>2.4</v>
      </c>
      <c r="E2932" s="15">
        <v>48</v>
      </c>
    </row>
    <row r="2933" spans="1:5">
      <c r="A2933">
        <v>2023</v>
      </c>
      <c r="B2933" t="s">
        <v>2215</v>
      </c>
      <c r="C2933" t="s">
        <v>2240</v>
      </c>
      <c r="D2933" s="14">
        <v>2.8</v>
      </c>
      <c r="E2933" s="15">
        <v>48</v>
      </c>
    </row>
    <row r="2934" spans="1:5">
      <c r="A2934">
        <v>2023</v>
      </c>
      <c r="B2934" t="s">
        <v>2216</v>
      </c>
      <c r="C2934" t="s">
        <v>2240</v>
      </c>
      <c r="D2934" s="14">
        <v>1.93</v>
      </c>
      <c r="E2934" s="15">
        <v>48</v>
      </c>
    </row>
    <row r="2935" spans="1:5">
      <c r="A2935">
        <v>2023</v>
      </c>
      <c r="B2935" t="s">
        <v>2217</v>
      </c>
      <c r="C2935" t="s">
        <v>2240</v>
      </c>
      <c r="D2935" s="14">
        <v>8.66</v>
      </c>
      <c r="E2935" s="15">
        <v>48</v>
      </c>
    </row>
    <row r="2936" spans="1:5">
      <c r="A2936">
        <v>2023</v>
      </c>
      <c r="B2936" t="s">
        <v>2218</v>
      </c>
      <c r="C2936" t="s">
        <v>2240</v>
      </c>
      <c r="D2936" s="14">
        <v>9.2899999999999991</v>
      </c>
      <c r="E2936" s="15">
        <v>48</v>
      </c>
    </row>
    <row r="2937" spans="1:5">
      <c r="A2937">
        <v>2023</v>
      </c>
      <c r="B2937" t="s">
        <v>2219</v>
      </c>
      <c r="C2937" t="s">
        <v>2240</v>
      </c>
      <c r="D2937" s="14">
        <v>4.91</v>
      </c>
      <c r="E2937" s="15">
        <v>48</v>
      </c>
    </row>
    <row r="2938" spans="1:5">
      <c r="A2938">
        <v>2023</v>
      </c>
      <c r="B2938" t="s">
        <v>2220</v>
      </c>
      <c r="C2938" t="s">
        <v>2240</v>
      </c>
      <c r="D2938" s="14">
        <v>3.26</v>
      </c>
      <c r="E2938" s="15">
        <v>48</v>
      </c>
    </row>
    <row r="2939" spans="1:5">
      <c r="A2939">
        <v>2023</v>
      </c>
      <c r="B2939" t="s">
        <v>2221</v>
      </c>
      <c r="C2939" t="s">
        <v>2240</v>
      </c>
      <c r="D2939" s="14">
        <v>11.57</v>
      </c>
      <c r="E2939" s="15">
        <v>48</v>
      </c>
    </row>
    <row r="2940" spans="1:5">
      <c r="A2940">
        <v>2023</v>
      </c>
      <c r="B2940" t="s">
        <v>2222</v>
      </c>
      <c r="C2940" t="s">
        <v>2240</v>
      </c>
      <c r="D2940" s="14">
        <v>3.35</v>
      </c>
      <c r="E2940" s="15">
        <v>48</v>
      </c>
    </row>
    <row r="2941" spans="1:5">
      <c r="A2941">
        <v>2023</v>
      </c>
      <c r="B2941" t="s">
        <v>2223</v>
      </c>
      <c r="C2941" t="s">
        <v>2240</v>
      </c>
      <c r="D2941" s="14">
        <v>0.46</v>
      </c>
      <c r="E2941" s="15">
        <v>48</v>
      </c>
    </row>
    <row r="2942" spans="1:5">
      <c r="A2942">
        <v>2024</v>
      </c>
      <c r="B2942" t="s">
        <v>2213</v>
      </c>
      <c r="C2942" t="s">
        <v>2240</v>
      </c>
      <c r="D2942" s="14">
        <v>2.4</v>
      </c>
      <c r="E2942" s="15">
        <v>50</v>
      </c>
    </row>
    <row r="2943" spans="1:5">
      <c r="A2943">
        <v>2024</v>
      </c>
      <c r="B2943" t="s">
        <v>2215</v>
      </c>
      <c r="C2943" t="s">
        <v>2240</v>
      </c>
      <c r="D2943" s="14">
        <v>3.14</v>
      </c>
      <c r="E2943" s="15">
        <v>50</v>
      </c>
    </row>
    <row r="2944" spans="1:5">
      <c r="A2944">
        <v>2024</v>
      </c>
      <c r="B2944" t="s">
        <v>2216</v>
      </c>
      <c r="C2944" t="s">
        <v>2240</v>
      </c>
      <c r="D2944" s="14">
        <v>1.97</v>
      </c>
      <c r="E2944" s="15">
        <v>50</v>
      </c>
    </row>
    <row r="2945" spans="1:5">
      <c r="A2945">
        <v>2024</v>
      </c>
      <c r="B2945" t="s">
        <v>2217</v>
      </c>
      <c r="C2945" t="s">
        <v>2240</v>
      </c>
      <c r="D2945" s="14">
        <v>8.52</v>
      </c>
      <c r="E2945" s="15">
        <v>50</v>
      </c>
    </row>
    <row r="2946" spans="1:5">
      <c r="A2946">
        <v>2024</v>
      </c>
      <c r="B2946" t="s">
        <v>2218</v>
      </c>
      <c r="C2946" t="s">
        <v>2240</v>
      </c>
      <c r="D2946" s="14">
        <v>10.35</v>
      </c>
      <c r="E2946" s="15">
        <v>50</v>
      </c>
    </row>
    <row r="2947" spans="1:5">
      <c r="A2947">
        <v>2024</v>
      </c>
      <c r="B2947" t="s">
        <v>2219</v>
      </c>
      <c r="C2947" t="s">
        <v>2240</v>
      </c>
      <c r="D2947" s="14">
        <v>4.92</v>
      </c>
      <c r="E2947" s="15">
        <v>50</v>
      </c>
    </row>
    <row r="2948" spans="1:5">
      <c r="A2948">
        <v>2024</v>
      </c>
      <c r="B2948" t="s">
        <v>2220</v>
      </c>
      <c r="C2948" t="s">
        <v>2240</v>
      </c>
      <c r="D2948" s="14">
        <v>3.59</v>
      </c>
      <c r="E2948" s="15">
        <v>50</v>
      </c>
    </row>
    <row r="2949" spans="1:5">
      <c r="A2949">
        <v>2024</v>
      </c>
      <c r="B2949" t="s">
        <v>2221</v>
      </c>
      <c r="C2949" t="s">
        <v>2240</v>
      </c>
      <c r="D2949" s="14">
        <v>11.42</v>
      </c>
      <c r="E2949" s="15">
        <v>50</v>
      </c>
    </row>
    <row r="2950" spans="1:5">
      <c r="A2950">
        <v>2024</v>
      </c>
      <c r="B2950" t="s">
        <v>2222</v>
      </c>
      <c r="C2950" t="s">
        <v>2240</v>
      </c>
      <c r="D2950" s="14">
        <v>3.54</v>
      </c>
      <c r="E2950" s="15">
        <v>50</v>
      </c>
    </row>
    <row r="2951" spans="1:5">
      <c r="A2951">
        <v>2024</v>
      </c>
      <c r="B2951" t="s">
        <v>2223</v>
      </c>
      <c r="C2951" t="s">
        <v>2240</v>
      </c>
      <c r="D2951" s="14">
        <v>0.55000000000000004</v>
      </c>
      <c r="E2951" s="15">
        <v>50</v>
      </c>
    </row>
    <row r="2952" spans="1:5">
      <c r="A2952">
        <v>2025</v>
      </c>
      <c r="B2952" t="s">
        <v>2213</v>
      </c>
      <c r="C2952" t="s">
        <v>2240</v>
      </c>
      <c r="D2952" s="14">
        <v>2.4</v>
      </c>
      <c r="E2952" s="15">
        <v>51.5</v>
      </c>
    </row>
    <row r="2953" spans="1:5">
      <c r="A2953">
        <v>2025</v>
      </c>
      <c r="B2953" t="s">
        <v>2215</v>
      </c>
      <c r="C2953" t="s">
        <v>2240</v>
      </c>
      <c r="D2953" s="14">
        <v>2.99</v>
      </c>
      <c r="E2953" s="15">
        <v>51.5</v>
      </c>
    </row>
    <row r="2954" spans="1:5">
      <c r="A2954">
        <v>2025</v>
      </c>
      <c r="B2954" t="s">
        <v>2216</v>
      </c>
      <c r="C2954" t="s">
        <v>2240</v>
      </c>
      <c r="D2954" s="14">
        <v>2.04</v>
      </c>
      <c r="E2954" s="15">
        <v>51.5</v>
      </c>
    </row>
    <row r="2955" spans="1:5">
      <c r="A2955">
        <v>2025</v>
      </c>
      <c r="B2955" t="s">
        <v>2217</v>
      </c>
      <c r="C2955" t="s">
        <v>2240</v>
      </c>
      <c r="D2955" s="14">
        <v>10.15</v>
      </c>
      <c r="E2955" s="15">
        <v>51.5</v>
      </c>
    </row>
    <row r="2956" spans="1:5">
      <c r="A2956">
        <v>2025</v>
      </c>
      <c r="B2956" t="s">
        <v>2218</v>
      </c>
      <c r="C2956" t="s">
        <v>2240</v>
      </c>
      <c r="D2956" s="14">
        <v>11.07</v>
      </c>
      <c r="E2956" s="15">
        <v>51.5</v>
      </c>
    </row>
    <row r="2957" spans="1:5">
      <c r="A2957">
        <v>2025</v>
      </c>
      <c r="B2957" t="s">
        <v>2219</v>
      </c>
      <c r="C2957" t="s">
        <v>2240</v>
      </c>
      <c r="D2957" s="14">
        <v>5.42</v>
      </c>
      <c r="E2957" s="15">
        <v>51.5</v>
      </c>
    </row>
    <row r="2958" spans="1:5">
      <c r="A2958">
        <v>2025</v>
      </c>
      <c r="B2958" t="s">
        <v>2220</v>
      </c>
      <c r="C2958" t="s">
        <v>2240</v>
      </c>
      <c r="D2958" s="14">
        <v>3.49</v>
      </c>
      <c r="E2958" s="15">
        <v>51.5</v>
      </c>
    </row>
    <row r="2959" spans="1:5">
      <c r="A2959">
        <v>2025</v>
      </c>
      <c r="B2959" t="s">
        <v>2221</v>
      </c>
      <c r="C2959" t="s">
        <v>2240</v>
      </c>
      <c r="D2959" s="14">
        <v>11.03</v>
      </c>
      <c r="E2959" s="15">
        <v>51.5</v>
      </c>
    </row>
    <row r="2960" spans="1:5">
      <c r="A2960">
        <v>2025</v>
      </c>
      <c r="B2960" t="s">
        <v>2222</v>
      </c>
      <c r="C2960" t="s">
        <v>2240</v>
      </c>
      <c r="D2960" s="14">
        <v>3.49</v>
      </c>
      <c r="E2960" s="15">
        <v>51.5</v>
      </c>
    </row>
    <row r="2961" spans="1:5">
      <c r="A2961">
        <v>2025</v>
      </c>
      <c r="B2961" t="s">
        <v>2223</v>
      </c>
      <c r="C2961" t="s">
        <v>2240</v>
      </c>
      <c r="D2961" s="14">
        <v>0.5</v>
      </c>
      <c r="E2961" s="15">
        <v>51.5</v>
      </c>
    </row>
    <row r="2962" spans="1:5">
      <c r="A2962">
        <v>2026</v>
      </c>
      <c r="B2962" t="s">
        <v>2213</v>
      </c>
      <c r="C2962" t="s">
        <v>2240</v>
      </c>
      <c r="D2962" s="14">
        <v>2.81</v>
      </c>
      <c r="E2962" s="15">
        <v>53</v>
      </c>
    </row>
    <row r="2963" spans="1:5">
      <c r="A2963">
        <v>2026</v>
      </c>
      <c r="B2963" t="s">
        <v>2215</v>
      </c>
      <c r="C2963" t="s">
        <v>2240</v>
      </c>
      <c r="D2963" s="14">
        <v>3.15</v>
      </c>
      <c r="E2963" s="15">
        <v>53</v>
      </c>
    </row>
    <row r="2964" spans="1:5">
      <c r="A2964">
        <v>2026</v>
      </c>
      <c r="B2964" t="s">
        <v>2216</v>
      </c>
      <c r="C2964" t="s">
        <v>2240</v>
      </c>
      <c r="D2964" s="14">
        <v>2.11</v>
      </c>
      <c r="E2964" s="15">
        <v>53</v>
      </c>
    </row>
    <row r="2965" spans="1:5">
      <c r="A2965">
        <v>2026</v>
      </c>
      <c r="B2965" t="s">
        <v>2217</v>
      </c>
      <c r="C2965" t="s">
        <v>2240</v>
      </c>
      <c r="D2965" s="14">
        <v>9.84</v>
      </c>
      <c r="E2965" s="15">
        <v>53</v>
      </c>
    </row>
    <row r="2966" spans="1:5">
      <c r="A2966">
        <v>2026</v>
      </c>
      <c r="B2966" t="s">
        <v>2218</v>
      </c>
      <c r="C2966" t="s">
        <v>2240</v>
      </c>
      <c r="D2966" s="14">
        <v>9.92</v>
      </c>
      <c r="E2966" s="15">
        <v>53</v>
      </c>
    </row>
    <row r="2967" spans="1:5">
      <c r="A2967">
        <v>2026</v>
      </c>
      <c r="B2967" t="s">
        <v>2219</v>
      </c>
      <c r="C2967" t="s">
        <v>2240</v>
      </c>
      <c r="D2967" s="14">
        <v>5.31</v>
      </c>
      <c r="E2967" s="15">
        <v>53</v>
      </c>
    </row>
    <row r="2968" spans="1:5">
      <c r="A2968">
        <v>2026</v>
      </c>
      <c r="B2968" t="s">
        <v>2220</v>
      </c>
      <c r="C2968" t="s">
        <v>2240</v>
      </c>
      <c r="D2968" s="14">
        <v>3.55</v>
      </c>
      <c r="E2968" s="15">
        <v>53</v>
      </c>
    </row>
    <row r="2969" spans="1:5">
      <c r="A2969">
        <v>2026</v>
      </c>
      <c r="B2969" t="s">
        <v>2221</v>
      </c>
      <c r="C2969" t="s">
        <v>2240</v>
      </c>
      <c r="D2969" s="14">
        <v>11.52</v>
      </c>
      <c r="E2969" s="15">
        <v>53</v>
      </c>
    </row>
    <row r="2970" spans="1:5">
      <c r="A2970">
        <v>2026</v>
      </c>
      <c r="B2970" t="s">
        <v>2222</v>
      </c>
      <c r="C2970" t="s">
        <v>2240</v>
      </c>
      <c r="D2970" s="14">
        <v>3.62</v>
      </c>
      <c r="E2970" s="15">
        <v>53</v>
      </c>
    </row>
    <row r="2971" spans="1:5">
      <c r="A2971">
        <v>2026</v>
      </c>
      <c r="B2971" t="s">
        <v>2223</v>
      </c>
      <c r="C2971" t="s">
        <v>2240</v>
      </c>
      <c r="D2971" s="14">
        <v>0.52</v>
      </c>
      <c r="E2971" s="15">
        <v>53</v>
      </c>
    </row>
    <row r="2972" spans="1:5">
      <c r="A2972">
        <v>2010</v>
      </c>
      <c r="B2972" t="s">
        <v>2213</v>
      </c>
      <c r="C2972" t="s">
        <v>2241</v>
      </c>
      <c r="D2972" s="14">
        <v>2.27</v>
      </c>
      <c r="E2972" s="15">
        <v>45</v>
      </c>
    </row>
    <row r="2973" spans="1:5">
      <c r="A2973">
        <v>2010</v>
      </c>
      <c r="B2973" t="s">
        <v>2215</v>
      </c>
      <c r="C2973" t="s">
        <v>2241</v>
      </c>
      <c r="D2973" s="14">
        <v>2.72</v>
      </c>
      <c r="E2973" s="15">
        <v>45</v>
      </c>
    </row>
    <row r="2974" spans="1:5">
      <c r="A2974">
        <v>2010</v>
      </c>
      <c r="B2974" t="s">
        <v>2216</v>
      </c>
      <c r="C2974" t="s">
        <v>2241</v>
      </c>
      <c r="D2974" s="14">
        <v>1.78</v>
      </c>
      <c r="E2974" s="15">
        <v>45</v>
      </c>
    </row>
    <row r="2975" spans="1:5">
      <c r="A2975">
        <v>2010</v>
      </c>
      <c r="B2975" t="s">
        <v>2217</v>
      </c>
      <c r="C2975" t="s">
        <v>2241</v>
      </c>
      <c r="D2975" s="14">
        <v>8.2200000000000006</v>
      </c>
      <c r="E2975" s="15">
        <v>45</v>
      </c>
    </row>
    <row r="2976" spans="1:5">
      <c r="A2976">
        <v>2010</v>
      </c>
      <c r="B2976" t="s">
        <v>2218</v>
      </c>
      <c r="C2976" t="s">
        <v>2241</v>
      </c>
      <c r="D2976" s="14">
        <v>8.69</v>
      </c>
      <c r="E2976" s="15">
        <v>45</v>
      </c>
    </row>
    <row r="2977" spans="1:5">
      <c r="A2977">
        <v>2010</v>
      </c>
      <c r="B2977" t="s">
        <v>2219</v>
      </c>
      <c r="C2977" t="s">
        <v>2241</v>
      </c>
      <c r="D2977" s="14">
        <v>4.62</v>
      </c>
      <c r="E2977" s="15">
        <v>45</v>
      </c>
    </row>
    <row r="2978" spans="1:5">
      <c r="A2978">
        <v>2010</v>
      </c>
      <c r="B2978" t="s">
        <v>2220</v>
      </c>
      <c r="C2978" t="s">
        <v>2241</v>
      </c>
      <c r="D2978" s="14">
        <v>3.12</v>
      </c>
      <c r="E2978" s="15">
        <v>45</v>
      </c>
    </row>
    <row r="2979" spans="1:5">
      <c r="A2979">
        <v>2010</v>
      </c>
      <c r="B2979" t="s">
        <v>2221</v>
      </c>
      <c r="C2979" t="s">
        <v>2241</v>
      </c>
      <c r="D2979" s="14">
        <v>9.7100000000000009</v>
      </c>
      <c r="E2979" s="15">
        <v>45</v>
      </c>
    </row>
    <row r="2980" spans="1:5">
      <c r="A2980">
        <v>2010</v>
      </c>
      <c r="B2980" t="s">
        <v>2222</v>
      </c>
      <c r="C2980" t="s">
        <v>2241</v>
      </c>
      <c r="D2980" s="14">
        <v>3.05</v>
      </c>
      <c r="E2980" s="15">
        <v>45</v>
      </c>
    </row>
    <row r="2981" spans="1:5">
      <c r="A2981">
        <v>2010</v>
      </c>
      <c r="B2981" t="s">
        <v>2223</v>
      </c>
      <c r="C2981" t="s">
        <v>2241</v>
      </c>
      <c r="D2981" s="14">
        <v>0.45</v>
      </c>
      <c r="E2981" s="15">
        <v>45</v>
      </c>
    </row>
    <row r="2982" spans="1:5">
      <c r="A2982">
        <v>2011</v>
      </c>
      <c r="B2982" t="s">
        <v>2213</v>
      </c>
      <c r="C2982" t="s">
        <v>2241</v>
      </c>
      <c r="D2982" s="14">
        <v>2.42</v>
      </c>
      <c r="E2982" s="15">
        <v>45</v>
      </c>
    </row>
    <row r="2983" spans="1:5">
      <c r="A2983">
        <v>2011</v>
      </c>
      <c r="B2983" t="s">
        <v>2215</v>
      </c>
      <c r="C2983" t="s">
        <v>2241</v>
      </c>
      <c r="D2983" s="14">
        <v>2.69</v>
      </c>
      <c r="E2983" s="15">
        <v>45</v>
      </c>
    </row>
    <row r="2984" spans="1:5">
      <c r="A2984">
        <v>2011</v>
      </c>
      <c r="B2984" t="s">
        <v>2216</v>
      </c>
      <c r="C2984" t="s">
        <v>2241</v>
      </c>
      <c r="D2984" s="14">
        <v>1.72</v>
      </c>
      <c r="E2984" s="15">
        <v>45</v>
      </c>
    </row>
    <row r="2985" spans="1:5">
      <c r="A2985">
        <v>2011</v>
      </c>
      <c r="B2985" t="s">
        <v>2217</v>
      </c>
      <c r="C2985" t="s">
        <v>2241</v>
      </c>
      <c r="D2985" s="14">
        <v>8.4</v>
      </c>
      <c r="E2985" s="15">
        <v>45</v>
      </c>
    </row>
    <row r="2986" spans="1:5">
      <c r="A2986">
        <v>2011</v>
      </c>
      <c r="B2986" t="s">
        <v>2218</v>
      </c>
      <c r="C2986" t="s">
        <v>2241</v>
      </c>
      <c r="D2986" s="14">
        <v>8.83</v>
      </c>
      <c r="E2986" s="15">
        <v>45</v>
      </c>
    </row>
    <row r="2987" spans="1:5">
      <c r="A2987">
        <v>2011</v>
      </c>
      <c r="B2987" t="s">
        <v>2219</v>
      </c>
      <c r="C2987" t="s">
        <v>2241</v>
      </c>
      <c r="D2987" s="14">
        <v>4.55</v>
      </c>
      <c r="E2987" s="15">
        <v>45</v>
      </c>
    </row>
    <row r="2988" spans="1:5">
      <c r="A2988">
        <v>2011</v>
      </c>
      <c r="B2988" t="s">
        <v>2220</v>
      </c>
      <c r="C2988" t="s">
        <v>2241</v>
      </c>
      <c r="D2988" s="14">
        <v>3.07</v>
      </c>
      <c r="E2988" s="15">
        <v>45</v>
      </c>
    </row>
    <row r="2989" spans="1:5">
      <c r="A2989">
        <v>2011</v>
      </c>
      <c r="B2989" t="s">
        <v>2221</v>
      </c>
      <c r="C2989" t="s">
        <v>2241</v>
      </c>
      <c r="D2989" s="14">
        <v>10.42</v>
      </c>
      <c r="E2989" s="15">
        <v>45</v>
      </c>
    </row>
    <row r="2990" spans="1:5">
      <c r="A2990">
        <v>2011</v>
      </c>
      <c r="B2990" t="s">
        <v>2222</v>
      </c>
      <c r="C2990" t="s">
        <v>2241</v>
      </c>
      <c r="D2990" s="14">
        <v>3.08</v>
      </c>
      <c r="E2990" s="15">
        <v>45</v>
      </c>
    </row>
    <row r="2991" spans="1:5">
      <c r="A2991">
        <v>2011</v>
      </c>
      <c r="B2991" t="s">
        <v>2223</v>
      </c>
      <c r="C2991" t="s">
        <v>2241</v>
      </c>
      <c r="D2991" s="14">
        <v>0.48</v>
      </c>
      <c r="E2991" s="15">
        <v>45</v>
      </c>
    </row>
    <row r="2992" spans="1:5">
      <c r="A2992">
        <v>2012</v>
      </c>
      <c r="B2992" t="s">
        <v>2213</v>
      </c>
      <c r="C2992" t="s">
        <v>2241</v>
      </c>
      <c r="D2992" s="14">
        <v>2.16</v>
      </c>
      <c r="E2992" s="15">
        <v>45</v>
      </c>
    </row>
    <row r="2993" spans="1:5">
      <c r="A2993">
        <v>2012</v>
      </c>
      <c r="B2993" t="s">
        <v>2215</v>
      </c>
      <c r="C2993" t="s">
        <v>2241</v>
      </c>
      <c r="D2993" s="14">
        <v>2.67</v>
      </c>
      <c r="E2993" s="15">
        <v>45</v>
      </c>
    </row>
    <row r="2994" spans="1:5">
      <c r="A2994">
        <v>2012</v>
      </c>
      <c r="B2994" t="s">
        <v>2216</v>
      </c>
      <c r="C2994" t="s">
        <v>2241</v>
      </c>
      <c r="D2994" s="14">
        <v>1.9</v>
      </c>
      <c r="E2994" s="15">
        <v>45</v>
      </c>
    </row>
    <row r="2995" spans="1:5">
      <c r="A2995">
        <v>2012</v>
      </c>
      <c r="B2995" t="s">
        <v>2217</v>
      </c>
      <c r="C2995" t="s">
        <v>2241</v>
      </c>
      <c r="D2995" s="14">
        <v>8.15</v>
      </c>
      <c r="E2995" s="15">
        <v>45</v>
      </c>
    </row>
    <row r="2996" spans="1:5">
      <c r="A2996">
        <v>2012</v>
      </c>
      <c r="B2996" t="s">
        <v>2218</v>
      </c>
      <c r="C2996" t="s">
        <v>2241</v>
      </c>
      <c r="D2996" s="14">
        <v>9.86</v>
      </c>
      <c r="E2996" s="15">
        <v>45</v>
      </c>
    </row>
    <row r="2997" spans="1:5">
      <c r="A2997">
        <v>2012</v>
      </c>
      <c r="B2997" t="s">
        <v>2219</v>
      </c>
      <c r="C2997" t="s">
        <v>2241</v>
      </c>
      <c r="D2997" s="14">
        <v>4.45</v>
      </c>
      <c r="E2997" s="15">
        <v>45</v>
      </c>
    </row>
    <row r="2998" spans="1:5">
      <c r="A2998">
        <v>2012</v>
      </c>
      <c r="B2998" t="s">
        <v>2220</v>
      </c>
      <c r="C2998" t="s">
        <v>2241</v>
      </c>
      <c r="D2998" s="14">
        <v>3.18</v>
      </c>
      <c r="E2998" s="15">
        <v>45</v>
      </c>
    </row>
    <row r="2999" spans="1:5">
      <c r="A2999">
        <v>2012</v>
      </c>
      <c r="B2999" t="s">
        <v>2221</v>
      </c>
      <c r="C2999" t="s">
        <v>2241</v>
      </c>
      <c r="D2999" s="14">
        <v>10.68</v>
      </c>
      <c r="E2999" s="15">
        <v>45</v>
      </c>
    </row>
    <row r="3000" spans="1:5">
      <c r="A3000">
        <v>2012</v>
      </c>
      <c r="B3000" t="s">
        <v>2222</v>
      </c>
      <c r="C3000" t="s">
        <v>2241</v>
      </c>
      <c r="D3000" s="14">
        <v>2.96</v>
      </c>
      <c r="E3000" s="15">
        <v>45</v>
      </c>
    </row>
    <row r="3001" spans="1:5">
      <c r="A3001">
        <v>2012</v>
      </c>
      <c r="B3001" t="s">
        <v>2223</v>
      </c>
      <c r="C3001" t="s">
        <v>2241</v>
      </c>
      <c r="D3001" s="14">
        <v>0.42</v>
      </c>
      <c r="E3001" s="15">
        <v>45</v>
      </c>
    </row>
    <row r="3002" spans="1:5">
      <c r="A3002">
        <v>2013</v>
      </c>
      <c r="B3002" t="s">
        <v>2213</v>
      </c>
      <c r="C3002" t="s">
        <v>2241</v>
      </c>
      <c r="D3002" s="14">
        <v>2.1800000000000002</v>
      </c>
      <c r="E3002" s="15">
        <v>45</v>
      </c>
    </row>
    <row r="3003" spans="1:5">
      <c r="A3003">
        <v>2013</v>
      </c>
      <c r="B3003" t="s">
        <v>2215</v>
      </c>
      <c r="C3003" t="s">
        <v>2241</v>
      </c>
      <c r="D3003" s="14">
        <v>2.79</v>
      </c>
      <c r="E3003" s="15">
        <v>45</v>
      </c>
    </row>
    <row r="3004" spans="1:5">
      <c r="A3004">
        <v>2013</v>
      </c>
      <c r="B3004" t="s">
        <v>2216</v>
      </c>
      <c r="C3004" t="s">
        <v>2241</v>
      </c>
      <c r="D3004" s="14">
        <v>1.69</v>
      </c>
      <c r="E3004" s="15">
        <v>45</v>
      </c>
    </row>
    <row r="3005" spans="1:5">
      <c r="A3005">
        <v>2013</v>
      </c>
      <c r="B3005" t="s">
        <v>2217</v>
      </c>
      <c r="C3005" t="s">
        <v>2241</v>
      </c>
      <c r="D3005" s="14">
        <v>8.3000000000000007</v>
      </c>
      <c r="E3005" s="15">
        <v>45</v>
      </c>
    </row>
    <row r="3006" spans="1:5">
      <c r="A3006">
        <v>2013</v>
      </c>
      <c r="B3006" t="s">
        <v>2218</v>
      </c>
      <c r="C3006" t="s">
        <v>2241</v>
      </c>
      <c r="D3006" s="14">
        <v>9.19</v>
      </c>
      <c r="E3006" s="15">
        <v>45</v>
      </c>
    </row>
    <row r="3007" spans="1:5">
      <c r="A3007">
        <v>2013</v>
      </c>
      <c r="B3007" t="s">
        <v>2219</v>
      </c>
      <c r="C3007" t="s">
        <v>2241</v>
      </c>
      <c r="D3007" s="14">
        <v>4.88</v>
      </c>
      <c r="E3007" s="15">
        <v>45</v>
      </c>
    </row>
    <row r="3008" spans="1:5">
      <c r="A3008">
        <v>2013</v>
      </c>
      <c r="B3008" t="s">
        <v>2220</v>
      </c>
      <c r="C3008" t="s">
        <v>2241</v>
      </c>
      <c r="D3008" s="14">
        <v>3.28</v>
      </c>
      <c r="E3008" s="15">
        <v>45</v>
      </c>
    </row>
    <row r="3009" spans="1:5">
      <c r="A3009">
        <v>2013</v>
      </c>
      <c r="B3009" t="s">
        <v>2221</v>
      </c>
      <c r="C3009" t="s">
        <v>2241</v>
      </c>
      <c r="D3009" s="14">
        <v>10.050000000000001</v>
      </c>
      <c r="E3009" s="15">
        <v>45</v>
      </c>
    </row>
    <row r="3010" spans="1:5">
      <c r="A3010">
        <v>2013</v>
      </c>
      <c r="B3010" t="s">
        <v>2222</v>
      </c>
      <c r="C3010" t="s">
        <v>2241</v>
      </c>
      <c r="D3010" s="14">
        <v>3.33</v>
      </c>
      <c r="E3010" s="15">
        <v>45</v>
      </c>
    </row>
    <row r="3011" spans="1:5">
      <c r="A3011">
        <v>2013</v>
      </c>
      <c r="B3011" t="s">
        <v>2223</v>
      </c>
      <c r="C3011" t="s">
        <v>2241</v>
      </c>
      <c r="D3011" s="14">
        <v>0.46</v>
      </c>
      <c r="E3011" s="15">
        <v>45</v>
      </c>
    </row>
    <row r="3012" spans="1:5">
      <c r="A3012">
        <v>2014</v>
      </c>
      <c r="B3012" t="s">
        <v>2213</v>
      </c>
      <c r="C3012" t="s">
        <v>2241</v>
      </c>
      <c r="D3012" s="14">
        <v>2.21</v>
      </c>
      <c r="E3012" s="15">
        <v>45</v>
      </c>
    </row>
    <row r="3013" spans="1:5">
      <c r="A3013">
        <v>2014</v>
      </c>
      <c r="B3013" t="s">
        <v>2215</v>
      </c>
      <c r="C3013" t="s">
        <v>2241</v>
      </c>
      <c r="D3013" s="14">
        <v>2.58</v>
      </c>
      <c r="E3013" s="15">
        <v>45</v>
      </c>
    </row>
    <row r="3014" spans="1:5">
      <c r="A3014">
        <v>2014</v>
      </c>
      <c r="B3014" t="s">
        <v>2216</v>
      </c>
      <c r="C3014" t="s">
        <v>2241</v>
      </c>
      <c r="D3014" s="14">
        <v>1.76</v>
      </c>
      <c r="E3014" s="15">
        <v>45</v>
      </c>
    </row>
    <row r="3015" spans="1:5">
      <c r="A3015">
        <v>2014</v>
      </c>
      <c r="B3015" t="s">
        <v>2217</v>
      </c>
      <c r="C3015" t="s">
        <v>2241</v>
      </c>
      <c r="D3015" s="14">
        <v>8.09</v>
      </c>
      <c r="E3015" s="15">
        <v>45</v>
      </c>
    </row>
    <row r="3016" spans="1:5">
      <c r="A3016">
        <v>2014</v>
      </c>
      <c r="B3016" t="s">
        <v>2218</v>
      </c>
      <c r="C3016" t="s">
        <v>2241</v>
      </c>
      <c r="D3016" s="14">
        <v>9.06</v>
      </c>
      <c r="E3016" s="15">
        <v>45</v>
      </c>
    </row>
    <row r="3017" spans="1:5">
      <c r="A3017">
        <v>2014</v>
      </c>
      <c r="B3017" t="s">
        <v>2219</v>
      </c>
      <c r="C3017" t="s">
        <v>2241</v>
      </c>
      <c r="D3017" s="14">
        <v>4.13</v>
      </c>
      <c r="E3017" s="15">
        <v>45</v>
      </c>
    </row>
    <row r="3018" spans="1:5">
      <c r="A3018">
        <v>2014</v>
      </c>
      <c r="B3018" t="s">
        <v>2220</v>
      </c>
      <c r="C3018" t="s">
        <v>2241</v>
      </c>
      <c r="D3018" s="14">
        <v>3.12</v>
      </c>
      <c r="E3018" s="15">
        <v>45</v>
      </c>
    </row>
    <row r="3019" spans="1:5">
      <c r="A3019">
        <v>2014</v>
      </c>
      <c r="B3019" t="s">
        <v>2221</v>
      </c>
      <c r="C3019" t="s">
        <v>2241</v>
      </c>
      <c r="D3019" s="14">
        <v>9.91</v>
      </c>
      <c r="E3019" s="15">
        <v>45</v>
      </c>
    </row>
    <row r="3020" spans="1:5">
      <c r="A3020">
        <v>2014</v>
      </c>
      <c r="B3020" t="s">
        <v>2222</v>
      </c>
      <c r="C3020" t="s">
        <v>2241</v>
      </c>
      <c r="D3020" s="14">
        <v>3.22</v>
      </c>
      <c r="E3020" s="15">
        <v>45</v>
      </c>
    </row>
    <row r="3021" spans="1:5">
      <c r="A3021">
        <v>2014</v>
      </c>
      <c r="B3021" t="s">
        <v>2223</v>
      </c>
      <c r="C3021" t="s">
        <v>2241</v>
      </c>
      <c r="D3021" s="14">
        <v>0.48</v>
      </c>
      <c r="E3021" s="15">
        <v>45</v>
      </c>
    </row>
    <row r="3022" spans="1:5">
      <c r="A3022">
        <v>2015</v>
      </c>
      <c r="B3022" t="s">
        <v>2213</v>
      </c>
      <c r="C3022" t="s">
        <v>2241</v>
      </c>
      <c r="D3022" s="14">
        <v>2.27</v>
      </c>
      <c r="E3022" s="15">
        <v>45</v>
      </c>
    </row>
    <row r="3023" spans="1:5">
      <c r="A3023">
        <v>2015</v>
      </c>
      <c r="B3023" t="s">
        <v>2215</v>
      </c>
      <c r="C3023" t="s">
        <v>2241</v>
      </c>
      <c r="D3023" s="14">
        <v>2.6</v>
      </c>
      <c r="E3023" s="15">
        <v>45</v>
      </c>
    </row>
    <row r="3024" spans="1:5">
      <c r="A3024">
        <v>2015</v>
      </c>
      <c r="B3024" t="s">
        <v>2216</v>
      </c>
      <c r="C3024" t="s">
        <v>2241</v>
      </c>
      <c r="D3024" s="14">
        <v>1.67</v>
      </c>
      <c r="E3024" s="15">
        <v>45</v>
      </c>
    </row>
    <row r="3025" spans="1:5">
      <c r="A3025">
        <v>2015</v>
      </c>
      <c r="B3025" t="s">
        <v>2217</v>
      </c>
      <c r="C3025" t="s">
        <v>2241</v>
      </c>
      <c r="D3025" s="14">
        <v>8.33</v>
      </c>
      <c r="E3025" s="15">
        <v>45</v>
      </c>
    </row>
    <row r="3026" spans="1:5">
      <c r="A3026">
        <v>2015</v>
      </c>
      <c r="B3026" t="s">
        <v>2218</v>
      </c>
      <c r="C3026" t="s">
        <v>2241</v>
      </c>
      <c r="D3026" s="14">
        <v>8.69</v>
      </c>
      <c r="E3026" s="15">
        <v>45</v>
      </c>
    </row>
    <row r="3027" spans="1:5">
      <c r="A3027">
        <v>2015</v>
      </c>
      <c r="B3027" t="s">
        <v>2219</v>
      </c>
      <c r="C3027" t="s">
        <v>2241</v>
      </c>
      <c r="D3027" s="14">
        <v>4.66</v>
      </c>
      <c r="E3027" s="15">
        <v>45</v>
      </c>
    </row>
    <row r="3028" spans="1:5">
      <c r="A3028">
        <v>2015</v>
      </c>
      <c r="B3028" t="s">
        <v>2220</v>
      </c>
      <c r="C3028" t="s">
        <v>2241</v>
      </c>
      <c r="D3028" s="14">
        <v>3.33</v>
      </c>
      <c r="E3028" s="15">
        <v>45</v>
      </c>
    </row>
    <row r="3029" spans="1:5">
      <c r="A3029">
        <v>2015</v>
      </c>
      <c r="B3029" t="s">
        <v>2221</v>
      </c>
      <c r="C3029" t="s">
        <v>2241</v>
      </c>
      <c r="D3029" s="14">
        <v>9.31</v>
      </c>
      <c r="E3029" s="15">
        <v>45</v>
      </c>
    </row>
    <row r="3030" spans="1:5">
      <c r="A3030">
        <v>2015</v>
      </c>
      <c r="B3030" t="s">
        <v>2222</v>
      </c>
      <c r="C3030" t="s">
        <v>2241</v>
      </c>
      <c r="D3030" s="14">
        <v>3.22</v>
      </c>
      <c r="E3030" s="15">
        <v>45</v>
      </c>
    </row>
    <row r="3031" spans="1:5">
      <c r="A3031">
        <v>2015</v>
      </c>
      <c r="B3031" t="s">
        <v>2223</v>
      </c>
      <c r="C3031" t="s">
        <v>2241</v>
      </c>
      <c r="D3031" s="14">
        <v>0.47</v>
      </c>
      <c r="E3031" s="15">
        <v>45</v>
      </c>
    </row>
    <row r="3032" spans="1:5">
      <c r="A3032">
        <v>2016</v>
      </c>
      <c r="B3032" t="s">
        <v>2213</v>
      </c>
      <c r="C3032" t="s">
        <v>2241</v>
      </c>
      <c r="D3032" s="14">
        <v>2.33</v>
      </c>
      <c r="E3032" s="15">
        <v>44.8</v>
      </c>
    </row>
    <row r="3033" spans="1:5">
      <c r="A3033">
        <v>2016</v>
      </c>
      <c r="B3033" t="s">
        <v>2215</v>
      </c>
      <c r="C3033" t="s">
        <v>2241</v>
      </c>
      <c r="D3033" s="14">
        <v>2.4700000000000002</v>
      </c>
      <c r="E3033" s="15">
        <v>44.8</v>
      </c>
    </row>
    <row r="3034" spans="1:5">
      <c r="A3034">
        <v>2016</v>
      </c>
      <c r="B3034" t="s">
        <v>2216</v>
      </c>
      <c r="C3034" t="s">
        <v>2241</v>
      </c>
      <c r="D3034" s="14">
        <v>1.73</v>
      </c>
      <c r="E3034" s="15">
        <v>44.8</v>
      </c>
    </row>
    <row r="3035" spans="1:5">
      <c r="A3035">
        <v>2016</v>
      </c>
      <c r="B3035" t="s">
        <v>2217</v>
      </c>
      <c r="C3035" t="s">
        <v>2241</v>
      </c>
      <c r="D3035" s="14">
        <v>7.65</v>
      </c>
      <c r="E3035" s="15">
        <v>44.8</v>
      </c>
    </row>
    <row r="3036" spans="1:5">
      <c r="A3036">
        <v>2016</v>
      </c>
      <c r="B3036" t="s">
        <v>2218</v>
      </c>
      <c r="C3036" t="s">
        <v>2241</v>
      </c>
      <c r="D3036" s="14">
        <v>9.14</v>
      </c>
      <c r="E3036" s="15">
        <v>44.8</v>
      </c>
    </row>
    <row r="3037" spans="1:5">
      <c r="A3037">
        <v>2016</v>
      </c>
      <c r="B3037" t="s">
        <v>2219</v>
      </c>
      <c r="C3037" t="s">
        <v>2241</v>
      </c>
      <c r="D3037" s="14">
        <v>4.55</v>
      </c>
      <c r="E3037" s="15">
        <v>44.8</v>
      </c>
    </row>
    <row r="3038" spans="1:5">
      <c r="A3038">
        <v>2016</v>
      </c>
      <c r="B3038" t="s">
        <v>2220</v>
      </c>
      <c r="C3038" t="s">
        <v>2241</v>
      </c>
      <c r="D3038" s="14">
        <v>2.81</v>
      </c>
      <c r="E3038" s="15">
        <v>44.8</v>
      </c>
    </row>
    <row r="3039" spans="1:5">
      <c r="A3039">
        <v>2016</v>
      </c>
      <c r="B3039" t="s">
        <v>2221</v>
      </c>
      <c r="C3039" t="s">
        <v>2241</v>
      </c>
      <c r="D3039" s="14">
        <v>9.73</v>
      </c>
      <c r="E3039" s="15">
        <v>44.8</v>
      </c>
    </row>
    <row r="3040" spans="1:5">
      <c r="A3040">
        <v>2016</v>
      </c>
      <c r="B3040" t="s">
        <v>2222</v>
      </c>
      <c r="C3040" t="s">
        <v>2241</v>
      </c>
      <c r="D3040" s="14">
        <v>3.23</v>
      </c>
      <c r="E3040" s="15">
        <v>44.8</v>
      </c>
    </row>
    <row r="3041" spans="1:5">
      <c r="A3041">
        <v>2016</v>
      </c>
      <c r="B3041" t="s">
        <v>2223</v>
      </c>
      <c r="C3041" t="s">
        <v>2241</v>
      </c>
      <c r="D3041" s="14">
        <v>0.45</v>
      </c>
      <c r="E3041" s="15">
        <v>44.8</v>
      </c>
    </row>
    <row r="3042" spans="1:5">
      <c r="A3042">
        <v>2017</v>
      </c>
      <c r="B3042" t="s">
        <v>2213</v>
      </c>
      <c r="C3042" t="s">
        <v>2241</v>
      </c>
      <c r="D3042" s="14">
        <v>2.2400000000000002</v>
      </c>
      <c r="E3042" s="15">
        <v>44.5</v>
      </c>
    </row>
    <row r="3043" spans="1:5">
      <c r="A3043">
        <v>2017</v>
      </c>
      <c r="B3043" t="s">
        <v>2215</v>
      </c>
      <c r="C3043" t="s">
        <v>2241</v>
      </c>
      <c r="D3043" s="14">
        <v>2.63</v>
      </c>
      <c r="E3043" s="15">
        <v>44.5</v>
      </c>
    </row>
    <row r="3044" spans="1:5">
      <c r="A3044">
        <v>2017</v>
      </c>
      <c r="B3044" t="s">
        <v>2216</v>
      </c>
      <c r="C3044" t="s">
        <v>2241</v>
      </c>
      <c r="D3044" s="14">
        <v>1.71</v>
      </c>
      <c r="E3044" s="15">
        <v>44.5</v>
      </c>
    </row>
    <row r="3045" spans="1:5">
      <c r="A3045">
        <v>2017</v>
      </c>
      <c r="B3045" t="s">
        <v>2217</v>
      </c>
      <c r="C3045" t="s">
        <v>2241</v>
      </c>
      <c r="D3045" s="14">
        <v>8</v>
      </c>
      <c r="E3045" s="15">
        <v>44.5</v>
      </c>
    </row>
    <row r="3046" spans="1:5">
      <c r="A3046">
        <v>2017</v>
      </c>
      <c r="B3046" t="s">
        <v>2218</v>
      </c>
      <c r="C3046" t="s">
        <v>2241</v>
      </c>
      <c r="D3046" s="14">
        <v>8.92</v>
      </c>
      <c r="E3046" s="15">
        <v>44.5</v>
      </c>
    </row>
    <row r="3047" spans="1:5">
      <c r="A3047">
        <v>2017</v>
      </c>
      <c r="B3047" t="s">
        <v>2219</v>
      </c>
      <c r="C3047" t="s">
        <v>2241</v>
      </c>
      <c r="D3047" s="14">
        <v>4.5599999999999996</v>
      </c>
      <c r="E3047" s="15">
        <v>44.5</v>
      </c>
    </row>
    <row r="3048" spans="1:5">
      <c r="A3048">
        <v>2017</v>
      </c>
      <c r="B3048" t="s">
        <v>2220</v>
      </c>
      <c r="C3048" t="s">
        <v>2241</v>
      </c>
      <c r="D3048" s="14">
        <v>3.2</v>
      </c>
      <c r="E3048" s="15">
        <v>44.5</v>
      </c>
    </row>
    <row r="3049" spans="1:5">
      <c r="A3049">
        <v>2017</v>
      </c>
      <c r="B3049" t="s">
        <v>2221</v>
      </c>
      <c r="C3049" t="s">
        <v>2241</v>
      </c>
      <c r="D3049" s="14">
        <v>9.82</v>
      </c>
      <c r="E3049" s="15">
        <v>44.5</v>
      </c>
    </row>
    <row r="3050" spans="1:5">
      <c r="A3050">
        <v>2017</v>
      </c>
      <c r="B3050" t="s">
        <v>2222</v>
      </c>
      <c r="C3050" t="s">
        <v>2241</v>
      </c>
      <c r="D3050" s="14">
        <v>3.25</v>
      </c>
      <c r="E3050" s="15">
        <v>44.5</v>
      </c>
    </row>
    <row r="3051" spans="1:5">
      <c r="A3051">
        <v>2017</v>
      </c>
      <c r="B3051" t="s">
        <v>2223</v>
      </c>
      <c r="C3051" t="s">
        <v>2241</v>
      </c>
      <c r="D3051" s="14">
        <v>0.44</v>
      </c>
      <c r="E3051" s="15">
        <v>44.5</v>
      </c>
    </row>
    <row r="3052" spans="1:5">
      <c r="A3052">
        <v>2018</v>
      </c>
      <c r="B3052" t="s">
        <v>2213</v>
      </c>
      <c r="C3052" t="s">
        <v>2241</v>
      </c>
      <c r="D3052" s="14">
        <v>2.09</v>
      </c>
      <c r="E3052" s="15">
        <v>44.2</v>
      </c>
    </row>
    <row r="3053" spans="1:5">
      <c r="A3053">
        <v>2018</v>
      </c>
      <c r="B3053" t="s">
        <v>2215</v>
      </c>
      <c r="C3053" t="s">
        <v>2241</v>
      </c>
      <c r="D3053" s="14">
        <v>2.71</v>
      </c>
      <c r="E3053" s="15">
        <v>44.2</v>
      </c>
    </row>
    <row r="3054" spans="1:5">
      <c r="A3054">
        <v>2018</v>
      </c>
      <c r="B3054" t="s">
        <v>2216</v>
      </c>
      <c r="C3054" t="s">
        <v>2241</v>
      </c>
      <c r="D3054" s="14">
        <v>1.78</v>
      </c>
      <c r="E3054" s="15">
        <v>44.2</v>
      </c>
    </row>
    <row r="3055" spans="1:5">
      <c r="A3055">
        <v>2018</v>
      </c>
      <c r="B3055" t="s">
        <v>2217</v>
      </c>
      <c r="C3055" t="s">
        <v>2241</v>
      </c>
      <c r="D3055" s="14">
        <v>8.1199999999999992</v>
      </c>
      <c r="E3055" s="15">
        <v>44.2</v>
      </c>
    </row>
    <row r="3056" spans="1:5">
      <c r="A3056">
        <v>2018</v>
      </c>
      <c r="B3056" t="s">
        <v>2218</v>
      </c>
      <c r="C3056" t="s">
        <v>2241</v>
      </c>
      <c r="D3056" s="14">
        <v>8.41</v>
      </c>
      <c r="E3056" s="15">
        <v>44.2</v>
      </c>
    </row>
    <row r="3057" spans="1:5">
      <c r="A3057">
        <v>2018</v>
      </c>
      <c r="B3057" t="s">
        <v>2219</v>
      </c>
      <c r="C3057" t="s">
        <v>2241</v>
      </c>
      <c r="D3057" s="14">
        <v>4.75</v>
      </c>
      <c r="E3057" s="15">
        <v>44.2</v>
      </c>
    </row>
    <row r="3058" spans="1:5">
      <c r="A3058">
        <v>2018</v>
      </c>
      <c r="B3058" t="s">
        <v>2220</v>
      </c>
      <c r="C3058" t="s">
        <v>2241</v>
      </c>
      <c r="D3058" s="14">
        <v>3.19</v>
      </c>
      <c r="E3058" s="15">
        <v>44.2</v>
      </c>
    </row>
    <row r="3059" spans="1:5">
      <c r="A3059">
        <v>2018</v>
      </c>
      <c r="B3059" t="s">
        <v>2221</v>
      </c>
      <c r="C3059" t="s">
        <v>2241</v>
      </c>
      <c r="D3059" s="14">
        <v>9.6199999999999992</v>
      </c>
      <c r="E3059" s="15">
        <v>44.2</v>
      </c>
    </row>
    <row r="3060" spans="1:5">
      <c r="A3060">
        <v>2018</v>
      </c>
      <c r="B3060" t="s">
        <v>2222</v>
      </c>
      <c r="C3060" t="s">
        <v>2241</v>
      </c>
      <c r="D3060" s="14">
        <v>2.98</v>
      </c>
      <c r="E3060" s="15">
        <v>44.2</v>
      </c>
    </row>
    <row r="3061" spans="1:5">
      <c r="A3061">
        <v>2018</v>
      </c>
      <c r="B3061" t="s">
        <v>2223</v>
      </c>
      <c r="C3061" t="s">
        <v>2241</v>
      </c>
      <c r="D3061" s="14">
        <v>0.46</v>
      </c>
      <c r="E3061" s="15">
        <v>44.2</v>
      </c>
    </row>
    <row r="3062" spans="1:5">
      <c r="A3062">
        <v>2019</v>
      </c>
      <c r="B3062" t="s">
        <v>2213</v>
      </c>
      <c r="C3062" t="s">
        <v>2241</v>
      </c>
      <c r="D3062" s="14">
        <v>2.11</v>
      </c>
      <c r="E3062" s="15">
        <v>44</v>
      </c>
    </row>
    <row r="3063" spans="1:5">
      <c r="A3063">
        <v>2019</v>
      </c>
      <c r="B3063" t="s">
        <v>2215</v>
      </c>
      <c r="C3063" t="s">
        <v>2241</v>
      </c>
      <c r="D3063" s="14">
        <v>2.89</v>
      </c>
      <c r="E3063" s="15">
        <v>44</v>
      </c>
    </row>
    <row r="3064" spans="1:5">
      <c r="A3064">
        <v>2019</v>
      </c>
      <c r="B3064" t="s">
        <v>2216</v>
      </c>
      <c r="C3064" t="s">
        <v>2241</v>
      </c>
      <c r="D3064" s="14">
        <v>1.72</v>
      </c>
      <c r="E3064" s="15">
        <v>44</v>
      </c>
    </row>
    <row r="3065" spans="1:5">
      <c r="A3065">
        <v>2019</v>
      </c>
      <c r="B3065" t="s">
        <v>2217</v>
      </c>
      <c r="C3065" t="s">
        <v>2241</v>
      </c>
      <c r="D3065" s="14">
        <v>8.48</v>
      </c>
      <c r="E3065" s="15">
        <v>44</v>
      </c>
    </row>
    <row r="3066" spans="1:5">
      <c r="A3066">
        <v>2019</v>
      </c>
      <c r="B3066" t="s">
        <v>2218</v>
      </c>
      <c r="C3066" t="s">
        <v>2241</v>
      </c>
      <c r="D3066" s="14">
        <v>8.74</v>
      </c>
      <c r="E3066" s="15">
        <v>44</v>
      </c>
    </row>
    <row r="3067" spans="1:5">
      <c r="A3067">
        <v>2019</v>
      </c>
      <c r="B3067" t="s">
        <v>2219</v>
      </c>
      <c r="C3067" t="s">
        <v>2241</v>
      </c>
      <c r="D3067" s="14">
        <v>4.6900000000000004</v>
      </c>
      <c r="E3067" s="15">
        <v>44</v>
      </c>
    </row>
    <row r="3068" spans="1:5">
      <c r="A3068">
        <v>2019</v>
      </c>
      <c r="B3068" t="s">
        <v>2220</v>
      </c>
      <c r="C3068" t="s">
        <v>2241</v>
      </c>
      <c r="D3068" s="14">
        <v>2.99</v>
      </c>
      <c r="E3068" s="15">
        <v>44</v>
      </c>
    </row>
    <row r="3069" spans="1:5">
      <c r="A3069">
        <v>2019</v>
      </c>
      <c r="B3069" t="s">
        <v>2221</v>
      </c>
      <c r="C3069" t="s">
        <v>2241</v>
      </c>
      <c r="D3069" s="14">
        <v>9.69</v>
      </c>
      <c r="E3069" s="15">
        <v>44</v>
      </c>
    </row>
    <row r="3070" spans="1:5">
      <c r="A3070">
        <v>2019</v>
      </c>
      <c r="B3070" t="s">
        <v>2222</v>
      </c>
      <c r="C3070" t="s">
        <v>2241</v>
      </c>
      <c r="D3070" s="14">
        <v>3.18</v>
      </c>
      <c r="E3070" s="15">
        <v>44</v>
      </c>
    </row>
    <row r="3071" spans="1:5">
      <c r="A3071">
        <v>2019</v>
      </c>
      <c r="B3071" t="s">
        <v>2223</v>
      </c>
      <c r="C3071" t="s">
        <v>2241</v>
      </c>
      <c r="D3071" s="14">
        <v>0.45</v>
      </c>
      <c r="E3071" s="15">
        <v>44</v>
      </c>
    </row>
    <row r="3072" spans="1:5">
      <c r="A3072">
        <v>2020</v>
      </c>
      <c r="B3072" t="s">
        <v>2213</v>
      </c>
      <c r="C3072" t="s">
        <v>2241</v>
      </c>
      <c r="D3072" s="14">
        <v>2.38</v>
      </c>
      <c r="E3072" s="15">
        <v>45.5</v>
      </c>
    </row>
    <row r="3073" spans="1:5">
      <c r="A3073">
        <v>2020</v>
      </c>
      <c r="B3073" t="s">
        <v>2215</v>
      </c>
      <c r="C3073" t="s">
        <v>2241</v>
      </c>
      <c r="D3073" s="14">
        <v>2.68</v>
      </c>
      <c r="E3073" s="15">
        <v>45.5</v>
      </c>
    </row>
    <row r="3074" spans="1:5">
      <c r="A3074">
        <v>2020</v>
      </c>
      <c r="B3074" t="s">
        <v>2216</v>
      </c>
      <c r="C3074" t="s">
        <v>2241</v>
      </c>
      <c r="D3074" s="14">
        <v>1.83</v>
      </c>
      <c r="E3074" s="15">
        <v>45.5</v>
      </c>
    </row>
    <row r="3075" spans="1:5">
      <c r="A3075">
        <v>2020</v>
      </c>
      <c r="B3075" t="s">
        <v>2217</v>
      </c>
      <c r="C3075" t="s">
        <v>2241</v>
      </c>
      <c r="D3075" s="14">
        <v>8.61</v>
      </c>
      <c r="E3075" s="15">
        <v>45.5</v>
      </c>
    </row>
    <row r="3076" spans="1:5">
      <c r="A3076">
        <v>2020</v>
      </c>
      <c r="B3076" t="s">
        <v>2218</v>
      </c>
      <c r="C3076" t="s">
        <v>2241</v>
      </c>
      <c r="D3076" s="14">
        <v>8.85</v>
      </c>
      <c r="E3076" s="15">
        <v>45.5</v>
      </c>
    </row>
    <row r="3077" spans="1:5">
      <c r="A3077">
        <v>2020</v>
      </c>
      <c r="B3077" t="s">
        <v>2219</v>
      </c>
      <c r="C3077" t="s">
        <v>2241</v>
      </c>
      <c r="D3077" s="14">
        <v>4.66</v>
      </c>
      <c r="E3077" s="15">
        <v>45.5</v>
      </c>
    </row>
    <row r="3078" spans="1:5">
      <c r="A3078">
        <v>2020</v>
      </c>
      <c r="B3078" t="s">
        <v>2220</v>
      </c>
      <c r="C3078" t="s">
        <v>2241</v>
      </c>
      <c r="D3078" s="14">
        <v>3.16</v>
      </c>
      <c r="E3078" s="15">
        <v>45.5</v>
      </c>
    </row>
    <row r="3079" spans="1:5">
      <c r="A3079">
        <v>2020</v>
      </c>
      <c r="B3079" t="s">
        <v>2221</v>
      </c>
      <c r="C3079" t="s">
        <v>2241</v>
      </c>
      <c r="D3079" s="14">
        <v>10.09</v>
      </c>
      <c r="E3079" s="15">
        <v>45.5</v>
      </c>
    </row>
    <row r="3080" spans="1:5">
      <c r="A3080">
        <v>2020</v>
      </c>
      <c r="B3080" t="s">
        <v>2222</v>
      </c>
      <c r="C3080" t="s">
        <v>2241</v>
      </c>
      <c r="D3080" s="14">
        <v>3.2</v>
      </c>
      <c r="E3080" s="15">
        <v>45.5</v>
      </c>
    </row>
    <row r="3081" spans="1:5">
      <c r="A3081">
        <v>2020</v>
      </c>
      <c r="B3081" t="s">
        <v>2223</v>
      </c>
      <c r="C3081" t="s">
        <v>2241</v>
      </c>
      <c r="D3081" s="14">
        <v>0.44</v>
      </c>
      <c r="E3081" s="15">
        <v>45.5</v>
      </c>
    </row>
    <row r="3082" spans="1:5">
      <c r="A3082">
        <v>2021</v>
      </c>
      <c r="B3082" t="s">
        <v>2213</v>
      </c>
      <c r="C3082" t="s">
        <v>2241</v>
      </c>
      <c r="D3082" s="14">
        <v>2.33</v>
      </c>
      <c r="E3082" s="15">
        <v>47</v>
      </c>
    </row>
    <row r="3083" spans="1:5">
      <c r="A3083">
        <v>2021</v>
      </c>
      <c r="B3083" t="s">
        <v>2215</v>
      </c>
      <c r="C3083" t="s">
        <v>2241</v>
      </c>
      <c r="D3083" s="14">
        <v>2.84</v>
      </c>
      <c r="E3083" s="15">
        <v>47</v>
      </c>
    </row>
    <row r="3084" spans="1:5">
      <c r="A3084">
        <v>2021</v>
      </c>
      <c r="B3084" t="s">
        <v>2216</v>
      </c>
      <c r="C3084" t="s">
        <v>2241</v>
      </c>
      <c r="D3084" s="14">
        <v>1.87</v>
      </c>
      <c r="E3084" s="15">
        <v>47</v>
      </c>
    </row>
    <row r="3085" spans="1:5">
      <c r="A3085">
        <v>2021</v>
      </c>
      <c r="B3085" t="s">
        <v>2217</v>
      </c>
      <c r="C3085" t="s">
        <v>2241</v>
      </c>
      <c r="D3085" s="14">
        <v>9.01</v>
      </c>
      <c r="E3085" s="15">
        <v>47</v>
      </c>
    </row>
    <row r="3086" spans="1:5">
      <c r="A3086">
        <v>2021</v>
      </c>
      <c r="B3086" t="s">
        <v>2218</v>
      </c>
      <c r="C3086" t="s">
        <v>2241</v>
      </c>
      <c r="D3086" s="14">
        <v>9.7899999999999991</v>
      </c>
      <c r="E3086" s="15">
        <v>47</v>
      </c>
    </row>
    <row r="3087" spans="1:5">
      <c r="A3087">
        <v>2021</v>
      </c>
      <c r="B3087" t="s">
        <v>2219</v>
      </c>
      <c r="C3087" t="s">
        <v>2241</v>
      </c>
      <c r="D3087" s="14">
        <v>4.75</v>
      </c>
      <c r="E3087" s="15">
        <v>47</v>
      </c>
    </row>
    <row r="3088" spans="1:5">
      <c r="A3088">
        <v>2021</v>
      </c>
      <c r="B3088" t="s">
        <v>2220</v>
      </c>
      <c r="C3088" t="s">
        <v>2241</v>
      </c>
      <c r="D3088" s="14">
        <v>3.19</v>
      </c>
      <c r="E3088" s="15">
        <v>47</v>
      </c>
    </row>
    <row r="3089" spans="1:5">
      <c r="A3089">
        <v>2021</v>
      </c>
      <c r="B3089" t="s">
        <v>2221</v>
      </c>
      <c r="C3089" t="s">
        <v>2241</v>
      </c>
      <c r="D3089" s="14">
        <v>10</v>
      </c>
      <c r="E3089" s="15">
        <v>47</v>
      </c>
    </row>
    <row r="3090" spans="1:5">
      <c r="A3090">
        <v>2021</v>
      </c>
      <c r="B3090" t="s">
        <v>2222</v>
      </c>
      <c r="C3090" t="s">
        <v>2241</v>
      </c>
      <c r="D3090" s="14">
        <v>3.56</v>
      </c>
      <c r="E3090" s="15">
        <v>47</v>
      </c>
    </row>
    <row r="3091" spans="1:5">
      <c r="A3091">
        <v>2021</v>
      </c>
      <c r="B3091" t="s">
        <v>2223</v>
      </c>
      <c r="C3091" t="s">
        <v>2241</v>
      </c>
      <c r="D3091" s="14">
        <v>0.45</v>
      </c>
      <c r="E3091" s="15">
        <v>47</v>
      </c>
    </row>
    <row r="3092" spans="1:5">
      <c r="A3092">
        <v>2022</v>
      </c>
      <c r="B3092" t="s">
        <v>2213</v>
      </c>
      <c r="C3092" t="s">
        <v>2241</v>
      </c>
      <c r="D3092" s="14">
        <v>2.36</v>
      </c>
      <c r="E3092" s="15">
        <v>47</v>
      </c>
    </row>
    <row r="3093" spans="1:5">
      <c r="A3093">
        <v>2022</v>
      </c>
      <c r="B3093" t="s">
        <v>2215</v>
      </c>
      <c r="C3093" t="s">
        <v>2241</v>
      </c>
      <c r="D3093" s="14">
        <v>2.86</v>
      </c>
      <c r="E3093" s="15">
        <v>47</v>
      </c>
    </row>
    <row r="3094" spans="1:5">
      <c r="A3094">
        <v>2022</v>
      </c>
      <c r="B3094" t="s">
        <v>2216</v>
      </c>
      <c r="C3094" t="s">
        <v>2241</v>
      </c>
      <c r="D3094" s="14">
        <v>1.86</v>
      </c>
      <c r="E3094" s="15">
        <v>47</v>
      </c>
    </row>
    <row r="3095" spans="1:5">
      <c r="A3095">
        <v>2022</v>
      </c>
      <c r="B3095" t="s">
        <v>2217</v>
      </c>
      <c r="C3095" t="s">
        <v>2241</v>
      </c>
      <c r="D3095" s="14">
        <v>8.1300000000000008</v>
      </c>
      <c r="E3095" s="15">
        <v>47</v>
      </c>
    </row>
    <row r="3096" spans="1:5">
      <c r="A3096">
        <v>2022</v>
      </c>
      <c r="B3096" t="s">
        <v>2218</v>
      </c>
      <c r="C3096" t="s">
        <v>2241</v>
      </c>
      <c r="D3096" s="14">
        <v>9.11</v>
      </c>
      <c r="E3096" s="15">
        <v>47</v>
      </c>
    </row>
    <row r="3097" spans="1:5">
      <c r="A3097">
        <v>2022</v>
      </c>
      <c r="B3097" t="s">
        <v>2219</v>
      </c>
      <c r="C3097" t="s">
        <v>2241</v>
      </c>
      <c r="D3097" s="14">
        <v>4.5999999999999996</v>
      </c>
      <c r="E3097" s="15">
        <v>47</v>
      </c>
    </row>
    <row r="3098" spans="1:5">
      <c r="A3098">
        <v>2022</v>
      </c>
      <c r="B3098" t="s">
        <v>2220</v>
      </c>
      <c r="C3098" t="s">
        <v>2241</v>
      </c>
      <c r="D3098" s="14">
        <v>3.2</v>
      </c>
      <c r="E3098" s="15">
        <v>47</v>
      </c>
    </row>
    <row r="3099" spans="1:5">
      <c r="A3099">
        <v>2022</v>
      </c>
      <c r="B3099" t="s">
        <v>2221</v>
      </c>
      <c r="C3099" t="s">
        <v>2241</v>
      </c>
      <c r="D3099" s="14">
        <v>10.9</v>
      </c>
      <c r="E3099" s="15">
        <v>47</v>
      </c>
    </row>
    <row r="3100" spans="1:5">
      <c r="A3100">
        <v>2022</v>
      </c>
      <c r="B3100" t="s">
        <v>2222</v>
      </c>
      <c r="C3100" t="s">
        <v>2241</v>
      </c>
      <c r="D3100" s="14">
        <v>3.29</v>
      </c>
      <c r="E3100" s="15">
        <v>47</v>
      </c>
    </row>
    <row r="3101" spans="1:5">
      <c r="A3101">
        <v>2022</v>
      </c>
      <c r="B3101" t="s">
        <v>2223</v>
      </c>
      <c r="C3101" t="s">
        <v>2241</v>
      </c>
      <c r="D3101" s="14">
        <v>0.46</v>
      </c>
      <c r="E3101" s="15">
        <v>47</v>
      </c>
    </row>
    <row r="3102" spans="1:5">
      <c r="A3102">
        <v>2023</v>
      </c>
      <c r="B3102" t="s">
        <v>2213</v>
      </c>
      <c r="C3102" t="s">
        <v>2241</v>
      </c>
      <c r="D3102" s="14">
        <v>2.36</v>
      </c>
      <c r="E3102" s="15">
        <v>47</v>
      </c>
    </row>
    <row r="3103" spans="1:5">
      <c r="A3103">
        <v>2023</v>
      </c>
      <c r="B3103" t="s">
        <v>2215</v>
      </c>
      <c r="C3103" t="s">
        <v>2241</v>
      </c>
      <c r="D3103" s="14">
        <v>2.9</v>
      </c>
      <c r="E3103" s="15">
        <v>47</v>
      </c>
    </row>
    <row r="3104" spans="1:5">
      <c r="A3104">
        <v>2023</v>
      </c>
      <c r="B3104" t="s">
        <v>2216</v>
      </c>
      <c r="C3104" t="s">
        <v>2241</v>
      </c>
      <c r="D3104" s="14">
        <v>1.85</v>
      </c>
      <c r="E3104" s="15">
        <v>47</v>
      </c>
    </row>
    <row r="3105" spans="1:5">
      <c r="A3105">
        <v>2023</v>
      </c>
      <c r="B3105" t="s">
        <v>2217</v>
      </c>
      <c r="C3105" t="s">
        <v>2241</v>
      </c>
      <c r="D3105" s="14">
        <v>8.77</v>
      </c>
      <c r="E3105" s="15">
        <v>47</v>
      </c>
    </row>
    <row r="3106" spans="1:5">
      <c r="A3106">
        <v>2023</v>
      </c>
      <c r="B3106" t="s">
        <v>2218</v>
      </c>
      <c r="C3106" t="s">
        <v>2241</v>
      </c>
      <c r="D3106" s="14">
        <v>8.93</v>
      </c>
      <c r="E3106" s="15">
        <v>47</v>
      </c>
    </row>
    <row r="3107" spans="1:5">
      <c r="A3107">
        <v>2023</v>
      </c>
      <c r="B3107" t="s">
        <v>2219</v>
      </c>
      <c r="C3107" t="s">
        <v>2241</v>
      </c>
      <c r="D3107" s="14">
        <v>4.93</v>
      </c>
      <c r="E3107" s="15">
        <v>47</v>
      </c>
    </row>
    <row r="3108" spans="1:5">
      <c r="A3108">
        <v>2023</v>
      </c>
      <c r="B3108" t="s">
        <v>2220</v>
      </c>
      <c r="C3108" t="s">
        <v>2241</v>
      </c>
      <c r="D3108" s="14">
        <v>3.29</v>
      </c>
      <c r="E3108" s="15">
        <v>47</v>
      </c>
    </row>
    <row r="3109" spans="1:5">
      <c r="A3109">
        <v>2023</v>
      </c>
      <c r="B3109" t="s">
        <v>2221</v>
      </c>
      <c r="C3109" t="s">
        <v>2241</v>
      </c>
      <c r="D3109" s="14">
        <v>10.32</v>
      </c>
      <c r="E3109" s="15">
        <v>47</v>
      </c>
    </row>
    <row r="3110" spans="1:5">
      <c r="A3110">
        <v>2023</v>
      </c>
      <c r="B3110" t="s">
        <v>2222</v>
      </c>
      <c r="C3110" t="s">
        <v>2241</v>
      </c>
      <c r="D3110" s="14">
        <v>3.2</v>
      </c>
      <c r="E3110" s="15">
        <v>47</v>
      </c>
    </row>
    <row r="3111" spans="1:5">
      <c r="A3111">
        <v>2023</v>
      </c>
      <c r="B3111" t="s">
        <v>2223</v>
      </c>
      <c r="C3111" t="s">
        <v>2241</v>
      </c>
      <c r="D3111" s="14">
        <v>0.45</v>
      </c>
      <c r="E3111" s="15">
        <v>47</v>
      </c>
    </row>
    <row r="3112" spans="1:5">
      <c r="A3112">
        <v>2024</v>
      </c>
      <c r="B3112" t="s">
        <v>2213</v>
      </c>
      <c r="C3112" t="s">
        <v>2241</v>
      </c>
      <c r="D3112" s="14">
        <v>2.2000000000000002</v>
      </c>
      <c r="E3112" s="15">
        <v>47</v>
      </c>
    </row>
    <row r="3113" spans="1:5">
      <c r="A3113">
        <v>2024</v>
      </c>
      <c r="B3113" t="s">
        <v>2215</v>
      </c>
      <c r="C3113" t="s">
        <v>2241</v>
      </c>
      <c r="D3113" s="14">
        <v>2.74</v>
      </c>
      <c r="E3113" s="15">
        <v>47</v>
      </c>
    </row>
    <row r="3114" spans="1:5">
      <c r="A3114">
        <v>2024</v>
      </c>
      <c r="B3114" t="s">
        <v>2216</v>
      </c>
      <c r="C3114" t="s">
        <v>2241</v>
      </c>
      <c r="D3114" s="14">
        <v>1.92</v>
      </c>
      <c r="E3114" s="15">
        <v>47</v>
      </c>
    </row>
    <row r="3115" spans="1:5">
      <c r="A3115">
        <v>2024</v>
      </c>
      <c r="B3115" t="s">
        <v>2217</v>
      </c>
      <c r="C3115" t="s">
        <v>2241</v>
      </c>
      <c r="D3115" s="14">
        <v>8.14</v>
      </c>
      <c r="E3115" s="15">
        <v>47</v>
      </c>
    </row>
    <row r="3116" spans="1:5">
      <c r="A3116">
        <v>2024</v>
      </c>
      <c r="B3116" t="s">
        <v>2218</v>
      </c>
      <c r="C3116" t="s">
        <v>2241</v>
      </c>
      <c r="D3116" s="14">
        <v>8.84</v>
      </c>
      <c r="E3116" s="15">
        <v>47</v>
      </c>
    </row>
    <row r="3117" spans="1:5">
      <c r="A3117">
        <v>2024</v>
      </c>
      <c r="B3117" t="s">
        <v>2219</v>
      </c>
      <c r="C3117" t="s">
        <v>2241</v>
      </c>
      <c r="D3117" s="14">
        <v>4.53</v>
      </c>
      <c r="E3117" s="15">
        <v>47</v>
      </c>
    </row>
    <row r="3118" spans="1:5">
      <c r="A3118">
        <v>2024</v>
      </c>
      <c r="B3118" t="s">
        <v>2220</v>
      </c>
      <c r="C3118" t="s">
        <v>2241</v>
      </c>
      <c r="D3118" s="14">
        <v>3.24</v>
      </c>
      <c r="E3118" s="15">
        <v>47</v>
      </c>
    </row>
    <row r="3119" spans="1:5">
      <c r="A3119">
        <v>2024</v>
      </c>
      <c r="B3119" t="s">
        <v>2221</v>
      </c>
      <c r="C3119" t="s">
        <v>2241</v>
      </c>
      <c r="D3119" s="14">
        <v>10.199999999999999</v>
      </c>
      <c r="E3119" s="15">
        <v>47</v>
      </c>
    </row>
    <row r="3120" spans="1:5">
      <c r="A3120">
        <v>2024</v>
      </c>
      <c r="B3120" t="s">
        <v>2222</v>
      </c>
      <c r="C3120" t="s">
        <v>2241</v>
      </c>
      <c r="D3120" s="14">
        <v>3.27</v>
      </c>
      <c r="E3120" s="15">
        <v>47</v>
      </c>
    </row>
    <row r="3121" spans="1:5">
      <c r="A3121">
        <v>2024</v>
      </c>
      <c r="B3121" t="s">
        <v>2223</v>
      </c>
      <c r="C3121" t="s">
        <v>2241</v>
      </c>
      <c r="D3121" s="14">
        <v>0.49</v>
      </c>
      <c r="E3121" s="15">
        <v>47</v>
      </c>
    </row>
    <row r="3122" spans="1:5">
      <c r="A3122">
        <v>2025</v>
      </c>
      <c r="B3122" t="s">
        <v>2213</v>
      </c>
      <c r="C3122" t="s">
        <v>2241</v>
      </c>
      <c r="D3122" s="14">
        <v>2.4700000000000002</v>
      </c>
      <c r="E3122" s="15">
        <v>47</v>
      </c>
    </row>
    <row r="3123" spans="1:5">
      <c r="A3123">
        <v>2025</v>
      </c>
      <c r="B3123" t="s">
        <v>2215</v>
      </c>
      <c r="C3123" t="s">
        <v>2241</v>
      </c>
      <c r="D3123" s="14">
        <v>3.06</v>
      </c>
      <c r="E3123" s="15">
        <v>47</v>
      </c>
    </row>
    <row r="3124" spans="1:5">
      <c r="A3124">
        <v>2025</v>
      </c>
      <c r="B3124" t="s">
        <v>2216</v>
      </c>
      <c r="C3124" t="s">
        <v>2241</v>
      </c>
      <c r="D3124" s="14">
        <v>1.76</v>
      </c>
      <c r="E3124" s="15">
        <v>47</v>
      </c>
    </row>
    <row r="3125" spans="1:5">
      <c r="A3125">
        <v>2025</v>
      </c>
      <c r="B3125" t="s">
        <v>2217</v>
      </c>
      <c r="C3125" t="s">
        <v>2241</v>
      </c>
      <c r="D3125" s="14">
        <v>8.18</v>
      </c>
      <c r="E3125" s="15">
        <v>47</v>
      </c>
    </row>
    <row r="3126" spans="1:5">
      <c r="A3126">
        <v>2025</v>
      </c>
      <c r="B3126" t="s">
        <v>2218</v>
      </c>
      <c r="C3126" t="s">
        <v>2241</v>
      </c>
      <c r="D3126" s="14">
        <v>9.67</v>
      </c>
      <c r="E3126" s="15">
        <v>47</v>
      </c>
    </row>
    <row r="3127" spans="1:5">
      <c r="A3127">
        <v>2025</v>
      </c>
      <c r="B3127" t="s">
        <v>2219</v>
      </c>
      <c r="C3127" t="s">
        <v>2241</v>
      </c>
      <c r="D3127" s="14">
        <v>4.62</v>
      </c>
      <c r="E3127" s="15">
        <v>47</v>
      </c>
    </row>
    <row r="3128" spans="1:5">
      <c r="A3128">
        <v>2025</v>
      </c>
      <c r="B3128" t="s">
        <v>2220</v>
      </c>
      <c r="C3128" t="s">
        <v>2241</v>
      </c>
      <c r="D3128" s="14">
        <v>3.41</v>
      </c>
      <c r="E3128" s="15">
        <v>47</v>
      </c>
    </row>
    <row r="3129" spans="1:5">
      <c r="A3129">
        <v>2025</v>
      </c>
      <c r="B3129" t="s">
        <v>2221</v>
      </c>
      <c r="C3129" t="s">
        <v>2241</v>
      </c>
      <c r="D3129" s="14">
        <v>10.43</v>
      </c>
      <c r="E3129" s="15">
        <v>47</v>
      </c>
    </row>
    <row r="3130" spans="1:5">
      <c r="A3130">
        <v>2025</v>
      </c>
      <c r="B3130" t="s">
        <v>2222</v>
      </c>
      <c r="C3130" t="s">
        <v>2241</v>
      </c>
      <c r="D3130" s="14">
        <v>3.5</v>
      </c>
      <c r="E3130" s="15">
        <v>47</v>
      </c>
    </row>
    <row r="3131" spans="1:5">
      <c r="A3131">
        <v>2025</v>
      </c>
      <c r="B3131" t="s">
        <v>2223</v>
      </c>
      <c r="C3131" t="s">
        <v>2241</v>
      </c>
      <c r="D3131" s="14">
        <v>0.49</v>
      </c>
      <c r="E3131" s="15">
        <v>47</v>
      </c>
    </row>
    <row r="3132" spans="1:5">
      <c r="A3132">
        <v>2026</v>
      </c>
      <c r="B3132" t="s">
        <v>2213</v>
      </c>
      <c r="C3132" t="s">
        <v>2241</v>
      </c>
      <c r="D3132" s="14">
        <v>2.4500000000000002</v>
      </c>
      <c r="E3132" s="15">
        <v>47</v>
      </c>
    </row>
    <row r="3133" spans="1:5">
      <c r="A3133">
        <v>2026</v>
      </c>
      <c r="B3133" t="s">
        <v>2215</v>
      </c>
      <c r="C3133" t="s">
        <v>2241</v>
      </c>
      <c r="D3133" s="14">
        <v>2.77</v>
      </c>
      <c r="E3133" s="15">
        <v>47</v>
      </c>
    </row>
    <row r="3134" spans="1:5">
      <c r="A3134">
        <v>2026</v>
      </c>
      <c r="B3134" t="s">
        <v>2216</v>
      </c>
      <c r="C3134" t="s">
        <v>2241</v>
      </c>
      <c r="D3134" s="14">
        <v>1.87</v>
      </c>
      <c r="E3134" s="15">
        <v>47</v>
      </c>
    </row>
    <row r="3135" spans="1:5">
      <c r="A3135">
        <v>2026</v>
      </c>
      <c r="B3135" t="s">
        <v>2217</v>
      </c>
      <c r="C3135" t="s">
        <v>2241</v>
      </c>
      <c r="D3135" s="14">
        <v>8.36</v>
      </c>
      <c r="E3135" s="15">
        <v>47</v>
      </c>
    </row>
    <row r="3136" spans="1:5">
      <c r="A3136">
        <v>2026</v>
      </c>
      <c r="B3136" t="s">
        <v>2218</v>
      </c>
      <c r="C3136" t="s">
        <v>2241</v>
      </c>
      <c r="D3136" s="14">
        <v>8.85</v>
      </c>
      <c r="E3136" s="15">
        <v>47</v>
      </c>
    </row>
    <row r="3137" spans="1:5">
      <c r="A3137">
        <v>2026</v>
      </c>
      <c r="B3137" t="s">
        <v>2219</v>
      </c>
      <c r="C3137" t="s">
        <v>2241</v>
      </c>
      <c r="D3137" s="14">
        <v>4.9800000000000004</v>
      </c>
      <c r="E3137" s="15">
        <v>47</v>
      </c>
    </row>
    <row r="3138" spans="1:5">
      <c r="A3138">
        <v>2026</v>
      </c>
      <c r="B3138" t="s">
        <v>2220</v>
      </c>
      <c r="C3138" t="s">
        <v>2241</v>
      </c>
      <c r="D3138" s="14">
        <v>3.39</v>
      </c>
      <c r="E3138" s="15">
        <v>47</v>
      </c>
    </row>
    <row r="3139" spans="1:5">
      <c r="A3139">
        <v>2026</v>
      </c>
      <c r="B3139" t="s">
        <v>2221</v>
      </c>
      <c r="C3139" t="s">
        <v>2241</v>
      </c>
      <c r="D3139" s="14">
        <v>10.199999999999999</v>
      </c>
      <c r="E3139" s="15">
        <v>47</v>
      </c>
    </row>
    <row r="3140" spans="1:5">
      <c r="A3140">
        <v>2026</v>
      </c>
      <c r="B3140" t="s">
        <v>2222</v>
      </c>
      <c r="C3140" t="s">
        <v>2241</v>
      </c>
      <c r="D3140" s="14">
        <v>3.47</v>
      </c>
      <c r="E3140" s="15">
        <v>47</v>
      </c>
    </row>
    <row r="3141" spans="1:5">
      <c r="A3141">
        <v>2026</v>
      </c>
      <c r="B3141" t="s">
        <v>2223</v>
      </c>
      <c r="C3141" t="s">
        <v>2241</v>
      </c>
      <c r="D3141" s="14">
        <v>0.46</v>
      </c>
      <c r="E3141" s="15">
        <v>47</v>
      </c>
    </row>
    <row r="3142" spans="1:5">
      <c r="A3142">
        <v>2010</v>
      </c>
      <c r="B3142" t="s">
        <v>2213</v>
      </c>
      <c r="C3142" t="s">
        <v>2242</v>
      </c>
      <c r="D3142" s="14">
        <v>6.04</v>
      </c>
      <c r="E3142" s="15">
        <v>130</v>
      </c>
    </row>
    <row r="3143" spans="1:5">
      <c r="A3143">
        <v>2010</v>
      </c>
      <c r="B3143" t="s">
        <v>2215</v>
      </c>
      <c r="C3143" t="s">
        <v>2242</v>
      </c>
      <c r="D3143" s="14">
        <v>8.1199999999999992</v>
      </c>
      <c r="E3143" s="15">
        <v>130</v>
      </c>
    </row>
    <row r="3144" spans="1:5">
      <c r="A3144">
        <v>2010</v>
      </c>
      <c r="B3144" t="s">
        <v>2216</v>
      </c>
      <c r="C3144" t="s">
        <v>2242</v>
      </c>
      <c r="D3144" s="14">
        <v>4.9400000000000004</v>
      </c>
      <c r="E3144" s="15">
        <v>130</v>
      </c>
    </row>
    <row r="3145" spans="1:5">
      <c r="A3145">
        <v>2010</v>
      </c>
      <c r="B3145" t="s">
        <v>2217</v>
      </c>
      <c r="C3145" t="s">
        <v>2242</v>
      </c>
      <c r="D3145" s="14">
        <v>23.22</v>
      </c>
      <c r="E3145" s="15">
        <v>130</v>
      </c>
    </row>
    <row r="3146" spans="1:5">
      <c r="A3146">
        <v>2010</v>
      </c>
      <c r="B3146" t="s">
        <v>2218</v>
      </c>
      <c r="C3146" t="s">
        <v>2242</v>
      </c>
      <c r="D3146" s="14">
        <v>26.22</v>
      </c>
      <c r="E3146" s="15">
        <v>130</v>
      </c>
    </row>
    <row r="3147" spans="1:5">
      <c r="A3147">
        <v>2010</v>
      </c>
      <c r="B3147" t="s">
        <v>2219</v>
      </c>
      <c r="C3147" t="s">
        <v>2242</v>
      </c>
      <c r="D3147" s="14">
        <v>13.2</v>
      </c>
      <c r="E3147" s="15">
        <v>130</v>
      </c>
    </row>
    <row r="3148" spans="1:5">
      <c r="A3148">
        <v>2010</v>
      </c>
      <c r="B3148" t="s">
        <v>2220</v>
      </c>
      <c r="C3148" t="s">
        <v>2242</v>
      </c>
      <c r="D3148" s="14">
        <v>9.41</v>
      </c>
      <c r="E3148" s="15">
        <v>130</v>
      </c>
    </row>
    <row r="3149" spans="1:5">
      <c r="A3149">
        <v>2010</v>
      </c>
      <c r="B3149" t="s">
        <v>2221</v>
      </c>
      <c r="C3149" t="s">
        <v>2242</v>
      </c>
      <c r="D3149" s="14">
        <v>29.27</v>
      </c>
      <c r="E3149" s="15">
        <v>130</v>
      </c>
    </row>
    <row r="3150" spans="1:5">
      <c r="A3150">
        <v>2010</v>
      </c>
      <c r="B3150" t="s">
        <v>2222</v>
      </c>
      <c r="C3150" t="s">
        <v>2242</v>
      </c>
      <c r="D3150" s="14">
        <v>9.3000000000000007</v>
      </c>
      <c r="E3150" s="15">
        <v>130</v>
      </c>
    </row>
    <row r="3151" spans="1:5">
      <c r="A3151">
        <v>2010</v>
      </c>
      <c r="B3151" t="s">
        <v>2223</v>
      </c>
      <c r="C3151" t="s">
        <v>2242</v>
      </c>
      <c r="D3151" s="14">
        <v>1.26</v>
      </c>
      <c r="E3151" s="15">
        <v>130</v>
      </c>
    </row>
    <row r="3152" spans="1:5">
      <c r="A3152">
        <v>2011</v>
      </c>
      <c r="B3152" t="s">
        <v>2213</v>
      </c>
      <c r="C3152" t="s">
        <v>2242</v>
      </c>
      <c r="D3152" s="14">
        <v>6.63</v>
      </c>
      <c r="E3152" s="15">
        <v>131</v>
      </c>
    </row>
    <row r="3153" spans="1:5">
      <c r="A3153">
        <v>2011</v>
      </c>
      <c r="B3153" t="s">
        <v>2215</v>
      </c>
      <c r="C3153" t="s">
        <v>2242</v>
      </c>
      <c r="D3153" s="14">
        <v>7.4</v>
      </c>
      <c r="E3153" s="15">
        <v>131</v>
      </c>
    </row>
    <row r="3154" spans="1:5">
      <c r="A3154">
        <v>2011</v>
      </c>
      <c r="B3154" t="s">
        <v>2216</v>
      </c>
      <c r="C3154" t="s">
        <v>2242</v>
      </c>
      <c r="D3154" s="14">
        <v>5.58</v>
      </c>
      <c r="E3154" s="15">
        <v>131</v>
      </c>
    </row>
    <row r="3155" spans="1:5">
      <c r="A3155">
        <v>2011</v>
      </c>
      <c r="B3155" t="s">
        <v>2217</v>
      </c>
      <c r="C3155" t="s">
        <v>2242</v>
      </c>
      <c r="D3155" s="14">
        <v>22.29</v>
      </c>
      <c r="E3155" s="15">
        <v>131</v>
      </c>
    </row>
    <row r="3156" spans="1:5">
      <c r="A3156">
        <v>2011</v>
      </c>
      <c r="B3156" t="s">
        <v>2218</v>
      </c>
      <c r="C3156" t="s">
        <v>2242</v>
      </c>
      <c r="D3156" s="14">
        <v>25.84</v>
      </c>
      <c r="E3156" s="15">
        <v>131</v>
      </c>
    </row>
    <row r="3157" spans="1:5">
      <c r="A3157">
        <v>2011</v>
      </c>
      <c r="B3157" t="s">
        <v>2219</v>
      </c>
      <c r="C3157" t="s">
        <v>2242</v>
      </c>
      <c r="D3157" s="14">
        <v>12.43</v>
      </c>
      <c r="E3157" s="15">
        <v>131</v>
      </c>
    </row>
    <row r="3158" spans="1:5">
      <c r="A3158">
        <v>2011</v>
      </c>
      <c r="B3158" t="s">
        <v>2220</v>
      </c>
      <c r="C3158" t="s">
        <v>2242</v>
      </c>
      <c r="D3158" s="14">
        <v>8.91</v>
      </c>
      <c r="E3158" s="15">
        <v>131</v>
      </c>
    </row>
    <row r="3159" spans="1:5">
      <c r="A3159">
        <v>2011</v>
      </c>
      <c r="B3159" t="s">
        <v>2221</v>
      </c>
      <c r="C3159" t="s">
        <v>2242</v>
      </c>
      <c r="D3159" s="14">
        <v>28.84</v>
      </c>
      <c r="E3159" s="15">
        <v>131</v>
      </c>
    </row>
    <row r="3160" spans="1:5">
      <c r="A3160">
        <v>2011</v>
      </c>
      <c r="B3160" t="s">
        <v>2222</v>
      </c>
      <c r="C3160" t="s">
        <v>2242</v>
      </c>
      <c r="D3160" s="14">
        <v>8.98</v>
      </c>
      <c r="E3160" s="15">
        <v>131</v>
      </c>
    </row>
    <row r="3161" spans="1:5">
      <c r="A3161">
        <v>2011</v>
      </c>
      <c r="B3161" t="s">
        <v>2223</v>
      </c>
      <c r="C3161" t="s">
        <v>2242</v>
      </c>
      <c r="D3161" s="14">
        <v>1.37</v>
      </c>
      <c r="E3161" s="15">
        <v>131</v>
      </c>
    </row>
    <row r="3162" spans="1:5">
      <c r="A3162">
        <v>2012</v>
      </c>
      <c r="B3162" t="s">
        <v>2213</v>
      </c>
      <c r="C3162" t="s">
        <v>2242</v>
      </c>
      <c r="D3162" s="14">
        <v>6.66</v>
      </c>
      <c r="E3162" s="15">
        <v>132</v>
      </c>
    </row>
    <row r="3163" spans="1:5">
      <c r="A3163">
        <v>2012</v>
      </c>
      <c r="B3163" t="s">
        <v>2215</v>
      </c>
      <c r="C3163" t="s">
        <v>2242</v>
      </c>
      <c r="D3163" s="14">
        <v>7.77</v>
      </c>
      <c r="E3163" s="15">
        <v>132</v>
      </c>
    </row>
    <row r="3164" spans="1:5">
      <c r="A3164">
        <v>2012</v>
      </c>
      <c r="B3164" t="s">
        <v>2216</v>
      </c>
      <c r="C3164" t="s">
        <v>2242</v>
      </c>
      <c r="D3164" s="14">
        <v>5.25</v>
      </c>
      <c r="E3164" s="15">
        <v>132</v>
      </c>
    </row>
    <row r="3165" spans="1:5">
      <c r="A3165">
        <v>2012</v>
      </c>
      <c r="B3165" t="s">
        <v>2217</v>
      </c>
      <c r="C3165" t="s">
        <v>2242</v>
      </c>
      <c r="D3165" s="14">
        <v>24.95</v>
      </c>
      <c r="E3165" s="15">
        <v>132</v>
      </c>
    </row>
    <row r="3166" spans="1:5">
      <c r="A3166">
        <v>2012</v>
      </c>
      <c r="B3166" t="s">
        <v>2218</v>
      </c>
      <c r="C3166" t="s">
        <v>2242</v>
      </c>
      <c r="D3166" s="14">
        <v>27.38</v>
      </c>
      <c r="E3166" s="15">
        <v>132</v>
      </c>
    </row>
    <row r="3167" spans="1:5">
      <c r="A3167">
        <v>2012</v>
      </c>
      <c r="B3167" t="s">
        <v>2219</v>
      </c>
      <c r="C3167" t="s">
        <v>2242</v>
      </c>
      <c r="D3167" s="14">
        <v>12.61</v>
      </c>
      <c r="E3167" s="15">
        <v>132</v>
      </c>
    </row>
    <row r="3168" spans="1:5">
      <c r="A3168">
        <v>2012</v>
      </c>
      <c r="B3168" t="s">
        <v>2220</v>
      </c>
      <c r="C3168" t="s">
        <v>2242</v>
      </c>
      <c r="D3168" s="14">
        <v>8.99</v>
      </c>
      <c r="E3168" s="15">
        <v>132</v>
      </c>
    </row>
    <row r="3169" spans="1:5">
      <c r="A3169">
        <v>2012</v>
      </c>
      <c r="B3169" t="s">
        <v>2221</v>
      </c>
      <c r="C3169" t="s">
        <v>2242</v>
      </c>
      <c r="D3169" s="14">
        <v>29.6</v>
      </c>
      <c r="E3169" s="15">
        <v>132</v>
      </c>
    </row>
    <row r="3170" spans="1:5">
      <c r="A3170">
        <v>2012</v>
      </c>
      <c r="B3170" t="s">
        <v>2222</v>
      </c>
      <c r="C3170" t="s">
        <v>2242</v>
      </c>
      <c r="D3170" s="14">
        <v>9.3699999999999992</v>
      </c>
      <c r="E3170" s="15">
        <v>132</v>
      </c>
    </row>
    <row r="3171" spans="1:5">
      <c r="A3171">
        <v>2012</v>
      </c>
      <c r="B3171" t="s">
        <v>2223</v>
      </c>
      <c r="C3171" t="s">
        <v>2242</v>
      </c>
      <c r="D3171" s="14">
        <v>1.27</v>
      </c>
      <c r="E3171" s="15">
        <v>132</v>
      </c>
    </row>
    <row r="3172" spans="1:5">
      <c r="A3172">
        <v>2013</v>
      </c>
      <c r="B3172" t="s">
        <v>2213</v>
      </c>
      <c r="C3172" t="s">
        <v>2242</v>
      </c>
      <c r="D3172" s="14">
        <v>6.85</v>
      </c>
      <c r="E3172" s="15">
        <v>133</v>
      </c>
    </row>
    <row r="3173" spans="1:5">
      <c r="A3173">
        <v>2013</v>
      </c>
      <c r="B3173" t="s">
        <v>2215</v>
      </c>
      <c r="C3173" t="s">
        <v>2242</v>
      </c>
      <c r="D3173" s="14">
        <v>7.7</v>
      </c>
      <c r="E3173" s="15">
        <v>133</v>
      </c>
    </row>
    <row r="3174" spans="1:5">
      <c r="A3174">
        <v>2013</v>
      </c>
      <c r="B3174" t="s">
        <v>2216</v>
      </c>
      <c r="C3174" t="s">
        <v>2242</v>
      </c>
      <c r="D3174" s="14">
        <v>5.6</v>
      </c>
      <c r="E3174" s="15">
        <v>133</v>
      </c>
    </row>
    <row r="3175" spans="1:5">
      <c r="A3175">
        <v>2013</v>
      </c>
      <c r="B3175" t="s">
        <v>2217</v>
      </c>
      <c r="C3175" t="s">
        <v>2242</v>
      </c>
      <c r="D3175" s="14">
        <v>24.45</v>
      </c>
      <c r="E3175" s="15">
        <v>133</v>
      </c>
    </row>
    <row r="3176" spans="1:5">
      <c r="A3176">
        <v>2013</v>
      </c>
      <c r="B3176" t="s">
        <v>2218</v>
      </c>
      <c r="C3176" t="s">
        <v>2242</v>
      </c>
      <c r="D3176" s="14">
        <v>25.42</v>
      </c>
      <c r="E3176" s="15">
        <v>133</v>
      </c>
    </row>
    <row r="3177" spans="1:5">
      <c r="A3177">
        <v>2013</v>
      </c>
      <c r="B3177" t="s">
        <v>2219</v>
      </c>
      <c r="C3177" t="s">
        <v>2242</v>
      </c>
      <c r="D3177" s="14">
        <v>13.02</v>
      </c>
      <c r="E3177" s="15">
        <v>133</v>
      </c>
    </row>
    <row r="3178" spans="1:5">
      <c r="A3178">
        <v>2013</v>
      </c>
      <c r="B3178" t="s">
        <v>2220</v>
      </c>
      <c r="C3178" t="s">
        <v>2242</v>
      </c>
      <c r="D3178" s="14">
        <v>9.11</v>
      </c>
      <c r="E3178" s="15">
        <v>133</v>
      </c>
    </row>
    <row r="3179" spans="1:5">
      <c r="A3179">
        <v>2013</v>
      </c>
      <c r="B3179" t="s">
        <v>2221</v>
      </c>
      <c r="C3179" t="s">
        <v>2242</v>
      </c>
      <c r="D3179" s="14">
        <v>29.45</v>
      </c>
      <c r="E3179" s="15">
        <v>133</v>
      </c>
    </row>
    <row r="3180" spans="1:5">
      <c r="A3180">
        <v>2013</v>
      </c>
      <c r="B3180" t="s">
        <v>2222</v>
      </c>
      <c r="C3180" t="s">
        <v>2242</v>
      </c>
      <c r="D3180" s="14">
        <v>9.23</v>
      </c>
      <c r="E3180" s="15">
        <v>133</v>
      </c>
    </row>
    <row r="3181" spans="1:5">
      <c r="A3181">
        <v>2013</v>
      </c>
      <c r="B3181" t="s">
        <v>2223</v>
      </c>
      <c r="C3181" t="s">
        <v>2242</v>
      </c>
      <c r="D3181" s="14">
        <v>1.27</v>
      </c>
      <c r="E3181" s="15">
        <v>133</v>
      </c>
    </row>
    <row r="3182" spans="1:5">
      <c r="A3182">
        <v>2014</v>
      </c>
      <c r="B3182" t="s">
        <v>2213</v>
      </c>
      <c r="C3182" t="s">
        <v>2242</v>
      </c>
      <c r="D3182" s="14">
        <v>6.34</v>
      </c>
      <c r="E3182" s="15">
        <v>134</v>
      </c>
    </row>
    <row r="3183" spans="1:5">
      <c r="A3183">
        <v>2014</v>
      </c>
      <c r="B3183" t="s">
        <v>2215</v>
      </c>
      <c r="C3183" t="s">
        <v>2242</v>
      </c>
      <c r="D3183" s="14">
        <v>8.2200000000000006</v>
      </c>
      <c r="E3183" s="15">
        <v>134</v>
      </c>
    </row>
    <row r="3184" spans="1:5">
      <c r="A3184">
        <v>2014</v>
      </c>
      <c r="B3184" t="s">
        <v>2216</v>
      </c>
      <c r="C3184" t="s">
        <v>2242</v>
      </c>
      <c r="D3184" s="14">
        <v>5.42</v>
      </c>
      <c r="E3184" s="15">
        <v>134</v>
      </c>
    </row>
    <row r="3185" spans="1:5">
      <c r="A3185">
        <v>2014</v>
      </c>
      <c r="B3185" t="s">
        <v>2217</v>
      </c>
      <c r="C3185" t="s">
        <v>2242</v>
      </c>
      <c r="D3185" s="14">
        <v>24.22</v>
      </c>
      <c r="E3185" s="15">
        <v>134</v>
      </c>
    </row>
    <row r="3186" spans="1:5">
      <c r="A3186">
        <v>2014</v>
      </c>
      <c r="B3186" t="s">
        <v>2218</v>
      </c>
      <c r="C3186" t="s">
        <v>2242</v>
      </c>
      <c r="D3186" s="14">
        <v>27.09</v>
      </c>
      <c r="E3186" s="15">
        <v>134</v>
      </c>
    </row>
    <row r="3187" spans="1:5">
      <c r="A3187">
        <v>2014</v>
      </c>
      <c r="B3187" t="s">
        <v>2219</v>
      </c>
      <c r="C3187" t="s">
        <v>2242</v>
      </c>
      <c r="D3187" s="14">
        <v>13.07</v>
      </c>
      <c r="E3187" s="15">
        <v>134</v>
      </c>
    </row>
    <row r="3188" spans="1:5">
      <c r="A3188">
        <v>2014</v>
      </c>
      <c r="B3188" t="s">
        <v>2220</v>
      </c>
      <c r="C3188" t="s">
        <v>2242</v>
      </c>
      <c r="D3188" s="14">
        <v>9.4499999999999993</v>
      </c>
      <c r="E3188" s="15">
        <v>134</v>
      </c>
    </row>
    <row r="3189" spans="1:5">
      <c r="A3189">
        <v>2014</v>
      </c>
      <c r="B3189" t="s">
        <v>2221</v>
      </c>
      <c r="C3189" t="s">
        <v>2242</v>
      </c>
      <c r="D3189" s="14">
        <v>32.630000000000003</v>
      </c>
      <c r="E3189" s="15">
        <v>134</v>
      </c>
    </row>
    <row r="3190" spans="1:5">
      <c r="A3190">
        <v>2014</v>
      </c>
      <c r="B3190" t="s">
        <v>2222</v>
      </c>
      <c r="C3190" t="s">
        <v>2242</v>
      </c>
      <c r="D3190" s="14">
        <v>9.83</v>
      </c>
      <c r="E3190" s="15">
        <v>134</v>
      </c>
    </row>
    <row r="3191" spans="1:5">
      <c r="A3191">
        <v>2014</v>
      </c>
      <c r="B3191" t="s">
        <v>2223</v>
      </c>
      <c r="C3191" t="s">
        <v>2242</v>
      </c>
      <c r="D3191" s="14">
        <v>1.32</v>
      </c>
      <c r="E3191" s="15">
        <v>134</v>
      </c>
    </row>
    <row r="3192" spans="1:5">
      <c r="A3192">
        <v>2015</v>
      </c>
      <c r="B3192" t="s">
        <v>2213</v>
      </c>
      <c r="C3192" t="s">
        <v>2242</v>
      </c>
      <c r="D3192" s="14">
        <v>6.61</v>
      </c>
      <c r="E3192" s="15">
        <v>135</v>
      </c>
    </row>
    <row r="3193" spans="1:5">
      <c r="A3193">
        <v>2015</v>
      </c>
      <c r="B3193" t="s">
        <v>2215</v>
      </c>
      <c r="C3193" t="s">
        <v>2242</v>
      </c>
      <c r="D3193" s="14">
        <v>7.22</v>
      </c>
      <c r="E3193" s="15">
        <v>135</v>
      </c>
    </row>
    <row r="3194" spans="1:5">
      <c r="A3194">
        <v>2015</v>
      </c>
      <c r="B3194" t="s">
        <v>2216</v>
      </c>
      <c r="C3194" t="s">
        <v>2242</v>
      </c>
      <c r="D3194" s="14">
        <v>5.64</v>
      </c>
      <c r="E3194" s="15">
        <v>135</v>
      </c>
    </row>
    <row r="3195" spans="1:5">
      <c r="A3195">
        <v>2015</v>
      </c>
      <c r="B3195" t="s">
        <v>2217</v>
      </c>
      <c r="C3195" t="s">
        <v>2242</v>
      </c>
      <c r="D3195" s="14">
        <v>25.08</v>
      </c>
      <c r="E3195" s="15">
        <v>135</v>
      </c>
    </row>
    <row r="3196" spans="1:5">
      <c r="A3196">
        <v>2015</v>
      </c>
      <c r="B3196" t="s">
        <v>2218</v>
      </c>
      <c r="C3196" t="s">
        <v>2242</v>
      </c>
      <c r="D3196" s="14">
        <v>26.42</v>
      </c>
      <c r="E3196" s="15">
        <v>135</v>
      </c>
    </row>
    <row r="3197" spans="1:5">
      <c r="A3197">
        <v>2015</v>
      </c>
      <c r="B3197" t="s">
        <v>2219</v>
      </c>
      <c r="C3197" t="s">
        <v>2242</v>
      </c>
      <c r="D3197" s="14">
        <v>12.75</v>
      </c>
      <c r="E3197" s="15">
        <v>135</v>
      </c>
    </row>
    <row r="3198" spans="1:5">
      <c r="A3198">
        <v>2015</v>
      </c>
      <c r="B3198" t="s">
        <v>2220</v>
      </c>
      <c r="C3198" t="s">
        <v>2242</v>
      </c>
      <c r="D3198" s="14">
        <v>9.02</v>
      </c>
      <c r="E3198" s="15">
        <v>135</v>
      </c>
    </row>
    <row r="3199" spans="1:5">
      <c r="A3199">
        <v>2015</v>
      </c>
      <c r="B3199" t="s">
        <v>2221</v>
      </c>
      <c r="C3199" t="s">
        <v>2242</v>
      </c>
      <c r="D3199" s="14">
        <v>30.23</v>
      </c>
      <c r="E3199" s="15">
        <v>135</v>
      </c>
    </row>
    <row r="3200" spans="1:5">
      <c r="A3200">
        <v>2015</v>
      </c>
      <c r="B3200" t="s">
        <v>2222</v>
      </c>
      <c r="C3200" t="s">
        <v>2242</v>
      </c>
      <c r="D3200" s="14">
        <v>9.42</v>
      </c>
      <c r="E3200" s="15">
        <v>135</v>
      </c>
    </row>
    <row r="3201" spans="1:5">
      <c r="A3201">
        <v>2015</v>
      </c>
      <c r="B3201" t="s">
        <v>2223</v>
      </c>
      <c r="C3201" t="s">
        <v>2242</v>
      </c>
      <c r="D3201" s="14">
        <v>1.39</v>
      </c>
      <c r="E3201" s="15">
        <v>135</v>
      </c>
    </row>
    <row r="3202" spans="1:5">
      <c r="A3202">
        <v>2016</v>
      </c>
      <c r="B3202" t="s">
        <v>2213</v>
      </c>
      <c r="C3202" t="s">
        <v>2242</v>
      </c>
      <c r="D3202" s="14">
        <v>6.87</v>
      </c>
      <c r="E3202" s="15">
        <v>137</v>
      </c>
    </row>
    <row r="3203" spans="1:5">
      <c r="A3203">
        <v>2016</v>
      </c>
      <c r="B3203" t="s">
        <v>2215</v>
      </c>
      <c r="C3203" t="s">
        <v>2242</v>
      </c>
      <c r="D3203" s="14">
        <v>8.5399999999999991</v>
      </c>
      <c r="E3203" s="15">
        <v>137</v>
      </c>
    </row>
    <row r="3204" spans="1:5">
      <c r="A3204">
        <v>2016</v>
      </c>
      <c r="B3204" t="s">
        <v>2216</v>
      </c>
      <c r="C3204" t="s">
        <v>2242</v>
      </c>
      <c r="D3204" s="14">
        <v>5.56</v>
      </c>
      <c r="E3204" s="15">
        <v>137</v>
      </c>
    </row>
    <row r="3205" spans="1:5">
      <c r="A3205">
        <v>2016</v>
      </c>
      <c r="B3205" t="s">
        <v>2217</v>
      </c>
      <c r="C3205" t="s">
        <v>2242</v>
      </c>
      <c r="D3205" s="14">
        <v>25.49</v>
      </c>
      <c r="E3205" s="15">
        <v>137</v>
      </c>
    </row>
    <row r="3206" spans="1:5">
      <c r="A3206">
        <v>2016</v>
      </c>
      <c r="B3206" t="s">
        <v>2218</v>
      </c>
      <c r="C3206" t="s">
        <v>2242</v>
      </c>
      <c r="D3206" s="14">
        <v>25.2</v>
      </c>
      <c r="E3206" s="15">
        <v>137</v>
      </c>
    </row>
    <row r="3207" spans="1:5">
      <c r="A3207">
        <v>2016</v>
      </c>
      <c r="B3207" t="s">
        <v>2219</v>
      </c>
      <c r="C3207" t="s">
        <v>2242</v>
      </c>
      <c r="D3207" s="14">
        <v>13.04</v>
      </c>
      <c r="E3207" s="15">
        <v>137</v>
      </c>
    </row>
    <row r="3208" spans="1:5">
      <c r="A3208">
        <v>2016</v>
      </c>
      <c r="B3208" t="s">
        <v>2220</v>
      </c>
      <c r="C3208" t="s">
        <v>2242</v>
      </c>
      <c r="D3208" s="14">
        <v>9.4499999999999993</v>
      </c>
      <c r="E3208" s="15">
        <v>137</v>
      </c>
    </row>
    <row r="3209" spans="1:5">
      <c r="A3209">
        <v>2016</v>
      </c>
      <c r="B3209" t="s">
        <v>2221</v>
      </c>
      <c r="C3209" t="s">
        <v>2242</v>
      </c>
      <c r="D3209" s="14">
        <v>31.47</v>
      </c>
      <c r="E3209" s="15">
        <v>137</v>
      </c>
    </row>
    <row r="3210" spans="1:5">
      <c r="A3210">
        <v>2016</v>
      </c>
      <c r="B3210" t="s">
        <v>2222</v>
      </c>
      <c r="C3210" t="s">
        <v>2242</v>
      </c>
      <c r="D3210" s="14">
        <v>10.34</v>
      </c>
      <c r="E3210" s="15">
        <v>137</v>
      </c>
    </row>
    <row r="3211" spans="1:5">
      <c r="A3211">
        <v>2016</v>
      </c>
      <c r="B3211" t="s">
        <v>2223</v>
      </c>
      <c r="C3211" t="s">
        <v>2242</v>
      </c>
      <c r="D3211" s="14">
        <v>1.36</v>
      </c>
      <c r="E3211" s="15">
        <v>137</v>
      </c>
    </row>
    <row r="3212" spans="1:5">
      <c r="A3212">
        <v>2017</v>
      </c>
      <c r="B3212" t="s">
        <v>2213</v>
      </c>
      <c r="C3212" t="s">
        <v>2242</v>
      </c>
      <c r="D3212" s="14">
        <v>6.78</v>
      </c>
      <c r="E3212" s="15">
        <v>139</v>
      </c>
    </row>
    <row r="3213" spans="1:5">
      <c r="A3213">
        <v>2017</v>
      </c>
      <c r="B3213" t="s">
        <v>2215</v>
      </c>
      <c r="C3213" t="s">
        <v>2242</v>
      </c>
      <c r="D3213" s="14">
        <v>7.71</v>
      </c>
      <c r="E3213" s="15">
        <v>139</v>
      </c>
    </row>
    <row r="3214" spans="1:5">
      <c r="A3214">
        <v>2017</v>
      </c>
      <c r="B3214" t="s">
        <v>2216</v>
      </c>
      <c r="C3214" t="s">
        <v>2242</v>
      </c>
      <c r="D3214" s="14">
        <v>5.76</v>
      </c>
      <c r="E3214" s="15">
        <v>139</v>
      </c>
    </row>
    <row r="3215" spans="1:5">
      <c r="A3215">
        <v>2017</v>
      </c>
      <c r="B3215" t="s">
        <v>2217</v>
      </c>
      <c r="C3215" t="s">
        <v>2242</v>
      </c>
      <c r="D3215" s="14">
        <v>24.48</v>
      </c>
      <c r="E3215" s="15">
        <v>139</v>
      </c>
    </row>
    <row r="3216" spans="1:5">
      <c r="A3216">
        <v>2017</v>
      </c>
      <c r="B3216" t="s">
        <v>2218</v>
      </c>
      <c r="C3216" t="s">
        <v>2242</v>
      </c>
      <c r="D3216" s="14">
        <v>31.29</v>
      </c>
      <c r="E3216" s="15">
        <v>139</v>
      </c>
    </row>
    <row r="3217" spans="1:5">
      <c r="A3217">
        <v>2017</v>
      </c>
      <c r="B3217" t="s">
        <v>2219</v>
      </c>
      <c r="C3217" t="s">
        <v>2242</v>
      </c>
      <c r="D3217" s="14">
        <v>13.49</v>
      </c>
      <c r="E3217" s="15">
        <v>139</v>
      </c>
    </row>
    <row r="3218" spans="1:5">
      <c r="A3218">
        <v>2017</v>
      </c>
      <c r="B3218" t="s">
        <v>2220</v>
      </c>
      <c r="C3218" t="s">
        <v>2242</v>
      </c>
      <c r="D3218" s="14">
        <v>10.58</v>
      </c>
      <c r="E3218" s="15">
        <v>139</v>
      </c>
    </row>
    <row r="3219" spans="1:5">
      <c r="A3219">
        <v>2017</v>
      </c>
      <c r="B3219" t="s">
        <v>2221</v>
      </c>
      <c r="C3219" t="s">
        <v>2242</v>
      </c>
      <c r="D3219" s="14">
        <v>31.51</v>
      </c>
      <c r="E3219" s="15">
        <v>139</v>
      </c>
    </row>
    <row r="3220" spans="1:5">
      <c r="A3220">
        <v>2017</v>
      </c>
      <c r="B3220" t="s">
        <v>2222</v>
      </c>
      <c r="C3220" t="s">
        <v>2242</v>
      </c>
      <c r="D3220" s="14">
        <v>9.34</v>
      </c>
      <c r="E3220" s="15">
        <v>139</v>
      </c>
    </row>
    <row r="3221" spans="1:5">
      <c r="A3221">
        <v>2017</v>
      </c>
      <c r="B3221" t="s">
        <v>2223</v>
      </c>
      <c r="C3221" t="s">
        <v>2242</v>
      </c>
      <c r="D3221" s="14">
        <v>1.4</v>
      </c>
      <c r="E3221" s="15">
        <v>139</v>
      </c>
    </row>
    <row r="3222" spans="1:5">
      <c r="A3222">
        <v>2018</v>
      </c>
      <c r="B3222" t="s">
        <v>2213</v>
      </c>
      <c r="C3222" t="s">
        <v>2242</v>
      </c>
      <c r="D3222" s="14">
        <v>7.27</v>
      </c>
      <c r="E3222" s="15">
        <v>141</v>
      </c>
    </row>
    <row r="3223" spans="1:5">
      <c r="A3223">
        <v>2018</v>
      </c>
      <c r="B3223" t="s">
        <v>2215</v>
      </c>
      <c r="C3223" t="s">
        <v>2242</v>
      </c>
      <c r="D3223" s="14">
        <v>8.3800000000000008</v>
      </c>
      <c r="E3223" s="15">
        <v>141</v>
      </c>
    </row>
    <row r="3224" spans="1:5">
      <c r="A3224">
        <v>2018</v>
      </c>
      <c r="B3224" t="s">
        <v>2216</v>
      </c>
      <c r="C3224" t="s">
        <v>2242</v>
      </c>
      <c r="D3224" s="14">
        <v>5.83</v>
      </c>
      <c r="E3224" s="15">
        <v>141</v>
      </c>
    </row>
    <row r="3225" spans="1:5">
      <c r="A3225">
        <v>2018</v>
      </c>
      <c r="B3225" t="s">
        <v>2217</v>
      </c>
      <c r="C3225" t="s">
        <v>2242</v>
      </c>
      <c r="D3225" s="14">
        <v>26.22</v>
      </c>
      <c r="E3225" s="15">
        <v>141</v>
      </c>
    </row>
    <row r="3226" spans="1:5">
      <c r="A3226">
        <v>2018</v>
      </c>
      <c r="B3226" t="s">
        <v>2218</v>
      </c>
      <c r="C3226" t="s">
        <v>2242</v>
      </c>
      <c r="D3226" s="14">
        <v>28.88</v>
      </c>
      <c r="E3226" s="15">
        <v>141</v>
      </c>
    </row>
    <row r="3227" spans="1:5">
      <c r="A3227">
        <v>2018</v>
      </c>
      <c r="B3227" t="s">
        <v>2219</v>
      </c>
      <c r="C3227" t="s">
        <v>2242</v>
      </c>
      <c r="D3227" s="14">
        <v>14.09</v>
      </c>
      <c r="E3227" s="15">
        <v>141</v>
      </c>
    </row>
    <row r="3228" spans="1:5">
      <c r="A3228">
        <v>2018</v>
      </c>
      <c r="B3228" t="s">
        <v>2220</v>
      </c>
      <c r="C3228" t="s">
        <v>2242</v>
      </c>
      <c r="D3228" s="14">
        <v>9.42</v>
      </c>
      <c r="E3228" s="15">
        <v>141</v>
      </c>
    </row>
    <row r="3229" spans="1:5">
      <c r="A3229">
        <v>2018</v>
      </c>
      <c r="B3229" t="s">
        <v>2221</v>
      </c>
      <c r="C3229" t="s">
        <v>2242</v>
      </c>
      <c r="D3229" s="14">
        <v>30.92</v>
      </c>
      <c r="E3229" s="15">
        <v>141</v>
      </c>
    </row>
    <row r="3230" spans="1:5">
      <c r="A3230">
        <v>2018</v>
      </c>
      <c r="B3230" t="s">
        <v>2222</v>
      </c>
      <c r="C3230" t="s">
        <v>2242</v>
      </c>
      <c r="D3230" s="14">
        <v>9.94</v>
      </c>
      <c r="E3230" s="15">
        <v>141</v>
      </c>
    </row>
    <row r="3231" spans="1:5">
      <c r="A3231">
        <v>2018</v>
      </c>
      <c r="B3231" t="s">
        <v>2223</v>
      </c>
      <c r="C3231" t="s">
        <v>2242</v>
      </c>
      <c r="D3231" s="14">
        <v>1.31</v>
      </c>
      <c r="E3231" s="15">
        <v>141</v>
      </c>
    </row>
    <row r="3232" spans="1:5">
      <c r="A3232">
        <v>2019</v>
      </c>
      <c r="B3232" t="s">
        <v>2213</v>
      </c>
      <c r="C3232" t="s">
        <v>2242</v>
      </c>
      <c r="D3232" s="14">
        <v>7.2</v>
      </c>
      <c r="E3232" s="15">
        <v>143</v>
      </c>
    </row>
    <row r="3233" spans="1:5">
      <c r="A3233">
        <v>2019</v>
      </c>
      <c r="B3233" t="s">
        <v>2215</v>
      </c>
      <c r="C3233" t="s">
        <v>2242</v>
      </c>
      <c r="D3233" s="14">
        <v>8.5500000000000007</v>
      </c>
      <c r="E3233" s="15">
        <v>143</v>
      </c>
    </row>
    <row r="3234" spans="1:5">
      <c r="A3234">
        <v>2019</v>
      </c>
      <c r="B3234" t="s">
        <v>2216</v>
      </c>
      <c r="C3234" t="s">
        <v>2242</v>
      </c>
      <c r="D3234" s="14">
        <v>5.43</v>
      </c>
      <c r="E3234" s="15">
        <v>143</v>
      </c>
    </row>
    <row r="3235" spans="1:5">
      <c r="A3235">
        <v>2019</v>
      </c>
      <c r="B3235" t="s">
        <v>2217</v>
      </c>
      <c r="C3235" t="s">
        <v>2242</v>
      </c>
      <c r="D3235" s="14">
        <v>25.4</v>
      </c>
      <c r="E3235" s="15">
        <v>143</v>
      </c>
    </row>
    <row r="3236" spans="1:5">
      <c r="A3236">
        <v>2019</v>
      </c>
      <c r="B3236" t="s">
        <v>2218</v>
      </c>
      <c r="C3236" t="s">
        <v>2242</v>
      </c>
      <c r="D3236" s="14">
        <v>28.25</v>
      </c>
      <c r="E3236" s="15">
        <v>143</v>
      </c>
    </row>
    <row r="3237" spans="1:5">
      <c r="A3237">
        <v>2019</v>
      </c>
      <c r="B3237" t="s">
        <v>2219</v>
      </c>
      <c r="C3237" t="s">
        <v>2242</v>
      </c>
      <c r="D3237" s="14">
        <v>15.45</v>
      </c>
      <c r="E3237" s="15">
        <v>143</v>
      </c>
    </row>
    <row r="3238" spans="1:5">
      <c r="A3238">
        <v>2019</v>
      </c>
      <c r="B3238" t="s">
        <v>2220</v>
      </c>
      <c r="C3238" t="s">
        <v>2242</v>
      </c>
      <c r="D3238" s="14">
        <v>10.1</v>
      </c>
      <c r="E3238" s="15">
        <v>143</v>
      </c>
    </row>
    <row r="3239" spans="1:5">
      <c r="A3239">
        <v>2019</v>
      </c>
      <c r="B3239" t="s">
        <v>2221</v>
      </c>
      <c r="C3239" t="s">
        <v>2242</v>
      </c>
      <c r="D3239" s="14">
        <v>32.79</v>
      </c>
      <c r="E3239" s="15">
        <v>143</v>
      </c>
    </row>
    <row r="3240" spans="1:5">
      <c r="A3240">
        <v>2019</v>
      </c>
      <c r="B3240" t="s">
        <v>2222</v>
      </c>
      <c r="C3240" t="s">
        <v>2242</v>
      </c>
      <c r="D3240" s="14">
        <v>9.9600000000000009</v>
      </c>
      <c r="E3240" s="15">
        <v>143</v>
      </c>
    </row>
    <row r="3241" spans="1:5">
      <c r="A3241">
        <v>2019</v>
      </c>
      <c r="B3241" t="s">
        <v>2223</v>
      </c>
      <c r="C3241" t="s">
        <v>2242</v>
      </c>
      <c r="D3241" s="14">
        <v>1.33</v>
      </c>
      <c r="E3241" s="15">
        <v>143</v>
      </c>
    </row>
    <row r="3242" spans="1:5">
      <c r="A3242">
        <v>2020</v>
      </c>
      <c r="B3242" t="s">
        <v>2213</v>
      </c>
      <c r="C3242" t="s">
        <v>2242</v>
      </c>
      <c r="D3242" s="14">
        <v>7.6</v>
      </c>
      <c r="E3242" s="15">
        <v>148</v>
      </c>
    </row>
    <row r="3243" spans="1:5">
      <c r="A3243">
        <v>2020</v>
      </c>
      <c r="B3243" t="s">
        <v>2215</v>
      </c>
      <c r="C3243" t="s">
        <v>2242</v>
      </c>
      <c r="D3243" s="14">
        <v>8.65</v>
      </c>
      <c r="E3243" s="15">
        <v>148</v>
      </c>
    </row>
    <row r="3244" spans="1:5">
      <c r="A3244">
        <v>2020</v>
      </c>
      <c r="B3244" t="s">
        <v>2216</v>
      </c>
      <c r="C3244" t="s">
        <v>2242</v>
      </c>
      <c r="D3244" s="14">
        <v>5.84</v>
      </c>
      <c r="E3244" s="15">
        <v>148</v>
      </c>
    </row>
    <row r="3245" spans="1:5">
      <c r="A3245">
        <v>2020</v>
      </c>
      <c r="B3245" t="s">
        <v>2217</v>
      </c>
      <c r="C3245" t="s">
        <v>2242</v>
      </c>
      <c r="D3245" s="14">
        <v>25.54</v>
      </c>
      <c r="E3245" s="15">
        <v>148</v>
      </c>
    </row>
    <row r="3246" spans="1:5">
      <c r="A3246">
        <v>2020</v>
      </c>
      <c r="B3246" t="s">
        <v>2218</v>
      </c>
      <c r="C3246" t="s">
        <v>2242</v>
      </c>
      <c r="D3246" s="14">
        <v>29.69</v>
      </c>
      <c r="E3246" s="15">
        <v>148</v>
      </c>
    </row>
    <row r="3247" spans="1:5">
      <c r="A3247">
        <v>2020</v>
      </c>
      <c r="B3247" t="s">
        <v>2219</v>
      </c>
      <c r="C3247" t="s">
        <v>2242</v>
      </c>
      <c r="D3247" s="14">
        <v>15.44</v>
      </c>
      <c r="E3247" s="15">
        <v>148</v>
      </c>
    </row>
    <row r="3248" spans="1:5">
      <c r="A3248">
        <v>2020</v>
      </c>
      <c r="B3248" t="s">
        <v>2220</v>
      </c>
      <c r="C3248" t="s">
        <v>2242</v>
      </c>
      <c r="D3248" s="14">
        <v>10.75</v>
      </c>
      <c r="E3248" s="15">
        <v>148</v>
      </c>
    </row>
    <row r="3249" spans="1:5">
      <c r="A3249">
        <v>2020</v>
      </c>
      <c r="B3249" t="s">
        <v>2221</v>
      </c>
      <c r="C3249" t="s">
        <v>2242</v>
      </c>
      <c r="D3249" s="14">
        <v>34.69</v>
      </c>
      <c r="E3249" s="15">
        <v>148</v>
      </c>
    </row>
    <row r="3250" spans="1:5">
      <c r="A3250">
        <v>2020</v>
      </c>
      <c r="B3250" t="s">
        <v>2222</v>
      </c>
      <c r="C3250" t="s">
        <v>2242</v>
      </c>
      <c r="D3250" s="14">
        <v>11.1</v>
      </c>
      <c r="E3250" s="15">
        <v>148</v>
      </c>
    </row>
    <row r="3251" spans="1:5">
      <c r="A3251">
        <v>2020</v>
      </c>
      <c r="B3251" t="s">
        <v>2223</v>
      </c>
      <c r="C3251" t="s">
        <v>2242</v>
      </c>
      <c r="D3251" s="14">
        <v>1.36</v>
      </c>
      <c r="E3251" s="15">
        <v>148</v>
      </c>
    </row>
    <row r="3252" spans="1:5">
      <c r="A3252">
        <v>2021</v>
      </c>
      <c r="B3252" t="s">
        <v>2213</v>
      </c>
      <c r="C3252" t="s">
        <v>2242</v>
      </c>
      <c r="D3252" s="14">
        <v>7.29</v>
      </c>
      <c r="E3252" s="15">
        <v>153</v>
      </c>
    </row>
    <row r="3253" spans="1:5">
      <c r="A3253">
        <v>2021</v>
      </c>
      <c r="B3253" t="s">
        <v>2215</v>
      </c>
      <c r="C3253" t="s">
        <v>2242</v>
      </c>
      <c r="D3253" s="14">
        <v>8.5399999999999991</v>
      </c>
      <c r="E3253" s="15">
        <v>153</v>
      </c>
    </row>
    <row r="3254" spans="1:5">
      <c r="A3254">
        <v>2021</v>
      </c>
      <c r="B3254" t="s">
        <v>2216</v>
      </c>
      <c r="C3254" t="s">
        <v>2242</v>
      </c>
      <c r="D3254" s="14">
        <v>6.28</v>
      </c>
      <c r="E3254" s="15">
        <v>153</v>
      </c>
    </row>
    <row r="3255" spans="1:5">
      <c r="A3255">
        <v>2021</v>
      </c>
      <c r="B3255" t="s">
        <v>2217</v>
      </c>
      <c r="C3255" t="s">
        <v>2242</v>
      </c>
      <c r="D3255" s="14">
        <v>26.79</v>
      </c>
      <c r="E3255" s="15">
        <v>153</v>
      </c>
    </row>
    <row r="3256" spans="1:5">
      <c r="A3256">
        <v>2021</v>
      </c>
      <c r="B3256" t="s">
        <v>2218</v>
      </c>
      <c r="C3256" t="s">
        <v>2242</v>
      </c>
      <c r="D3256" s="14">
        <v>30.01</v>
      </c>
      <c r="E3256" s="15">
        <v>153</v>
      </c>
    </row>
    <row r="3257" spans="1:5">
      <c r="A3257">
        <v>2021</v>
      </c>
      <c r="B3257" t="s">
        <v>2219</v>
      </c>
      <c r="C3257" t="s">
        <v>2242</v>
      </c>
      <c r="D3257" s="14">
        <v>15.17</v>
      </c>
      <c r="E3257" s="15">
        <v>153</v>
      </c>
    </row>
    <row r="3258" spans="1:5">
      <c r="A3258">
        <v>2021</v>
      </c>
      <c r="B3258" t="s">
        <v>2220</v>
      </c>
      <c r="C3258" t="s">
        <v>2242</v>
      </c>
      <c r="D3258" s="14">
        <v>10.88</v>
      </c>
      <c r="E3258" s="15">
        <v>153</v>
      </c>
    </row>
    <row r="3259" spans="1:5">
      <c r="A3259">
        <v>2021</v>
      </c>
      <c r="B3259" t="s">
        <v>2221</v>
      </c>
      <c r="C3259" t="s">
        <v>2242</v>
      </c>
      <c r="D3259" s="14">
        <v>31.72</v>
      </c>
      <c r="E3259" s="15">
        <v>153</v>
      </c>
    </row>
    <row r="3260" spans="1:5">
      <c r="A3260">
        <v>2021</v>
      </c>
      <c r="B3260" t="s">
        <v>2222</v>
      </c>
      <c r="C3260" t="s">
        <v>2242</v>
      </c>
      <c r="D3260" s="14">
        <v>10.18</v>
      </c>
      <c r="E3260" s="15">
        <v>153</v>
      </c>
    </row>
    <row r="3261" spans="1:5">
      <c r="A3261">
        <v>2021</v>
      </c>
      <c r="B3261" t="s">
        <v>2223</v>
      </c>
      <c r="C3261" t="s">
        <v>2242</v>
      </c>
      <c r="D3261" s="14">
        <v>1.53</v>
      </c>
      <c r="E3261" s="15">
        <v>153</v>
      </c>
    </row>
    <row r="3262" spans="1:5">
      <c r="A3262">
        <v>2022</v>
      </c>
      <c r="B3262" t="s">
        <v>2213</v>
      </c>
      <c r="C3262" t="s">
        <v>2242</v>
      </c>
      <c r="D3262" s="14">
        <v>8.11</v>
      </c>
      <c r="E3262" s="15">
        <v>154.69999999999999</v>
      </c>
    </row>
    <row r="3263" spans="1:5">
      <c r="A3263">
        <v>2022</v>
      </c>
      <c r="B3263" t="s">
        <v>2215</v>
      </c>
      <c r="C3263" t="s">
        <v>2242</v>
      </c>
      <c r="D3263" s="14">
        <v>9.27</v>
      </c>
      <c r="E3263" s="15">
        <v>154.69999999999999</v>
      </c>
    </row>
    <row r="3264" spans="1:5">
      <c r="A3264">
        <v>2022</v>
      </c>
      <c r="B3264" t="s">
        <v>2216</v>
      </c>
      <c r="C3264" t="s">
        <v>2242</v>
      </c>
      <c r="D3264" s="14">
        <v>5.99</v>
      </c>
      <c r="E3264" s="15">
        <v>154.69999999999999</v>
      </c>
    </row>
    <row r="3265" spans="1:5">
      <c r="A3265">
        <v>2022</v>
      </c>
      <c r="B3265" t="s">
        <v>2217</v>
      </c>
      <c r="C3265" t="s">
        <v>2242</v>
      </c>
      <c r="D3265" s="14">
        <v>25.55</v>
      </c>
      <c r="E3265" s="15">
        <v>154.69999999999999</v>
      </c>
    </row>
    <row r="3266" spans="1:5">
      <c r="A3266">
        <v>2022</v>
      </c>
      <c r="B3266" t="s">
        <v>2218</v>
      </c>
      <c r="C3266" t="s">
        <v>2242</v>
      </c>
      <c r="D3266" s="14">
        <v>32.130000000000003</v>
      </c>
      <c r="E3266" s="15">
        <v>154.69999999999999</v>
      </c>
    </row>
    <row r="3267" spans="1:5">
      <c r="A3267">
        <v>2022</v>
      </c>
      <c r="B3267" t="s">
        <v>2219</v>
      </c>
      <c r="C3267" t="s">
        <v>2242</v>
      </c>
      <c r="D3267" s="14">
        <v>15.02</v>
      </c>
      <c r="E3267" s="15">
        <v>154.69999999999999</v>
      </c>
    </row>
    <row r="3268" spans="1:5">
      <c r="A3268">
        <v>2022</v>
      </c>
      <c r="B3268" t="s">
        <v>2220</v>
      </c>
      <c r="C3268" t="s">
        <v>2242</v>
      </c>
      <c r="D3268" s="14">
        <v>10.34</v>
      </c>
      <c r="E3268" s="15">
        <v>154.69999999999999</v>
      </c>
    </row>
    <row r="3269" spans="1:5">
      <c r="A3269">
        <v>2022</v>
      </c>
      <c r="B3269" t="s">
        <v>2221</v>
      </c>
      <c r="C3269" t="s">
        <v>2242</v>
      </c>
      <c r="D3269" s="14">
        <v>31.77</v>
      </c>
      <c r="E3269" s="15">
        <v>154.69999999999999</v>
      </c>
    </row>
    <row r="3270" spans="1:5">
      <c r="A3270">
        <v>2022</v>
      </c>
      <c r="B3270" t="s">
        <v>2222</v>
      </c>
      <c r="C3270" t="s">
        <v>2242</v>
      </c>
      <c r="D3270" s="14">
        <v>10.220000000000001</v>
      </c>
      <c r="E3270" s="15">
        <v>154.69999999999999</v>
      </c>
    </row>
    <row r="3271" spans="1:5">
      <c r="A3271">
        <v>2022</v>
      </c>
      <c r="B3271" t="s">
        <v>2223</v>
      </c>
      <c r="C3271" t="s">
        <v>2242</v>
      </c>
      <c r="D3271" s="14">
        <v>1.49</v>
      </c>
      <c r="E3271" s="15">
        <v>154.69999999999999</v>
      </c>
    </row>
    <row r="3272" spans="1:5">
      <c r="A3272">
        <v>2023</v>
      </c>
      <c r="B3272" t="s">
        <v>2213</v>
      </c>
      <c r="C3272" t="s">
        <v>2242</v>
      </c>
      <c r="D3272" s="14">
        <v>7.74</v>
      </c>
      <c r="E3272" s="15">
        <v>156.30000000000001</v>
      </c>
    </row>
    <row r="3273" spans="1:5">
      <c r="A3273">
        <v>2023</v>
      </c>
      <c r="B3273" t="s">
        <v>2215</v>
      </c>
      <c r="C3273" t="s">
        <v>2242</v>
      </c>
      <c r="D3273" s="14">
        <v>8.94</v>
      </c>
      <c r="E3273" s="15">
        <v>156.30000000000001</v>
      </c>
    </row>
    <row r="3274" spans="1:5">
      <c r="A3274">
        <v>2023</v>
      </c>
      <c r="B3274" t="s">
        <v>2216</v>
      </c>
      <c r="C3274" t="s">
        <v>2242</v>
      </c>
      <c r="D3274" s="14">
        <v>6.3</v>
      </c>
      <c r="E3274" s="15">
        <v>156.30000000000001</v>
      </c>
    </row>
    <row r="3275" spans="1:5">
      <c r="A3275">
        <v>2023</v>
      </c>
      <c r="B3275" t="s">
        <v>2217</v>
      </c>
      <c r="C3275" t="s">
        <v>2242</v>
      </c>
      <c r="D3275" s="14">
        <v>27.86</v>
      </c>
      <c r="E3275" s="15">
        <v>156.30000000000001</v>
      </c>
    </row>
    <row r="3276" spans="1:5">
      <c r="A3276">
        <v>2023</v>
      </c>
      <c r="B3276" t="s">
        <v>2218</v>
      </c>
      <c r="C3276" t="s">
        <v>2242</v>
      </c>
      <c r="D3276" s="14">
        <v>34.17</v>
      </c>
      <c r="E3276" s="15">
        <v>156.30000000000001</v>
      </c>
    </row>
    <row r="3277" spans="1:5">
      <c r="A3277">
        <v>2023</v>
      </c>
      <c r="B3277" t="s">
        <v>2219</v>
      </c>
      <c r="C3277" t="s">
        <v>2242</v>
      </c>
      <c r="D3277" s="14">
        <v>14.6</v>
      </c>
      <c r="E3277" s="15">
        <v>156.30000000000001</v>
      </c>
    </row>
    <row r="3278" spans="1:5">
      <c r="A3278">
        <v>2023</v>
      </c>
      <c r="B3278" t="s">
        <v>2220</v>
      </c>
      <c r="C3278" t="s">
        <v>2242</v>
      </c>
      <c r="D3278" s="14">
        <v>11.01</v>
      </c>
      <c r="E3278" s="15">
        <v>156.30000000000001</v>
      </c>
    </row>
    <row r="3279" spans="1:5">
      <c r="A3279">
        <v>2023</v>
      </c>
      <c r="B3279" t="s">
        <v>2221</v>
      </c>
      <c r="C3279" t="s">
        <v>2242</v>
      </c>
      <c r="D3279" s="14">
        <v>34.630000000000003</v>
      </c>
      <c r="E3279" s="15">
        <v>156.30000000000001</v>
      </c>
    </row>
    <row r="3280" spans="1:5">
      <c r="A3280">
        <v>2023</v>
      </c>
      <c r="B3280" t="s">
        <v>2222</v>
      </c>
      <c r="C3280" t="s">
        <v>2242</v>
      </c>
      <c r="D3280" s="14">
        <v>10.5</v>
      </c>
      <c r="E3280" s="15">
        <v>156.30000000000001</v>
      </c>
    </row>
    <row r="3281" spans="1:5">
      <c r="A3281">
        <v>2023</v>
      </c>
      <c r="B3281" t="s">
        <v>2223</v>
      </c>
      <c r="C3281" t="s">
        <v>2242</v>
      </c>
      <c r="D3281" s="14">
        <v>1.57</v>
      </c>
      <c r="E3281" s="15">
        <v>156.30000000000001</v>
      </c>
    </row>
    <row r="3282" spans="1:5">
      <c r="A3282">
        <v>2024</v>
      </c>
      <c r="B3282" t="s">
        <v>2213</v>
      </c>
      <c r="C3282" t="s">
        <v>2242</v>
      </c>
      <c r="D3282" s="14">
        <v>8.15</v>
      </c>
      <c r="E3282" s="15">
        <v>158</v>
      </c>
    </row>
    <row r="3283" spans="1:5">
      <c r="A3283">
        <v>2024</v>
      </c>
      <c r="B3283" t="s">
        <v>2215</v>
      </c>
      <c r="C3283" t="s">
        <v>2242</v>
      </c>
      <c r="D3283" s="14">
        <v>9.52</v>
      </c>
      <c r="E3283" s="15">
        <v>158</v>
      </c>
    </row>
    <row r="3284" spans="1:5">
      <c r="A3284">
        <v>2024</v>
      </c>
      <c r="B3284" t="s">
        <v>2216</v>
      </c>
      <c r="C3284" t="s">
        <v>2242</v>
      </c>
      <c r="D3284" s="14">
        <v>6.68</v>
      </c>
      <c r="E3284" s="15">
        <v>158</v>
      </c>
    </row>
    <row r="3285" spans="1:5">
      <c r="A3285">
        <v>2024</v>
      </c>
      <c r="B3285" t="s">
        <v>2217</v>
      </c>
      <c r="C3285" t="s">
        <v>2242</v>
      </c>
      <c r="D3285" s="14">
        <v>26.07</v>
      </c>
      <c r="E3285" s="15">
        <v>158</v>
      </c>
    </row>
    <row r="3286" spans="1:5">
      <c r="A3286">
        <v>2024</v>
      </c>
      <c r="B3286" t="s">
        <v>2218</v>
      </c>
      <c r="C3286" t="s">
        <v>2242</v>
      </c>
      <c r="D3286" s="14">
        <v>30.55</v>
      </c>
      <c r="E3286" s="15">
        <v>158</v>
      </c>
    </row>
    <row r="3287" spans="1:5">
      <c r="A3287">
        <v>2024</v>
      </c>
      <c r="B3287" t="s">
        <v>2219</v>
      </c>
      <c r="C3287" t="s">
        <v>2242</v>
      </c>
      <c r="D3287" s="14">
        <v>16.760000000000002</v>
      </c>
      <c r="E3287" s="15">
        <v>158</v>
      </c>
    </row>
    <row r="3288" spans="1:5">
      <c r="A3288">
        <v>2024</v>
      </c>
      <c r="B3288" t="s">
        <v>2220</v>
      </c>
      <c r="C3288" t="s">
        <v>2242</v>
      </c>
      <c r="D3288" s="14">
        <v>11.47</v>
      </c>
      <c r="E3288" s="15">
        <v>158</v>
      </c>
    </row>
    <row r="3289" spans="1:5">
      <c r="A3289">
        <v>2024</v>
      </c>
      <c r="B3289" t="s">
        <v>2221</v>
      </c>
      <c r="C3289" t="s">
        <v>2242</v>
      </c>
      <c r="D3289" s="14">
        <v>35.520000000000003</v>
      </c>
      <c r="E3289" s="15">
        <v>158</v>
      </c>
    </row>
    <row r="3290" spans="1:5">
      <c r="A3290">
        <v>2024</v>
      </c>
      <c r="B3290" t="s">
        <v>2222</v>
      </c>
      <c r="C3290" t="s">
        <v>2242</v>
      </c>
      <c r="D3290" s="14">
        <v>11.62</v>
      </c>
      <c r="E3290" s="15">
        <v>158</v>
      </c>
    </row>
    <row r="3291" spans="1:5">
      <c r="A3291">
        <v>2024</v>
      </c>
      <c r="B3291" t="s">
        <v>2223</v>
      </c>
      <c r="C3291" t="s">
        <v>2242</v>
      </c>
      <c r="D3291" s="14">
        <v>1.46</v>
      </c>
      <c r="E3291" s="15">
        <v>158</v>
      </c>
    </row>
    <row r="3292" spans="1:5">
      <c r="A3292">
        <v>2025</v>
      </c>
      <c r="B3292" t="s">
        <v>2213</v>
      </c>
      <c r="C3292" t="s">
        <v>2242</v>
      </c>
      <c r="D3292" s="14">
        <v>8.26</v>
      </c>
      <c r="E3292" s="15">
        <v>160</v>
      </c>
    </row>
    <row r="3293" spans="1:5">
      <c r="A3293">
        <v>2025</v>
      </c>
      <c r="B3293" t="s">
        <v>2215</v>
      </c>
      <c r="C3293" t="s">
        <v>2242</v>
      </c>
      <c r="D3293" s="14">
        <v>10.02</v>
      </c>
      <c r="E3293" s="15">
        <v>160</v>
      </c>
    </row>
    <row r="3294" spans="1:5">
      <c r="A3294">
        <v>2025</v>
      </c>
      <c r="B3294" t="s">
        <v>2216</v>
      </c>
      <c r="C3294" t="s">
        <v>2242</v>
      </c>
      <c r="D3294" s="14">
        <v>6.23</v>
      </c>
      <c r="E3294" s="15">
        <v>160</v>
      </c>
    </row>
    <row r="3295" spans="1:5">
      <c r="A3295">
        <v>2025</v>
      </c>
      <c r="B3295" t="s">
        <v>2217</v>
      </c>
      <c r="C3295" t="s">
        <v>2242</v>
      </c>
      <c r="D3295" s="14">
        <v>31.99</v>
      </c>
      <c r="E3295" s="15">
        <v>160</v>
      </c>
    </row>
    <row r="3296" spans="1:5">
      <c r="A3296">
        <v>2025</v>
      </c>
      <c r="B3296" t="s">
        <v>2218</v>
      </c>
      <c r="C3296" t="s">
        <v>2242</v>
      </c>
      <c r="D3296" s="14">
        <v>32.25</v>
      </c>
      <c r="E3296" s="15">
        <v>160</v>
      </c>
    </row>
    <row r="3297" spans="1:5">
      <c r="A3297">
        <v>2025</v>
      </c>
      <c r="B3297" t="s">
        <v>2219</v>
      </c>
      <c r="C3297" t="s">
        <v>2242</v>
      </c>
      <c r="D3297" s="14">
        <v>14.66</v>
      </c>
      <c r="E3297" s="15">
        <v>160</v>
      </c>
    </row>
    <row r="3298" spans="1:5">
      <c r="A3298">
        <v>2025</v>
      </c>
      <c r="B3298" t="s">
        <v>2220</v>
      </c>
      <c r="C3298" t="s">
        <v>2242</v>
      </c>
      <c r="D3298" s="14">
        <v>11.37</v>
      </c>
      <c r="E3298" s="15">
        <v>160</v>
      </c>
    </row>
    <row r="3299" spans="1:5">
      <c r="A3299">
        <v>2025</v>
      </c>
      <c r="B3299" t="s">
        <v>2221</v>
      </c>
      <c r="C3299" t="s">
        <v>2242</v>
      </c>
      <c r="D3299" s="14">
        <v>34.200000000000003</v>
      </c>
      <c r="E3299" s="15">
        <v>160</v>
      </c>
    </row>
    <row r="3300" spans="1:5">
      <c r="A3300">
        <v>2025</v>
      </c>
      <c r="B3300" t="s">
        <v>2222</v>
      </c>
      <c r="C3300" t="s">
        <v>2242</v>
      </c>
      <c r="D3300" s="14">
        <v>11.73</v>
      </c>
      <c r="E3300" s="15">
        <v>160</v>
      </c>
    </row>
    <row r="3301" spans="1:5">
      <c r="A3301">
        <v>2025</v>
      </c>
      <c r="B3301" t="s">
        <v>2223</v>
      </c>
      <c r="C3301" t="s">
        <v>2242</v>
      </c>
      <c r="D3301" s="14">
        <v>1.64</v>
      </c>
      <c r="E3301" s="15">
        <v>160</v>
      </c>
    </row>
    <row r="3302" spans="1:5">
      <c r="A3302">
        <v>2026</v>
      </c>
      <c r="B3302" t="s">
        <v>2213</v>
      </c>
      <c r="C3302" t="s">
        <v>2242</v>
      </c>
      <c r="D3302" s="14">
        <v>7.91</v>
      </c>
      <c r="E3302" s="15">
        <v>162</v>
      </c>
    </row>
    <row r="3303" spans="1:5">
      <c r="A3303">
        <v>2026</v>
      </c>
      <c r="B3303" t="s">
        <v>2215</v>
      </c>
      <c r="C3303" t="s">
        <v>2242</v>
      </c>
      <c r="D3303" s="14">
        <v>10.32</v>
      </c>
      <c r="E3303" s="15">
        <v>162</v>
      </c>
    </row>
    <row r="3304" spans="1:5">
      <c r="A3304">
        <v>2026</v>
      </c>
      <c r="B3304" t="s">
        <v>2216</v>
      </c>
      <c r="C3304" t="s">
        <v>2242</v>
      </c>
      <c r="D3304" s="14">
        <v>6.73</v>
      </c>
      <c r="E3304" s="15">
        <v>162</v>
      </c>
    </row>
    <row r="3305" spans="1:5">
      <c r="A3305">
        <v>2026</v>
      </c>
      <c r="B3305" t="s">
        <v>2217</v>
      </c>
      <c r="C3305" t="s">
        <v>2242</v>
      </c>
      <c r="D3305" s="14">
        <v>28.21</v>
      </c>
      <c r="E3305" s="15">
        <v>162</v>
      </c>
    </row>
    <row r="3306" spans="1:5">
      <c r="A3306">
        <v>2026</v>
      </c>
      <c r="B3306" t="s">
        <v>2218</v>
      </c>
      <c r="C3306" t="s">
        <v>2242</v>
      </c>
      <c r="D3306" s="14">
        <v>32.200000000000003</v>
      </c>
      <c r="E3306" s="15">
        <v>162</v>
      </c>
    </row>
    <row r="3307" spans="1:5">
      <c r="A3307">
        <v>2026</v>
      </c>
      <c r="B3307" t="s">
        <v>2219</v>
      </c>
      <c r="C3307" t="s">
        <v>2242</v>
      </c>
      <c r="D3307" s="14">
        <v>16.54</v>
      </c>
      <c r="E3307" s="15">
        <v>162</v>
      </c>
    </row>
    <row r="3308" spans="1:5">
      <c r="A3308">
        <v>2026</v>
      </c>
      <c r="B3308" t="s">
        <v>2220</v>
      </c>
      <c r="C3308" t="s">
        <v>2242</v>
      </c>
      <c r="D3308" s="14">
        <v>11.18</v>
      </c>
      <c r="E3308" s="15">
        <v>162</v>
      </c>
    </row>
    <row r="3309" spans="1:5">
      <c r="A3309">
        <v>2026</v>
      </c>
      <c r="B3309" t="s">
        <v>2221</v>
      </c>
      <c r="C3309" t="s">
        <v>2242</v>
      </c>
      <c r="D3309" s="14">
        <v>35.17</v>
      </c>
      <c r="E3309" s="15">
        <v>162</v>
      </c>
    </row>
    <row r="3310" spans="1:5">
      <c r="A3310">
        <v>2026</v>
      </c>
      <c r="B3310" t="s">
        <v>2222</v>
      </c>
      <c r="C3310" t="s">
        <v>2242</v>
      </c>
      <c r="D3310" s="14">
        <v>11.36</v>
      </c>
      <c r="E3310" s="15">
        <v>162</v>
      </c>
    </row>
    <row r="3311" spans="1:5">
      <c r="A3311">
        <v>2026</v>
      </c>
      <c r="B3311" t="s">
        <v>2223</v>
      </c>
      <c r="C3311" t="s">
        <v>2242</v>
      </c>
      <c r="D3311" s="14">
        <v>1.55</v>
      </c>
      <c r="E3311" s="15">
        <v>162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A47F-B650-4EC5-A7C3-F0DA9A3FBD1F}">
  <dimension ref="A1:K723"/>
  <sheetViews>
    <sheetView workbookViewId="0">
      <selection sqref="A1:K1"/>
    </sheetView>
  </sheetViews>
  <sheetFormatPr defaultRowHeight="14.4"/>
  <cols>
    <col min="1" max="1" width="13.21875" bestFit="1" customWidth="1"/>
    <col min="2" max="2" width="15.5546875" bestFit="1" customWidth="1"/>
    <col min="3" max="3" width="6.88671875" bestFit="1" customWidth="1"/>
    <col min="4" max="4" width="27.109375" bestFit="1" customWidth="1"/>
    <col min="5" max="5" width="18.44140625" bestFit="1" customWidth="1"/>
    <col min="6" max="6" width="14.21875" bestFit="1" customWidth="1"/>
    <col min="7" max="7" width="17" bestFit="1" customWidth="1"/>
    <col min="8" max="8" width="25.44140625" bestFit="1" customWidth="1"/>
    <col min="9" max="9" width="41.33203125" bestFit="1" customWidth="1"/>
    <col min="10" max="10" width="15.6640625" bestFit="1" customWidth="1"/>
    <col min="11" max="11" width="17.21875" bestFit="1" customWidth="1"/>
    <col min="12" max="12" width="15.6640625" bestFit="1" customWidth="1"/>
  </cols>
  <sheetData>
    <row r="1" spans="1:11">
      <c r="A1" t="s">
        <v>2243</v>
      </c>
      <c r="B1" t="s">
        <v>2244</v>
      </c>
      <c r="C1" t="s">
        <v>2</v>
      </c>
      <c r="D1" t="s">
        <v>2245</v>
      </c>
      <c r="E1" s="13" t="s">
        <v>2246</v>
      </c>
      <c r="F1" s="13" t="s">
        <v>4603</v>
      </c>
      <c r="G1" s="13" t="s">
        <v>4577</v>
      </c>
      <c r="H1" s="13" t="s">
        <v>2247</v>
      </c>
      <c r="I1" s="13" t="s">
        <v>6</v>
      </c>
      <c r="J1" s="13" t="s">
        <v>4741</v>
      </c>
      <c r="K1" t="s">
        <v>4767</v>
      </c>
    </row>
    <row r="2" spans="1:11">
      <c r="A2" s="7" t="s">
        <v>2248</v>
      </c>
      <c r="B2" s="11">
        <v>40205</v>
      </c>
      <c r="C2" s="7">
        <v>2010</v>
      </c>
      <c r="D2" s="7" t="s">
        <v>2249</v>
      </c>
      <c r="E2" s="7" t="s">
        <v>2250</v>
      </c>
      <c r="F2" s="7" t="s">
        <v>4598</v>
      </c>
      <c r="G2" s="7" t="s">
        <v>4578</v>
      </c>
      <c r="H2" s="12">
        <v>2.09</v>
      </c>
      <c r="I2" s="7" t="s">
        <v>2251</v>
      </c>
      <c r="J2" s="7" t="str" cm="1">
        <f t="array" ref="J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" s="7" t="s">
        <v>4768</v>
      </c>
    </row>
    <row r="3" spans="1:11">
      <c r="A3" s="7" t="s">
        <v>2252</v>
      </c>
      <c r="B3" s="11">
        <v>40222</v>
      </c>
      <c r="C3" s="7">
        <v>2010</v>
      </c>
      <c r="D3" s="7" t="s">
        <v>2253</v>
      </c>
      <c r="E3" s="7" t="s">
        <v>2254</v>
      </c>
      <c r="F3" s="7" t="s">
        <v>4598</v>
      </c>
      <c r="G3" s="7" t="s">
        <v>4578</v>
      </c>
      <c r="H3" s="12">
        <v>0.28000000000000003</v>
      </c>
      <c r="I3" s="7" t="s">
        <v>2251</v>
      </c>
      <c r="J3" s="7" t="str" cm="1">
        <f t="array" ref="J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" s="7" t="s">
        <v>4768</v>
      </c>
    </row>
    <row r="4" spans="1:11">
      <c r="A4" s="7" t="s">
        <v>2255</v>
      </c>
      <c r="B4" s="11">
        <v>40246</v>
      </c>
      <c r="C4" s="7">
        <v>2010</v>
      </c>
      <c r="D4" s="7" t="s">
        <v>2256</v>
      </c>
      <c r="E4" s="7" t="s">
        <v>2257</v>
      </c>
      <c r="F4" s="7" t="s">
        <v>4598</v>
      </c>
      <c r="G4" s="7" t="s">
        <v>4584</v>
      </c>
      <c r="H4" s="12">
        <v>0.42</v>
      </c>
      <c r="I4" s="7" t="s">
        <v>2258</v>
      </c>
      <c r="J4" s="7" t="str" cm="1">
        <f t="array" ref="J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" s="7" t="s">
        <v>4768</v>
      </c>
    </row>
    <row r="5" spans="1:11">
      <c r="A5" s="7" t="s">
        <v>2259</v>
      </c>
      <c r="B5" s="11">
        <v>40249</v>
      </c>
      <c r="C5" s="7">
        <v>2010</v>
      </c>
      <c r="D5" s="7" t="s">
        <v>2260</v>
      </c>
      <c r="E5" s="7" t="s">
        <v>38</v>
      </c>
      <c r="F5" s="7" t="s">
        <v>4599</v>
      </c>
      <c r="G5" s="7" t="s">
        <v>4580</v>
      </c>
      <c r="H5" s="12">
        <v>0.02</v>
      </c>
      <c r="I5" s="7" t="s">
        <v>2261</v>
      </c>
      <c r="J5" s="7" t="str" cm="1">
        <f t="array" ref="J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" s="7" t="s">
        <v>4768</v>
      </c>
    </row>
    <row r="6" spans="1:11">
      <c r="A6" s="7" t="s">
        <v>2262</v>
      </c>
      <c r="B6" s="11">
        <v>40272</v>
      </c>
      <c r="C6" s="7">
        <v>2010</v>
      </c>
      <c r="D6" s="7" t="s">
        <v>2263</v>
      </c>
      <c r="E6" s="7" t="s">
        <v>2264</v>
      </c>
      <c r="F6" s="7" t="s">
        <v>4599</v>
      </c>
      <c r="G6" s="7" t="s">
        <v>4580</v>
      </c>
      <c r="H6" s="12">
        <v>0.44</v>
      </c>
      <c r="I6" s="7" t="s">
        <v>2261</v>
      </c>
      <c r="J6" s="7" t="str" cm="1">
        <f t="array" ref="J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" s="7" t="s">
        <v>4768</v>
      </c>
    </row>
    <row r="7" spans="1:11">
      <c r="A7" s="7" t="s">
        <v>2265</v>
      </c>
      <c r="B7" s="11">
        <v>40274</v>
      </c>
      <c r="C7" s="7">
        <v>2010</v>
      </c>
      <c r="D7" s="7" t="s">
        <v>2266</v>
      </c>
      <c r="E7" s="7" t="s">
        <v>2267</v>
      </c>
      <c r="F7" s="7" t="s">
        <v>4598</v>
      </c>
      <c r="G7" s="7" t="s">
        <v>4580</v>
      </c>
      <c r="H7" s="12">
        <v>2.96</v>
      </c>
      <c r="I7" s="7" t="s">
        <v>2268</v>
      </c>
      <c r="J7" s="7" t="str" cm="1">
        <f t="array" ref="J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7" s="7" t="s">
        <v>4768</v>
      </c>
    </row>
    <row r="8" spans="1:11">
      <c r="A8" s="7" t="s">
        <v>2269</v>
      </c>
      <c r="B8" s="11">
        <v>40297</v>
      </c>
      <c r="C8" s="7">
        <v>2010</v>
      </c>
      <c r="D8" s="7" t="s">
        <v>2270</v>
      </c>
      <c r="E8" s="7" t="s">
        <v>2271</v>
      </c>
      <c r="F8" s="7" t="s">
        <v>4599</v>
      </c>
      <c r="G8" s="7" t="s">
        <v>4580</v>
      </c>
      <c r="H8" s="12">
        <v>0.4</v>
      </c>
      <c r="I8" s="7" t="s">
        <v>2272</v>
      </c>
      <c r="J8" s="7" t="str" cm="1">
        <f t="array" ref="J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" s="7" t="s">
        <v>4743</v>
      </c>
    </row>
    <row r="9" spans="1:11">
      <c r="A9" s="7" t="s">
        <v>2273</v>
      </c>
      <c r="B9" s="11">
        <v>40310</v>
      </c>
      <c r="C9" s="7">
        <v>2010</v>
      </c>
      <c r="D9" s="7" t="s">
        <v>2274</v>
      </c>
      <c r="E9" s="7" t="s">
        <v>2275</v>
      </c>
      <c r="F9" s="7" t="s">
        <v>4599</v>
      </c>
      <c r="G9" s="7" t="s">
        <v>4580</v>
      </c>
      <c r="H9" s="12">
        <v>0.2</v>
      </c>
      <c r="I9" s="7" t="s">
        <v>2261</v>
      </c>
      <c r="J9" s="7" t="str" cm="1">
        <f t="array" ref="J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9" s="7" t="s">
        <v>4768</v>
      </c>
    </row>
    <row r="10" spans="1:11">
      <c r="A10" s="7" t="s">
        <v>2276</v>
      </c>
      <c r="B10" s="11">
        <v>40323</v>
      </c>
      <c r="C10" s="7">
        <v>2010</v>
      </c>
      <c r="D10" s="7" t="s">
        <v>2277</v>
      </c>
      <c r="E10" s="7" t="s">
        <v>2278</v>
      </c>
      <c r="F10" s="7" t="s">
        <v>4599</v>
      </c>
      <c r="G10" s="7" t="s">
        <v>4583</v>
      </c>
      <c r="H10" s="12">
        <v>0.15</v>
      </c>
      <c r="I10" s="7" t="s">
        <v>2279</v>
      </c>
      <c r="J10" s="7" t="str" cm="1">
        <f t="array" ref="J1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0" s="7" t="s">
        <v>4768</v>
      </c>
    </row>
    <row r="11" spans="1:11">
      <c r="A11" s="7" t="s">
        <v>2280</v>
      </c>
      <c r="B11" s="11">
        <v>40348</v>
      </c>
      <c r="C11" s="7">
        <v>2010</v>
      </c>
      <c r="D11" s="7" t="s">
        <v>2281</v>
      </c>
      <c r="E11" s="7" t="s">
        <v>2282</v>
      </c>
      <c r="F11" s="7" t="s">
        <v>4598</v>
      </c>
      <c r="G11" s="7" t="s">
        <v>4580</v>
      </c>
      <c r="H11" s="12">
        <v>0.08</v>
      </c>
      <c r="I11" s="7" t="s">
        <v>2268</v>
      </c>
      <c r="J11" s="7" t="str" cm="1">
        <f t="array" ref="J1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1" s="7" t="s">
        <v>4768</v>
      </c>
    </row>
    <row r="12" spans="1:11">
      <c r="A12" s="7" t="s">
        <v>2283</v>
      </c>
      <c r="B12" s="11">
        <v>40351</v>
      </c>
      <c r="C12" s="7">
        <v>2010</v>
      </c>
      <c r="D12" s="7" t="s">
        <v>2284</v>
      </c>
      <c r="E12" s="7" t="s">
        <v>2254</v>
      </c>
      <c r="F12" s="7" t="s">
        <v>4598</v>
      </c>
      <c r="G12" s="7" t="s">
        <v>4587</v>
      </c>
      <c r="H12" s="12">
        <v>0.15</v>
      </c>
      <c r="I12" s="7" t="s">
        <v>2285</v>
      </c>
      <c r="J12" s="7" t="str" cm="1">
        <f t="array" ref="J1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2" s="7" t="s">
        <v>4768</v>
      </c>
    </row>
    <row r="13" spans="1:11">
      <c r="A13" s="7" t="s">
        <v>2286</v>
      </c>
      <c r="B13" s="11">
        <v>40364</v>
      </c>
      <c r="C13" s="7">
        <v>2010</v>
      </c>
      <c r="D13" s="7" t="s">
        <v>2287</v>
      </c>
      <c r="E13" s="7" t="s">
        <v>38</v>
      </c>
      <c r="F13" s="7" t="s">
        <v>4599</v>
      </c>
      <c r="G13" s="7" t="s">
        <v>4582</v>
      </c>
      <c r="H13" s="12">
        <v>0.31</v>
      </c>
      <c r="I13" s="7" t="s">
        <v>2288</v>
      </c>
      <c r="J13" s="7" t="str" cm="1">
        <f t="array" ref="J1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" s="7" t="s">
        <v>4768</v>
      </c>
    </row>
    <row r="14" spans="1:11">
      <c r="A14" s="7" t="s">
        <v>2289</v>
      </c>
      <c r="B14" s="11">
        <v>40383</v>
      </c>
      <c r="C14" s="7">
        <v>2010</v>
      </c>
      <c r="D14" s="7" t="s">
        <v>2290</v>
      </c>
      <c r="E14" s="7" t="s">
        <v>38</v>
      </c>
      <c r="F14" s="7" t="s">
        <v>4598</v>
      </c>
      <c r="G14" s="7" t="s">
        <v>4580</v>
      </c>
      <c r="H14" s="12">
        <v>0.5</v>
      </c>
      <c r="I14" s="7" t="s">
        <v>2268</v>
      </c>
      <c r="J14" s="7" t="str" cm="1">
        <f t="array" ref="J1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" s="7" t="s">
        <v>4768</v>
      </c>
    </row>
    <row r="15" spans="1:11">
      <c r="A15" s="7" t="s">
        <v>2291</v>
      </c>
      <c r="B15" s="11">
        <v>40392</v>
      </c>
      <c r="C15" s="7">
        <v>2010</v>
      </c>
      <c r="D15" s="7" t="s">
        <v>2292</v>
      </c>
      <c r="E15" s="7" t="s">
        <v>2293</v>
      </c>
      <c r="F15" s="7" t="s">
        <v>4600</v>
      </c>
      <c r="G15" s="7" t="s">
        <v>4578</v>
      </c>
      <c r="H15" s="12">
        <v>0.13</v>
      </c>
      <c r="I15" s="7" t="s">
        <v>2294</v>
      </c>
      <c r="J15" s="7" t="str" cm="1">
        <f t="array" ref="J1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5" s="7" t="s">
        <v>4768</v>
      </c>
    </row>
    <row r="16" spans="1:11">
      <c r="A16" s="7" t="s">
        <v>2295</v>
      </c>
      <c r="B16" s="11">
        <v>40404</v>
      </c>
      <c r="C16" s="7">
        <v>2010</v>
      </c>
      <c r="D16" s="7" t="s">
        <v>2296</v>
      </c>
      <c r="E16" s="7" t="s">
        <v>2297</v>
      </c>
      <c r="F16" s="7" t="s">
        <v>4598</v>
      </c>
      <c r="G16" s="7" t="s">
        <v>4586</v>
      </c>
      <c r="H16" s="12">
        <v>0.11</v>
      </c>
      <c r="I16" s="7" t="s">
        <v>2298</v>
      </c>
      <c r="J16" s="7" t="str" cm="1">
        <f t="array" ref="J1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6" s="7" t="s">
        <v>4768</v>
      </c>
    </row>
    <row r="17" spans="1:11">
      <c r="A17" s="7" t="s">
        <v>2299</v>
      </c>
      <c r="B17" s="11">
        <v>40407</v>
      </c>
      <c r="C17" s="7">
        <v>2010</v>
      </c>
      <c r="D17" s="7" t="s">
        <v>2300</v>
      </c>
      <c r="E17" s="7" t="s">
        <v>2301</v>
      </c>
      <c r="F17" s="7" t="s">
        <v>4601</v>
      </c>
      <c r="G17" s="7" t="s">
        <v>4578</v>
      </c>
      <c r="H17" s="12">
        <v>0.84</v>
      </c>
      <c r="I17" s="7" t="s">
        <v>2302</v>
      </c>
      <c r="J17" s="7" t="str" cm="1">
        <f t="array" ref="J1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7" s="7" t="s">
        <v>4768</v>
      </c>
    </row>
    <row r="18" spans="1:11">
      <c r="A18" s="7" t="s">
        <v>2303</v>
      </c>
      <c r="B18" s="11">
        <v>40455</v>
      </c>
      <c r="C18" s="7">
        <v>2010</v>
      </c>
      <c r="D18" s="7" t="s">
        <v>2304</v>
      </c>
      <c r="E18" s="7" t="s">
        <v>1365</v>
      </c>
      <c r="F18" s="7" t="s">
        <v>4599</v>
      </c>
      <c r="G18" s="7" t="s">
        <v>4580</v>
      </c>
      <c r="H18" s="12">
        <v>0.68</v>
      </c>
      <c r="I18" s="7" t="s">
        <v>2261</v>
      </c>
      <c r="J18" s="7" t="str" cm="1">
        <f t="array" ref="J1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8" s="7" t="s">
        <v>4768</v>
      </c>
    </row>
    <row r="19" spans="1:11">
      <c r="A19" s="7" t="s">
        <v>2305</v>
      </c>
      <c r="B19" s="11">
        <v>40457</v>
      </c>
      <c r="C19" s="7">
        <v>2010</v>
      </c>
      <c r="D19" s="7" t="s">
        <v>2306</v>
      </c>
      <c r="E19" s="7" t="s">
        <v>1608</v>
      </c>
      <c r="F19" s="7" t="s">
        <v>4602</v>
      </c>
      <c r="G19" s="7" t="s">
        <v>4587</v>
      </c>
      <c r="H19" s="12">
        <v>0.25</v>
      </c>
      <c r="I19" s="7" t="s">
        <v>2307</v>
      </c>
      <c r="J19" s="7" t="str" cm="1">
        <f t="array" ref="J1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" s="7" t="s">
        <v>4768</v>
      </c>
    </row>
    <row r="20" spans="1:11">
      <c r="A20" s="7" t="s">
        <v>2308</v>
      </c>
      <c r="B20" s="11">
        <v>40466</v>
      </c>
      <c r="C20" s="7">
        <v>2010</v>
      </c>
      <c r="D20" s="7" t="s">
        <v>2309</v>
      </c>
      <c r="E20" s="7" t="s">
        <v>351</v>
      </c>
      <c r="F20" s="7" t="s">
        <v>4599</v>
      </c>
      <c r="G20" s="7" t="s">
        <v>4578</v>
      </c>
      <c r="H20" s="12">
        <v>3</v>
      </c>
      <c r="I20" s="7" t="s">
        <v>2310</v>
      </c>
      <c r="J20" s="7" t="str" cm="1">
        <f t="array" ref="J2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0" s="7" t="s">
        <v>4743</v>
      </c>
    </row>
    <row r="21" spans="1:11">
      <c r="A21" s="7" t="s">
        <v>2311</v>
      </c>
      <c r="B21" s="11">
        <v>40470</v>
      </c>
      <c r="C21" s="7">
        <v>2010</v>
      </c>
      <c r="D21" s="7" t="s">
        <v>2312</v>
      </c>
      <c r="E21" s="7" t="s">
        <v>1703</v>
      </c>
      <c r="F21" s="7" t="s">
        <v>4598</v>
      </c>
      <c r="G21" s="7" t="s">
        <v>4582</v>
      </c>
      <c r="H21" s="12">
        <v>4.5</v>
      </c>
      <c r="I21" s="7" t="s">
        <v>2313</v>
      </c>
      <c r="J21" s="7" t="str" cm="1">
        <f t="array" ref="J2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1" s="7" t="s">
        <v>4743</v>
      </c>
    </row>
    <row r="22" spans="1:11">
      <c r="A22" s="7" t="s">
        <v>2314</v>
      </c>
      <c r="B22" s="11">
        <v>40477</v>
      </c>
      <c r="C22" s="7">
        <v>2010</v>
      </c>
      <c r="D22" s="7" t="s">
        <v>2315</v>
      </c>
      <c r="E22" s="7" t="s">
        <v>2278</v>
      </c>
      <c r="F22" s="7" t="s">
        <v>4598</v>
      </c>
      <c r="G22" s="7" t="s">
        <v>4585</v>
      </c>
      <c r="H22" s="12">
        <v>1.89</v>
      </c>
      <c r="I22" s="7" t="s">
        <v>2316</v>
      </c>
      <c r="J22" s="7" t="str" cm="1">
        <f t="array" ref="J2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2" s="7" t="s">
        <v>4768</v>
      </c>
    </row>
    <row r="23" spans="1:11">
      <c r="A23" s="7" t="s">
        <v>2317</v>
      </c>
      <c r="B23" s="11">
        <v>40506</v>
      </c>
      <c r="C23" s="7">
        <v>2010</v>
      </c>
      <c r="D23" s="7" t="s">
        <v>2318</v>
      </c>
      <c r="E23" s="7" t="s">
        <v>67</v>
      </c>
      <c r="F23" s="7" t="s">
        <v>4598</v>
      </c>
      <c r="G23" s="7" t="s">
        <v>4580</v>
      </c>
      <c r="H23" s="12">
        <v>0.06</v>
      </c>
      <c r="I23" s="7" t="s">
        <v>2268</v>
      </c>
      <c r="J23" s="7" t="str" cm="1">
        <f t="array" ref="J2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3" s="7" t="s">
        <v>4768</v>
      </c>
    </row>
    <row r="24" spans="1:11">
      <c r="A24" s="7" t="s">
        <v>2319</v>
      </c>
      <c r="B24" s="11">
        <v>40516</v>
      </c>
      <c r="C24" s="7">
        <v>2010</v>
      </c>
      <c r="D24" s="7" t="s">
        <v>2320</v>
      </c>
      <c r="E24" s="7" t="s">
        <v>2321</v>
      </c>
      <c r="F24" s="7" t="s">
        <v>4598</v>
      </c>
      <c r="G24" s="7" t="s">
        <v>4587</v>
      </c>
      <c r="H24" s="12">
        <v>0.02</v>
      </c>
      <c r="I24" s="7" t="s">
        <v>2285</v>
      </c>
      <c r="J24" s="7" t="str" cm="1">
        <f t="array" ref="J2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4" s="7" t="s">
        <v>4768</v>
      </c>
    </row>
    <row r="25" spans="1:11">
      <c r="A25" s="7" t="s">
        <v>2322</v>
      </c>
      <c r="B25" s="11">
        <v>40524</v>
      </c>
      <c r="C25" s="7">
        <v>2010</v>
      </c>
      <c r="D25" s="7" t="s">
        <v>2323</v>
      </c>
      <c r="E25" s="7" t="s">
        <v>2324</v>
      </c>
      <c r="F25" s="7" t="s">
        <v>4599</v>
      </c>
      <c r="G25" s="7" t="s">
        <v>4580</v>
      </c>
      <c r="H25" s="12">
        <v>0.14000000000000001</v>
      </c>
      <c r="I25" s="7" t="s">
        <v>2261</v>
      </c>
      <c r="J25" s="7" t="str" cm="1">
        <f t="array" ref="J2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5" s="7" t="s">
        <v>4768</v>
      </c>
    </row>
    <row r="26" spans="1:11">
      <c r="A26" s="7" t="s">
        <v>2325</v>
      </c>
      <c r="B26" s="11">
        <v>40549</v>
      </c>
      <c r="C26" s="7">
        <v>2011</v>
      </c>
      <c r="D26" s="7" t="s">
        <v>2326</v>
      </c>
      <c r="E26" s="7" t="s">
        <v>1676</v>
      </c>
      <c r="F26" s="7" t="s">
        <v>4599</v>
      </c>
      <c r="G26" s="7" t="s">
        <v>4586</v>
      </c>
      <c r="H26" s="12">
        <v>3.52</v>
      </c>
      <c r="I26" s="7" t="s">
        <v>2327</v>
      </c>
      <c r="J26" s="7" t="str" cm="1">
        <f t="array" ref="J2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6" s="7" t="s">
        <v>4768</v>
      </c>
    </row>
    <row r="27" spans="1:11">
      <c r="A27" s="7" t="s">
        <v>2328</v>
      </c>
      <c r="B27" s="11">
        <v>40554</v>
      </c>
      <c r="C27" s="7">
        <v>2011</v>
      </c>
      <c r="D27" s="7" t="s">
        <v>2329</v>
      </c>
      <c r="E27" s="7" t="s">
        <v>2324</v>
      </c>
      <c r="F27" s="7" t="s">
        <v>4598</v>
      </c>
      <c r="G27" s="7" t="s">
        <v>4604</v>
      </c>
      <c r="H27" s="12">
        <v>0.27</v>
      </c>
      <c r="I27" s="7" t="s">
        <v>2330</v>
      </c>
      <c r="J27" s="7" t="str" cm="1">
        <f t="array" ref="J2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7" s="7" t="s">
        <v>4768</v>
      </c>
    </row>
    <row r="28" spans="1:11">
      <c r="A28" s="7" t="s">
        <v>2331</v>
      </c>
      <c r="B28" s="11">
        <v>40559</v>
      </c>
      <c r="C28" s="7">
        <v>2011</v>
      </c>
      <c r="D28" s="7" t="s">
        <v>2332</v>
      </c>
      <c r="E28" s="7" t="s">
        <v>2297</v>
      </c>
      <c r="F28" s="7" t="s">
        <v>4599</v>
      </c>
      <c r="G28" s="7" t="s">
        <v>4585</v>
      </c>
      <c r="H28" s="12">
        <v>0.12</v>
      </c>
      <c r="I28" s="7" t="s">
        <v>2333</v>
      </c>
      <c r="J28" s="7" t="str" cm="1">
        <f t="array" ref="J2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8" s="7" t="s">
        <v>4768</v>
      </c>
    </row>
    <row r="29" spans="1:11">
      <c r="A29" s="7" t="s">
        <v>2334</v>
      </c>
      <c r="B29" s="11">
        <v>40567</v>
      </c>
      <c r="C29" s="7">
        <v>2011</v>
      </c>
      <c r="D29" s="7" t="s">
        <v>2335</v>
      </c>
      <c r="E29" s="7" t="s">
        <v>2278</v>
      </c>
      <c r="F29" s="7" t="s">
        <v>4598</v>
      </c>
      <c r="G29" s="7" t="s">
        <v>4587</v>
      </c>
      <c r="H29" s="12">
        <v>0.17</v>
      </c>
      <c r="I29" s="7" t="s">
        <v>2285</v>
      </c>
      <c r="J29" s="7" t="str" cm="1">
        <f t="array" ref="J2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9" s="7" t="s">
        <v>4768</v>
      </c>
    </row>
    <row r="30" spans="1:11">
      <c r="A30" s="7" t="s">
        <v>2336</v>
      </c>
      <c r="B30" s="11">
        <v>40569</v>
      </c>
      <c r="C30" s="7">
        <v>2011</v>
      </c>
      <c r="D30" s="7" t="s">
        <v>2337</v>
      </c>
      <c r="E30" s="7" t="s">
        <v>42</v>
      </c>
      <c r="F30" s="7" t="s">
        <v>4598</v>
      </c>
      <c r="G30" s="7" t="s">
        <v>4580</v>
      </c>
      <c r="H30" s="12">
        <v>0.03</v>
      </c>
      <c r="I30" s="7" t="s">
        <v>2268</v>
      </c>
      <c r="J30" s="7" t="str" cm="1">
        <f t="array" ref="J3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0" s="7" t="s">
        <v>4768</v>
      </c>
    </row>
    <row r="31" spans="1:11">
      <c r="A31" s="7" t="s">
        <v>2338</v>
      </c>
      <c r="B31" s="11">
        <v>40577</v>
      </c>
      <c r="C31" s="7">
        <v>2011</v>
      </c>
      <c r="D31" s="7" t="s">
        <v>2339</v>
      </c>
      <c r="E31" s="7" t="s">
        <v>1610</v>
      </c>
      <c r="F31" s="7" t="s">
        <v>4598</v>
      </c>
      <c r="G31" s="7" t="s">
        <v>4587</v>
      </c>
      <c r="H31" s="12">
        <v>0.04</v>
      </c>
      <c r="I31" s="7" t="s">
        <v>2285</v>
      </c>
      <c r="J31" s="7" t="str" cm="1">
        <f t="array" ref="J3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" s="7" t="s">
        <v>4768</v>
      </c>
    </row>
    <row r="32" spans="1:11">
      <c r="A32" s="7" t="s">
        <v>2340</v>
      </c>
      <c r="B32" s="11">
        <v>40585</v>
      </c>
      <c r="C32" s="7">
        <v>2011</v>
      </c>
      <c r="D32" s="7" t="s">
        <v>2341</v>
      </c>
      <c r="E32" s="7" t="s">
        <v>304</v>
      </c>
      <c r="F32" s="7" t="s">
        <v>4598</v>
      </c>
      <c r="G32" s="7" t="s">
        <v>4585</v>
      </c>
      <c r="H32" s="12">
        <v>0.01</v>
      </c>
      <c r="I32" s="7" t="s">
        <v>2316</v>
      </c>
      <c r="J32" s="7" t="str" cm="1">
        <f t="array" ref="J3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2" s="7" t="s">
        <v>4768</v>
      </c>
    </row>
    <row r="33" spans="1:11">
      <c r="A33" s="7" t="s">
        <v>2342</v>
      </c>
      <c r="B33" s="11">
        <v>40586</v>
      </c>
      <c r="C33" s="7">
        <v>2011</v>
      </c>
      <c r="D33" s="7" t="s">
        <v>2343</v>
      </c>
      <c r="E33" s="7" t="s">
        <v>1365</v>
      </c>
      <c r="F33" s="7" t="s">
        <v>4598</v>
      </c>
      <c r="G33" s="7" t="s">
        <v>4587</v>
      </c>
      <c r="H33" s="12">
        <v>0.19</v>
      </c>
      <c r="I33" s="7" t="s">
        <v>2285</v>
      </c>
      <c r="J33" s="7" t="str" cm="1">
        <f t="array" ref="J3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3" s="7" t="s">
        <v>4768</v>
      </c>
    </row>
    <row r="34" spans="1:11">
      <c r="A34" s="7" t="s">
        <v>2344</v>
      </c>
      <c r="B34" s="11">
        <v>40598</v>
      </c>
      <c r="C34" s="7">
        <v>2011</v>
      </c>
      <c r="D34" s="7" t="s">
        <v>2345</v>
      </c>
      <c r="E34" s="7" t="s">
        <v>2301</v>
      </c>
      <c r="F34" s="7" t="s">
        <v>4598</v>
      </c>
      <c r="G34" s="7" t="s">
        <v>4578</v>
      </c>
      <c r="H34" s="12">
        <v>0.02</v>
      </c>
      <c r="I34" s="7" t="s">
        <v>2251</v>
      </c>
      <c r="J34" s="7" t="str" cm="1">
        <f t="array" ref="J3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4" s="7" t="s">
        <v>4768</v>
      </c>
    </row>
    <row r="35" spans="1:11">
      <c r="A35" s="7" t="s">
        <v>2346</v>
      </c>
      <c r="B35" s="11">
        <v>40627</v>
      </c>
      <c r="C35" s="7">
        <v>2011</v>
      </c>
      <c r="D35" s="7" t="s">
        <v>2347</v>
      </c>
      <c r="E35" s="7" t="s">
        <v>42</v>
      </c>
      <c r="F35" s="7" t="s">
        <v>4599</v>
      </c>
      <c r="G35" s="7" t="s">
        <v>4580</v>
      </c>
      <c r="H35" s="12">
        <v>1.5</v>
      </c>
      <c r="I35" s="7" t="s">
        <v>2348</v>
      </c>
      <c r="J35" s="7" t="str" cm="1">
        <f t="array" ref="J3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5" s="7" t="s">
        <v>4743</v>
      </c>
    </row>
    <row r="36" spans="1:11">
      <c r="A36" s="7" t="s">
        <v>2349</v>
      </c>
      <c r="B36" s="11">
        <v>40629</v>
      </c>
      <c r="C36" s="7">
        <v>2011</v>
      </c>
      <c r="D36" s="7" t="s">
        <v>2350</v>
      </c>
      <c r="E36" s="7" t="s">
        <v>1608</v>
      </c>
      <c r="F36" s="7" t="s">
        <v>4602</v>
      </c>
      <c r="G36" s="7" t="s">
        <v>4605</v>
      </c>
      <c r="H36" s="12">
        <v>0.25</v>
      </c>
      <c r="I36" s="7" t="s">
        <v>2351</v>
      </c>
      <c r="J36" s="7" t="str" cm="1">
        <f t="array" ref="J3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6" s="7" t="s">
        <v>4768</v>
      </c>
    </row>
    <row r="37" spans="1:11">
      <c r="A37" s="7" t="s">
        <v>2352</v>
      </c>
      <c r="B37" s="11">
        <v>40651</v>
      </c>
      <c r="C37" s="7">
        <v>2011</v>
      </c>
      <c r="D37" s="7" t="s">
        <v>2353</v>
      </c>
      <c r="E37" s="7" t="s">
        <v>215</v>
      </c>
      <c r="F37" s="7" t="s">
        <v>4598</v>
      </c>
      <c r="G37" s="7" t="s">
        <v>4585</v>
      </c>
      <c r="H37" s="12">
        <v>5.1100000000000003</v>
      </c>
      <c r="I37" s="7" t="s">
        <v>2316</v>
      </c>
      <c r="J37" s="7" t="str" cm="1">
        <f t="array" ref="J37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37" s="7" t="s">
        <v>4768</v>
      </c>
    </row>
    <row r="38" spans="1:11">
      <c r="A38" s="7" t="s">
        <v>2354</v>
      </c>
      <c r="B38" s="11">
        <v>40660</v>
      </c>
      <c r="C38" s="7">
        <v>2011</v>
      </c>
      <c r="D38" s="7" t="s">
        <v>2355</v>
      </c>
      <c r="E38" s="7" t="s">
        <v>42</v>
      </c>
      <c r="F38" s="7" t="s">
        <v>4598</v>
      </c>
      <c r="G38" s="7" t="s">
        <v>4582</v>
      </c>
      <c r="H38" s="12">
        <v>0.62</v>
      </c>
      <c r="I38" s="7" t="s">
        <v>2356</v>
      </c>
      <c r="J38" s="7" t="str" cm="1">
        <f t="array" ref="J3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8" s="7" t="s">
        <v>4768</v>
      </c>
    </row>
    <row r="39" spans="1:11">
      <c r="A39" s="7" t="s">
        <v>2357</v>
      </c>
      <c r="B39" s="11">
        <v>40673</v>
      </c>
      <c r="C39" s="7">
        <v>2011</v>
      </c>
      <c r="D39" s="7" t="s">
        <v>2358</v>
      </c>
      <c r="E39" s="7" t="s">
        <v>1608</v>
      </c>
      <c r="F39" s="7" t="s">
        <v>4598</v>
      </c>
      <c r="G39" s="7" t="s">
        <v>4580</v>
      </c>
      <c r="H39" s="12">
        <v>0.09</v>
      </c>
      <c r="I39" s="7" t="s">
        <v>2268</v>
      </c>
      <c r="J39" s="7" t="str" cm="1">
        <f t="array" ref="J3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" s="7" t="s">
        <v>4768</v>
      </c>
    </row>
    <row r="40" spans="1:11">
      <c r="A40" s="7" t="s">
        <v>2359</v>
      </c>
      <c r="B40" s="11">
        <v>40677</v>
      </c>
      <c r="C40" s="7">
        <v>2011</v>
      </c>
      <c r="D40" s="7" t="s">
        <v>2360</v>
      </c>
      <c r="E40" s="7" t="s">
        <v>2250</v>
      </c>
      <c r="F40" s="7" t="s">
        <v>4598</v>
      </c>
      <c r="G40" s="7" t="s">
        <v>4580</v>
      </c>
      <c r="H40" s="12">
        <v>0.06</v>
      </c>
      <c r="I40" s="7" t="s">
        <v>2268</v>
      </c>
      <c r="J40" s="7" t="str" cm="1">
        <f t="array" ref="J4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" s="7" t="s">
        <v>4768</v>
      </c>
    </row>
    <row r="41" spans="1:11">
      <c r="A41" s="7" t="s">
        <v>2361</v>
      </c>
      <c r="B41" s="11">
        <v>40689</v>
      </c>
      <c r="C41" s="7">
        <v>2011</v>
      </c>
      <c r="D41" s="7" t="s">
        <v>2362</v>
      </c>
      <c r="E41" s="7" t="s">
        <v>146</v>
      </c>
      <c r="F41" s="7" t="s">
        <v>4598</v>
      </c>
      <c r="G41" s="7" t="s">
        <v>4583</v>
      </c>
      <c r="H41" s="12">
        <v>3.42</v>
      </c>
      <c r="I41" s="7" t="s">
        <v>2363</v>
      </c>
      <c r="J41" s="7" t="str" cm="1">
        <f t="array" ref="J4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1" s="7" t="s">
        <v>4768</v>
      </c>
    </row>
    <row r="42" spans="1:11">
      <c r="A42" s="7" t="s">
        <v>2364</v>
      </c>
      <c r="B42" s="11">
        <v>40720</v>
      </c>
      <c r="C42" s="7">
        <v>2011</v>
      </c>
      <c r="D42" s="7" t="s">
        <v>2365</v>
      </c>
      <c r="E42" s="7" t="s">
        <v>1403</v>
      </c>
      <c r="F42" s="7" t="s">
        <v>4599</v>
      </c>
      <c r="G42" s="7" t="s">
        <v>4585</v>
      </c>
      <c r="H42" s="12">
        <v>0.03</v>
      </c>
      <c r="I42" s="7" t="s">
        <v>2333</v>
      </c>
      <c r="J42" s="7" t="str" cm="1">
        <f t="array" ref="J4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2" s="7" t="s">
        <v>4768</v>
      </c>
    </row>
    <row r="43" spans="1:11">
      <c r="A43" s="7" t="s">
        <v>2366</v>
      </c>
      <c r="B43" s="11">
        <v>40725</v>
      </c>
      <c r="C43" s="7">
        <v>2011</v>
      </c>
      <c r="D43" s="7" t="s">
        <v>2367</v>
      </c>
      <c r="E43" s="7" t="s">
        <v>2368</v>
      </c>
      <c r="F43" s="7" t="s">
        <v>4598</v>
      </c>
      <c r="G43" s="7" t="s">
        <v>4582</v>
      </c>
      <c r="H43" s="12">
        <v>7</v>
      </c>
      <c r="I43" s="7" t="s">
        <v>2369</v>
      </c>
      <c r="J43" s="7" t="str" cm="1">
        <f t="array" ref="J43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43" s="7" t="s">
        <v>4743</v>
      </c>
    </row>
    <row r="44" spans="1:11">
      <c r="A44" s="7" t="s">
        <v>2370</v>
      </c>
      <c r="B44" s="11">
        <v>40744</v>
      </c>
      <c r="C44" s="7">
        <v>2011</v>
      </c>
      <c r="D44" s="7" t="s">
        <v>2371</v>
      </c>
      <c r="E44" s="7" t="s">
        <v>130</v>
      </c>
      <c r="F44" s="7" t="s">
        <v>4598</v>
      </c>
      <c r="G44" s="7" t="s">
        <v>4582</v>
      </c>
      <c r="H44" s="12">
        <v>0.18</v>
      </c>
      <c r="I44" s="7" t="s">
        <v>2356</v>
      </c>
      <c r="J44" s="7" t="str" cm="1">
        <f t="array" ref="J4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" s="7" t="s">
        <v>4768</v>
      </c>
    </row>
    <row r="45" spans="1:11">
      <c r="A45" s="7" t="s">
        <v>2372</v>
      </c>
      <c r="B45" s="11">
        <v>40761</v>
      </c>
      <c r="C45" s="7">
        <v>2011</v>
      </c>
      <c r="D45" s="7" t="s">
        <v>2373</v>
      </c>
      <c r="E45" s="7" t="s">
        <v>23</v>
      </c>
      <c r="F45" s="7" t="s">
        <v>4598</v>
      </c>
      <c r="G45" s="7" t="s">
        <v>4579</v>
      </c>
      <c r="H45" s="12">
        <v>1.4</v>
      </c>
      <c r="I45" s="7" t="s">
        <v>2374</v>
      </c>
      <c r="J45" s="7" t="str" cm="1">
        <f t="array" ref="J4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5" s="7" t="s">
        <v>4768</v>
      </c>
    </row>
    <row r="46" spans="1:11">
      <c r="A46" s="7" t="s">
        <v>2375</v>
      </c>
      <c r="B46" s="11">
        <v>40762</v>
      </c>
      <c r="C46" s="7">
        <v>2011</v>
      </c>
      <c r="D46" s="7" t="s">
        <v>2376</v>
      </c>
      <c r="E46" s="7" t="s">
        <v>2264</v>
      </c>
      <c r="F46" s="7" t="s">
        <v>4598</v>
      </c>
      <c r="G46" s="7" t="s">
        <v>4579</v>
      </c>
      <c r="H46" s="12">
        <v>0.01</v>
      </c>
      <c r="I46" s="7" t="s">
        <v>2374</v>
      </c>
      <c r="J46" s="7" t="str" cm="1">
        <f t="array" ref="J4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" s="7" t="s">
        <v>4768</v>
      </c>
    </row>
    <row r="47" spans="1:11">
      <c r="A47" s="7" t="s">
        <v>2377</v>
      </c>
      <c r="B47" s="11">
        <v>40810</v>
      </c>
      <c r="C47" s="7">
        <v>2011</v>
      </c>
      <c r="D47" s="7" t="s">
        <v>2378</v>
      </c>
      <c r="E47" s="7" t="s">
        <v>67</v>
      </c>
      <c r="F47" s="7" t="s">
        <v>4598</v>
      </c>
      <c r="G47" s="7" t="s">
        <v>4580</v>
      </c>
      <c r="H47" s="12">
        <v>0.06</v>
      </c>
      <c r="I47" s="7" t="s">
        <v>2268</v>
      </c>
      <c r="J47" s="7" t="str" cm="1">
        <f t="array" ref="J4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" s="7" t="s">
        <v>4768</v>
      </c>
    </row>
    <row r="48" spans="1:11">
      <c r="A48" s="7" t="s">
        <v>2379</v>
      </c>
      <c r="B48" s="11">
        <v>40824</v>
      </c>
      <c r="C48" s="7">
        <v>2011</v>
      </c>
      <c r="D48" s="7" t="s">
        <v>2380</v>
      </c>
      <c r="E48" s="7" t="s">
        <v>1610</v>
      </c>
      <c r="F48" s="7" t="s">
        <v>4598</v>
      </c>
      <c r="G48" s="7" t="s">
        <v>4578</v>
      </c>
      <c r="H48" s="12">
        <v>0.7</v>
      </c>
      <c r="I48" s="7" t="s">
        <v>2251</v>
      </c>
      <c r="J48" s="7" t="str" cm="1">
        <f t="array" ref="J4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8" s="7" t="s">
        <v>4768</v>
      </c>
    </row>
    <row r="49" spans="1:11">
      <c r="A49" s="7" t="s">
        <v>2381</v>
      </c>
      <c r="B49" s="11">
        <v>40850</v>
      </c>
      <c r="C49" s="7">
        <v>2011</v>
      </c>
      <c r="D49" s="7" t="s">
        <v>2382</v>
      </c>
      <c r="E49" s="7" t="s">
        <v>215</v>
      </c>
      <c r="F49" s="7" t="s">
        <v>4598</v>
      </c>
      <c r="G49" s="7" t="s">
        <v>4580</v>
      </c>
      <c r="H49" s="12">
        <v>7.0000000000000007E-2</v>
      </c>
      <c r="I49" s="7" t="s">
        <v>2268</v>
      </c>
      <c r="J49" s="7" t="str" cm="1">
        <f t="array" ref="J4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9" s="7" t="s">
        <v>4768</v>
      </c>
    </row>
    <row r="50" spans="1:11">
      <c r="A50" s="7" t="s">
        <v>2383</v>
      </c>
      <c r="B50" s="11">
        <v>40873</v>
      </c>
      <c r="C50" s="7">
        <v>2011</v>
      </c>
      <c r="D50" s="7" t="s">
        <v>2384</v>
      </c>
      <c r="E50" s="7" t="s">
        <v>42</v>
      </c>
      <c r="F50" s="7" t="s">
        <v>4598</v>
      </c>
      <c r="G50" s="7" t="s">
        <v>4580</v>
      </c>
      <c r="H50" s="12">
        <v>0.04</v>
      </c>
      <c r="I50" s="7" t="s">
        <v>2268</v>
      </c>
      <c r="J50" s="7" t="str" cm="1">
        <f t="array" ref="J5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" s="7" t="s">
        <v>4768</v>
      </c>
    </row>
    <row r="51" spans="1:11">
      <c r="A51" s="7" t="s">
        <v>2385</v>
      </c>
      <c r="B51" s="11">
        <v>40880</v>
      </c>
      <c r="C51" s="7">
        <v>2011</v>
      </c>
      <c r="D51" s="7" t="s">
        <v>2386</v>
      </c>
      <c r="E51" s="7" t="s">
        <v>31</v>
      </c>
      <c r="F51" s="7" t="s">
        <v>4599</v>
      </c>
      <c r="G51" s="7" t="s">
        <v>4587</v>
      </c>
      <c r="H51" s="12">
        <v>1.46</v>
      </c>
      <c r="I51" s="7" t="s">
        <v>2387</v>
      </c>
      <c r="J51" s="7" t="str" cm="1">
        <f t="array" ref="J5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1" s="7" t="s">
        <v>4768</v>
      </c>
    </row>
    <row r="52" spans="1:11">
      <c r="A52" s="7" t="s">
        <v>2388</v>
      </c>
      <c r="B52" s="11">
        <v>40887</v>
      </c>
      <c r="C52" s="7">
        <v>2011</v>
      </c>
      <c r="D52" s="7" t="s">
        <v>2389</v>
      </c>
      <c r="E52" s="7" t="s">
        <v>2321</v>
      </c>
      <c r="F52" s="7" t="s">
        <v>4598</v>
      </c>
      <c r="G52" s="7" t="s">
        <v>4582</v>
      </c>
      <c r="H52" s="12">
        <v>0.46</v>
      </c>
      <c r="I52" s="7" t="s">
        <v>2356</v>
      </c>
      <c r="J52" s="7" t="str" cm="1">
        <f t="array" ref="J5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2" s="7" t="s">
        <v>4768</v>
      </c>
    </row>
    <row r="53" spans="1:11">
      <c r="A53" s="7" t="s">
        <v>2390</v>
      </c>
      <c r="B53" s="11">
        <v>40888</v>
      </c>
      <c r="C53" s="7">
        <v>2011</v>
      </c>
      <c r="D53" s="7" t="s">
        <v>2391</v>
      </c>
      <c r="E53" s="7" t="s">
        <v>67</v>
      </c>
      <c r="F53" s="7" t="s">
        <v>4598</v>
      </c>
      <c r="G53" s="7" t="s">
        <v>4585</v>
      </c>
      <c r="H53" s="12">
        <v>0.01</v>
      </c>
      <c r="I53" s="7" t="s">
        <v>2316</v>
      </c>
      <c r="J53" s="7" t="str" cm="1">
        <f t="array" ref="J5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" s="7" t="s">
        <v>4768</v>
      </c>
    </row>
    <row r="54" spans="1:11">
      <c r="A54" s="7" t="s">
        <v>2392</v>
      </c>
      <c r="B54" s="11">
        <v>40893</v>
      </c>
      <c r="C54" s="7">
        <v>2011</v>
      </c>
      <c r="D54" s="7" t="s">
        <v>2393</v>
      </c>
      <c r="E54" s="7" t="s">
        <v>2267</v>
      </c>
      <c r="F54" s="7" t="s">
        <v>4598</v>
      </c>
      <c r="G54" s="7" t="s">
        <v>4580</v>
      </c>
      <c r="H54" s="12">
        <v>0.15</v>
      </c>
      <c r="I54" s="7" t="s">
        <v>2268</v>
      </c>
      <c r="J54" s="7" t="str" cm="1">
        <f t="array" ref="J5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" s="7" t="s">
        <v>4768</v>
      </c>
    </row>
    <row r="55" spans="1:11">
      <c r="A55" s="7" t="s">
        <v>2394</v>
      </c>
      <c r="B55" s="11">
        <v>40898</v>
      </c>
      <c r="C55" s="7">
        <v>2011</v>
      </c>
      <c r="D55" s="7" t="s">
        <v>2395</v>
      </c>
      <c r="E55" s="7" t="s">
        <v>2297</v>
      </c>
      <c r="F55" s="7" t="s">
        <v>4598</v>
      </c>
      <c r="G55" s="7" t="s">
        <v>4587</v>
      </c>
      <c r="H55" s="12">
        <v>0.56999999999999995</v>
      </c>
      <c r="I55" s="7" t="s">
        <v>2285</v>
      </c>
      <c r="J55" s="7" t="str" cm="1">
        <f t="array" ref="J5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5" s="7" t="s">
        <v>4768</v>
      </c>
    </row>
    <row r="56" spans="1:11">
      <c r="A56" s="7" t="s">
        <v>2396</v>
      </c>
      <c r="B56" s="11">
        <v>40903</v>
      </c>
      <c r="C56" s="7">
        <v>2011</v>
      </c>
      <c r="D56" s="7" t="s">
        <v>2397</v>
      </c>
      <c r="E56" s="7" t="s">
        <v>1610</v>
      </c>
      <c r="F56" s="7" t="s">
        <v>4599</v>
      </c>
      <c r="G56" s="7" t="s">
        <v>4585</v>
      </c>
      <c r="H56" s="12">
        <v>0.11</v>
      </c>
      <c r="I56" s="7" t="s">
        <v>2333</v>
      </c>
      <c r="J56" s="7" t="str" cm="1">
        <f t="array" ref="J5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" s="7" t="s">
        <v>4768</v>
      </c>
    </row>
    <row r="57" spans="1:11">
      <c r="A57" s="7" t="s">
        <v>2398</v>
      </c>
      <c r="B57" s="11">
        <v>40904</v>
      </c>
      <c r="C57" s="7">
        <v>2011</v>
      </c>
      <c r="D57" s="7" t="s">
        <v>2399</v>
      </c>
      <c r="E57" s="7" t="s">
        <v>42</v>
      </c>
      <c r="F57" s="7" t="s">
        <v>4598</v>
      </c>
      <c r="G57" s="7" t="s">
        <v>4586</v>
      </c>
      <c r="H57" s="12">
        <v>0.14000000000000001</v>
      </c>
      <c r="I57" s="7" t="s">
        <v>2298</v>
      </c>
      <c r="J57" s="7" t="str" cm="1">
        <f t="array" ref="J5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7" s="7" t="s">
        <v>4768</v>
      </c>
    </row>
    <row r="58" spans="1:11">
      <c r="A58" s="7" t="s">
        <v>2400</v>
      </c>
      <c r="B58" s="11">
        <v>40921</v>
      </c>
      <c r="C58" s="7">
        <v>2012</v>
      </c>
      <c r="D58" s="7" t="s">
        <v>2401</v>
      </c>
      <c r="E58" s="7" t="s">
        <v>1403</v>
      </c>
      <c r="F58" s="7" t="s">
        <v>4598</v>
      </c>
      <c r="G58" s="7" t="s">
        <v>4586</v>
      </c>
      <c r="H58" s="12">
        <v>0.18</v>
      </c>
      <c r="I58" s="7" t="s">
        <v>2298</v>
      </c>
      <c r="J58" s="7" t="str" cm="1">
        <f t="array" ref="J5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" s="7" t="s">
        <v>4768</v>
      </c>
    </row>
    <row r="59" spans="1:11">
      <c r="A59" s="7" t="s">
        <v>2402</v>
      </c>
      <c r="B59" s="11">
        <v>40939</v>
      </c>
      <c r="C59" s="7">
        <v>2012</v>
      </c>
      <c r="D59" s="7" t="s">
        <v>2403</v>
      </c>
      <c r="E59" s="7" t="s">
        <v>1403</v>
      </c>
      <c r="F59" s="7" t="s">
        <v>4598</v>
      </c>
      <c r="G59" s="7" t="s">
        <v>4587</v>
      </c>
      <c r="H59" s="12">
        <v>1.5</v>
      </c>
      <c r="I59" s="7" t="s">
        <v>2404</v>
      </c>
      <c r="J59" s="7" t="str" cm="1">
        <f t="array" ref="J5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9" s="7" t="s">
        <v>4743</v>
      </c>
    </row>
    <row r="60" spans="1:11">
      <c r="A60" s="7" t="s">
        <v>2405</v>
      </c>
      <c r="B60" s="11">
        <v>40951</v>
      </c>
      <c r="C60" s="7">
        <v>2012</v>
      </c>
      <c r="D60" s="7" t="s">
        <v>2406</v>
      </c>
      <c r="E60" s="7" t="s">
        <v>31</v>
      </c>
      <c r="F60" s="7" t="s">
        <v>4599</v>
      </c>
      <c r="G60" s="7" t="s">
        <v>4580</v>
      </c>
      <c r="H60" s="12">
        <v>0.04</v>
      </c>
      <c r="I60" s="7" t="s">
        <v>2261</v>
      </c>
      <c r="J60" s="7" t="str" cm="1">
        <f t="array" ref="J6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0" s="7" t="s">
        <v>4768</v>
      </c>
    </row>
    <row r="61" spans="1:11">
      <c r="A61" s="7" t="s">
        <v>2407</v>
      </c>
      <c r="B61" s="11">
        <v>40955</v>
      </c>
      <c r="C61" s="7">
        <v>2012</v>
      </c>
      <c r="D61" s="7" t="s">
        <v>2408</v>
      </c>
      <c r="E61" s="7" t="s">
        <v>1365</v>
      </c>
      <c r="F61" s="7" t="s">
        <v>4598</v>
      </c>
      <c r="G61" s="7" t="s">
        <v>4583</v>
      </c>
      <c r="H61" s="12">
        <v>0.1</v>
      </c>
      <c r="I61" s="7" t="s">
        <v>2363</v>
      </c>
      <c r="J61" s="7" t="str" cm="1">
        <f t="array" ref="J6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1" s="7" t="s">
        <v>4768</v>
      </c>
    </row>
    <row r="62" spans="1:11">
      <c r="A62" s="7" t="s">
        <v>2409</v>
      </c>
      <c r="B62" s="11">
        <v>40966</v>
      </c>
      <c r="C62" s="7">
        <v>2012</v>
      </c>
      <c r="D62" s="7" t="s">
        <v>2410</v>
      </c>
      <c r="E62" s="7" t="s">
        <v>2250</v>
      </c>
      <c r="F62" s="7" t="s">
        <v>4598</v>
      </c>
      <c r="G62" s="7" t="s">
        <v>4582</v>
      </c>
      <c r="H62" s="12">
        <v>0.03</v>
      </c>
      <c r="I62" s="7" t="s">
        <v>2356</v>
      </c>
      <c r="J62" s="7" t="str" cm="1">
        <f t="array" ref="J6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" s="7" t="s">
        <v>4768</v>
      </c>
    </row>
    <row r="63" spans="1:11">
      <c r="A63" s="7" t="s">
        <v>2411</v>
      </c>
      <c r="B63" s="11">
        <v>40971</v>
      </c>
      <c r="C63" s="7">
        <v>2012</v>
      </c>
      <c r="D63" s="7" t="s">
        <v>2412</v>
      </c>
      <c r="E63" s="7" t="s">
        <v>2257</v>
      </c>
      <c r="F63" s="7" t="s">
        <v>4602</v>
      </c>
      <c r="G63" s="7" t="s">
        <v>4581</v>
      </c>
      <c r="H63" s="12">
        <v>0.48</v>
      </c>
      <c r="I63" s="7" t="s">
        <v>2413</v>
      </c>
      <c r="J63" s="7" t="str" cm="1">
        <f t="array" ref="J6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3" s="7" t="s">
        <v>4768</v>
      </c>
    </row>
    <row r="64" spans="1:11">
      <c r="A64" s="7" t="s">
        <v>2414</v>
      </c>
      <c r="B64" s="11">
        <v>40973</v>
      </c>
      <c r="C64" s="7">
        <v>2012</v>
      </c>
      <c r="D64" s="7" t="s">
        <v>2415</v>
      </c>
      <c r="E64" s="7" t="s">
        <v>1608</v>
      </c>
      <c r="F64" s="7" t="s">
        <v>4598</v>
      </c>
      <c r="G64" s="7" t="s">
        <v>4578</v>
      </c>
      <c r="H64" s="12">
        <v>8.1300000000000008</v>
      </c>
      <c r="I64" s="7" t="s">
        <v>2251</v>
      </c>
      <c r="J64" s="7" t="str" cm="1">
        <f t="array" ref="J64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64" s="7" t="s">
        <v>4768</v>
      </c>
    </row>
    <row r="65" spans="1:11">
      <c r="A65" s="7" t="s">
        <v>2416</v>
      </c>
      <c r="B65" s="11">
        <v>40974</v>
      </c>
      <c r="C65" s="7">
        <v>2012</v>
      </c>
      <c r="D65" s="7" t="s">
        <v>2417</v>
      </c>
      <c r="E65" s="7" t="s">
        <v>130</v>
      </c>
      <c r="F65" s="7" t="s">
        <v>4598</v>
      </c>
      <c r="G65" s="7" t="s">
        <v>4580</v>
      </c>
      <c r="H65" s="12">
        <v>0.16</v>
      </c>
      <c r="I65" s="7" t="s">
        <v>2268</v>
      </c>
      <c r="J65" s="7" t="str" cm="1">
        <f t="array" ref="J6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5" s="7" t="s">
        <v>4768</v>
      </c>
    </row>
    <row r="66" spans="1:11">
      <c r="A66" s="7" t="s">
        <v>2418</v>
      </c>
      <c r="B66" s="11">
        <v>40974</v>
      </c>
      <c r="C66" s="7">
        <v>2012</v>
      </c>
      <c r="D66" s="7" t="s">
        <v>2419</v>
      </c>
      <c r="E66" s="7" t="s">
        <v>17</v>
      </c>
      <c r="F66" s="7" t="s">
        <v>4599</v>
      </c>
      <c r="G66" s="7" t="s">
        <v>4578</v>
      </c>
      <c r="H66" s="12">
        <v>0.01</v>
      </c>
      <c r="I66" s="7" t="s">
        <v>2420</v>
      </c>
      <c r="J66" s="7" t="str" cm="1">
        <f t="array" ref="J6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" s="7" t="s">
        <v>4768</v>
      </c>
    </row>
    <row r="67" spans="1:11">
      <c r="A67" s="7" t="s">
        <v>2421</v>
      </c>
      <c r="B67" s="11">
        <v>40983</v>
      </c>
      <c r="C67" s="7">
        <v>2012</v>
      </c>
      <c r="D67" s="7" t="s">
        <v>2422</v>
      </c>
      <c r="E67" s="7" t="s">
        <v>125</v>
      </c>
      <c r="F67" s="7" t="s">
        <v>4601</v>
      </c>
      <c r="G67" s="7" t="s">
        <v>4604</v>
      </c>
      <c r="H67" s="12">
        <v>1.1599999999999999</v>
      </c>
      <c r="I67" s="7" t="s">
        <v>2423</v>
      </c>
      <c r="J67" s="7" t="str" cm="1">
        <f t="array" ref="J6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7" s="7" t="s">
        <v>4768</v>
      </c>
    </row>
    <row r="68" spans="1:11">
      <c r="A68" s="7" t="s">
        <v>2424</v>
      </c>
      <c r="B68" s="11">
        <v>40990</v>
      </c>
      <c r="C68" s="7">
        <v>2012</v>
      </c>
      <c r="D68" s="7" t="s">
        <v>2425</v>
      </c>
      <c r="E68" s="7" t="s">
        <v>67</v>
      </c>
      <c r="F68" s="7" t="s">
        <v>4599</v>
      </c>
      <c r="G68" s="7" t="s">
        <v>4579</v>
      </c>
      <c r="H68" s="12">
        <v>7.0000000000000007E-2</v>
      </c>
      <c r="I68" s="7" t="s">
        <v>2426</v>
      </c>
      <c r="J68" s="7" t="str" cm="1">
        <f t="array" ref="J6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8" s="7" t="s">
        <v>4768</v>
      </c>
    </row>
    <row r="69" spans="1:11">
      <c r="A69" s="7" t="s">
        <v>2427</v>
      </c>
      <c r="B69" s="11">
        <v>40992</v>
      </c>
      <c r="C69" s="7">
        <v>2012</v>
      </c>
      <c r="D69" s="7" t="s">
        <v>2428</v>
      </c>
      <c r="E69" s="7" t="s">
        <v>130</v>
      </c>
      <c r="F69" s="7" t="s">
        <v>4599</v>
      </c>
      <c r="G69" s="7" t="s">
        <v>4579</v>
      </c>
      <c r="H69" s="12">
        <v>0.02</v>
      </c>
      <c r="I69" s="7" t="s">
        <v>2426</v>
      </c>
      <c r="J69" s="7" t="str" cm="1">
        <f t="array" ref="J6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" s="7" t="s">
        <v>4768</v>
      </c>
    </row>
    <row r="70" spans="1:11">
      <c r="A70" s="7" t="s">
        <v>2429</v>
      </c>
      <c r="B70" s="11">
        <v>41008</v>
      </c>
      <c r="C70" s="7">
        <v>2012</v>
      </c>
      <c r="D70" s="7" t="s">
        <v>2430</v>
      </c>
      <c r="E70" s="7" t="s">
        <v>2324</v>
      </c>
      <c r="F70" s="7" t="s">
        <v>4598</v>
      </c>
      <c r="G70" s="7" t="s">
        <v>4580</v>
      </c>
      <c r="H70" s="12">
        <v>2.1</v>
      </c>
      <c r="I70" s="7" t="s">
        <v>2268</v>
      </c>
      <c r="J70" s="7" t="str" cm="1">
        <f t="array" ref="J7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70" s="7" t="s">
        <v>4768</v>
      </c>
    </row>
    <row r="71" spans="1:11">
      <c r="A71" s="7" t="s">
        <v>2431</v>
      </c>
      <c r="B71" s="11">
        <v>41009</v>
      </c>
      <c r="C71" s="7">
        <v>2012</v>
      </c>
      <c r="D71" s="7" t="s">
        <v>2432</v>
      </c>
      <c r="E71" s="7" t="s">
        <v>2301</v>
      </c>
      <c r="F71" s="7" t="s">
        <v>4598</v>
      </c>
      <c r="G71" s="7" t="s">
        <v>4582</v>
      </c>
      <c r="H71" s="12">
        <v>0.04</v>
      </c>
      <c r="I71" s="7" t="s">
        <v>2356</v>
      </c>
      <c r="J71" s="7" t="str" cm="1">
        <f t="array" ref="J7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1" s="7" t="s">
        <v>4768</v>
      </c>
    </row>
    <row r="72" spans="1:11">
      <c r="A72" s="7" t="s">
        <v>2433</v>
      </c>
      <c r="B72" s="11">
        <v>41031</v>
      </c>
      <c r="C72" s="7">
        <v>2012</v>
      </c>
      <c r="D72" s="7" t="s">
        <v>2434</v>
      </c>
      <c r="E72" s="7" t="s">
        <v>38</v>
      </c>
      <c r="F72" s="7" t="s">
        <v>4599</v>
      </c>
      <c r="G72" s="7" t="s">
        <v>4583</v>
      </c>
      <c r="H72" s="12">
        <v>6.98</v>
      </c>
      <c r="I72" s="7" t="s">
        <v>2279</v>
      </c>
      <c r="J72" s="7" t="str" cm="1">
        <f t="array" ref="J72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72" s="7" t="s">
        <v>4768</v>
      </c>
    </row>
    <row r="73" spans="1:11">
      <c r="A73" s="7" t="s">
        <v>2435</v>
      </c>
      <c r="B73" s="11">
        <v>41033</v>
      </c>
      <c r="C73" s="7">
        <v>2012</v>
      </c>
      <c r="D73" s="7" t="s">
        <v>2436</v>
      </c>
      <c r="E73" s="7" t="s">
        <v>1608</v>
      </c>
      <c r="F73" s="7" t="s">
        <v>4598</v>
      </c>
      <c r="G73" s="7" t="s">
        <v>4578</v>
      </c>
      <c r="H73" s="12">
        <v>0.33</v>
      </c>
      <c r="I73" s="7" t="s">
        <v>2251</v>
      </c>
      <c r="J73" s="7" t="str" cm="1">
        <f t="array" ref="J7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3" s="7" t="s">
        <v>4768</v>
      </c>
    </row>
    <row r="74" spans="1:11">
      <c r="A74" s="7" t="s">
        <v>2437</v>
      </c>
      <c r="B74" s="11">
        <v>41037</v>
      </c>
      <c r="C74" s="7">
        <v>2012</v>
      </c>
      <c r="D74" s="7" t="s">
        <v>2438</v>
      </c>
      <c r="E74" s="7" t="s">
        <v>1403</v>
      </c>
      <c r="F74" s="7" t="s">
        <v>4598</v>
      </c>
      <c r="G74" s="7" t="s">
        <v>4580</v>
      </c>
      <c r="H74" s="12">
        <v>0.12</v>
      </c>
      <c r="I74" s="7" t="s">
        <v>2268</v>
      </c>
      <c r="J74" s="7" t="str" cm="1">
        <f t="array" ref="J7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4" s="7" t="s">
        <v>4768</v>
      </c>
    </row>
    <row r="75" spans="1:11">
      <c r="A75" s="7" t="s">
        <v>2439</v>
      </c>
      <c r="B75" s="11">
        <v>41043</v>
      </c>
      <c r="C75" s="7">
        <v>2012</v>
      </c>
      <c r="D75" s="7" t="s">
        <v>2358</v>
      </c>
      <c r="E75" s="7" t="s">
        <v>2440</v>
      </c>
      <c r="F75" s="7" t="s">
        <v>4602</v>
      </c>
      <c r="G75" s="7" t="s">
        <v>4581</v>
      </c>
      <c r="H75" s="12">
        <v>0.15</v>
      </c>
      <c r="I75" s="7" t="s">
        <v>2413</v>
      </c>
      <c r="J75" s="7" t="str" cm="1">
        <f t="array" ref="J7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5" s="7" t="s">
        <v>4768</v>
      </c>
    </row>
    <row r="76" spans="1:11">
      <c r="A76" s="7" t="s">
        <v>2441</v>
      </c>
      <c r="B76" s="11">
        <v>41044</v>
      </c>
      <c r="C76" s="7">
        <v>2012</v>
      </c>
      <c r="D76" s="7" t="s">
        <v>2442</v>
      </c>
      <c r="E76" s="7" t="s">
        <v>1365</v>
      </c>
      <c r="F76" s="7" t="s">
        <v>4601</v>
      </c>
      <c r="G76" s="7" t="s">
        <v>4586</v>
      </c>
      <c r="H76" s="12">
        <v>0.13</v>
      </c>
      <c r="I76" s="7" t="s">
        <v>2443</v>
      </c>
      <c r="J76" s="7" t="str" cm="1">
        <f t="array" ref="J7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6" s="7" t="s">
        <v>4768</v>
      </c>
    </row>
    <row r="77" spans="1:11">
      <c r="A77" s="7" t="s">
        <v>2444</v>
      </c>
      <c r="B77" s="11">
        <v>41056</v>
      </c>
      <c r="C77" s="7">
        <v>2012</v>
      </c>
      <c r="D77" s="7" t="s">
        <v>2445</v>
      </c>
      <c r="E77" s="7" t="s">
        <v>31</v>
      </c>
      <c r="F77" s="7" t="s">
        <v>4598</v>
      </c>
      <c r="G77" s="7" t="s">
        <v>4580</v>
      </c>
      <c r="H77" s="12">
        <v>0.15</v>
      </c>
      <c r="I77" s="7" t="s">
        <v>2268</v>
      </c>
      <c r="J77" s="7" t="str" cm="1">
        <f t="array" ref="J7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7" s="7" t="s">
        <v>4768</v>
      </c>
    </row>
    <row r="78" spans="1:11">
      <c r="A78" s="7" t="s">
        <v>2446</v>
      </c>
      <c r="B78" s="11">
        <v>41076</v>
      </c>
      <c r="C78" s="7">
        <v>2012</v>
      </c>
      <c r="D78" s="7" t="s">
        <v>2447</v>
      </c>
      <c r="E78" s="7" t="s">
        <v>31</v>
      </c>
      <c r="F78" s="7" t="s">
        <v>4599</v>
      </c>
      <c r="G78" s="7" t="s">
        <v>4585</v>
      </c>
      <c r="H78" s="12">
        <v>0.86</v>
      </c>
      <c r="I78" s="7" t="s">
        <v>2333</v>
      </c>
      <c r="J78" s="7" t="str" cm="1">
        <f t="array" ref="J7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8" s="7" t="s">
        <v>4768</v>
      </c>
    </row>
    <row r="79" spans="1:11">
      <c r="A79" s="7" t="s">
        <v>2448</v>
      </c>
      <c r="B79" s="11">
        <v>41096</v>
      </c>
      <c r="C79" s="7">
        <v>2012</v>
      </c>
      <c r="D79" s="7" t="s">
        <v>2449</v>
      </c>
      <c r="E79" s="7" t="s">
        <v>2324</v>
      </c>
      <c r="F79" s="7" t="s">
        <v>4598</v>
      </c>
      <c r="G79" s="7" t="s">
        <v>4580</v>
      </c>
      <c r="H79" s="12">
        <v>0.47</v>
      </c>
      <c r="I79" s="7" t="s">
        <v>2268</v>
      </c>
      <c r="J79" s="7" t="str" cm="1">
        <f t="array" ref="J7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9" s="7" t="s">
        <v>4768</v>
      </c>
    </row>
    <row r="80" spans="1:11">
      <c r="A80" s="7" t="s">
        <v>2450</v>
      </c>
      <c r="B80" s="11">
        <v>41096</v>
      </c>
      <c r="C80" s="7">
        <v>2012</v>
      </c>
      <c r="D80" s="7" t="s">
        <v>2451</v>
      </c>
      <c r="E80" s="7" t="s">
        <v>23</v>
      </c>
      <c r="F80" s="7" t="s">
        <v>4598</v>
      </c>
      <c r="G80" s="7" t="s">
        <v>4579</v>
      </c>
      <c r="H80" s="12">
        <v>0.01</v>
      </c>
      <c r="I80" s="7" t="s">
        <v>2374</v>
      </c>
      <c r="J80" s="7" t="str" cm="1">
        <f t="array" ref="J8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0" s="7" t="s">
        <v>4768</v>
      </c>
    </row>
    <row r="81" spans="1:11">
      <c r="A81" s="7" t="s">
        <v>2452</v>
      </c>
      <c r="B81" s="11">
        <v>41101</v>
      </c>
      <c r="C81" s="7">
        <v>2012</v>
      </c>
      <c r="D81" s="7" t="s">
        <v>2453</v>
      </c>
      <c r="E81" s="7" t="s">
        <v>2301</v>
      </c>
      <c r="F81" s="7" t="s">
        <v>4598</v>
      </c>
      <c r="G81" s="7" t="s">
        <v>4587</v>
      </c>
      <c r="H81" s="12">
        <v>0.01</v>
      </c>
      <c r="I81" s="7" t="s">
        <v>2285</v>
      </c>
      <c r="J81" s="7" t="str" cm="1">
        <f t="array" ref="J8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1" s="7" t="s">
        <v>4768</v>
      </c>
    </row>
    <row r="82" spans="1:11">
      <c r="A82" s="7" t="s">
        <v>2454</v>
      </c>
      <c r="B82" s="11">
        <v>41112</v>
      </c>
      <c r="C82" s="7">
        <v>2012</v>
      </c>
      <c r="D82" s="7" t="s">
        <v>2455</v>
      </c>
      <c r="E82" s="7" t="s">
        <v>2301</v>
      </c>
      <c r="F82" s="7" t="s">
        <v>4598</v>
      </c>
      <c r="G82" s="7" t="s">
        <v>4578</v>
      </c>
      <c r="H82" s="12">
        <v>0.68</v>
      </c>
      <c r="I82" s="7" t="s">
        <v>2251</v>
      </c>
      <c r="J82" s="7" t="str" cm="1">
        <f t="array" ref="J8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2" s="7" t="s">
        <v>4768</v>
      </c>
    </row>
    <row r="83" spans="1:11">
      <c r="A83" s="7" t="s">
        <v>2456</v>
      </c>
      <c r="B83" s="11">
        <v>41113</v>
      </c>
      <c r="C83" s="7">
        <v>2012</v>
      </c>
      <c r="D83" s="7" t="s">
        <v>2457</v>
      </c>
      <c r="E83" s="7" t="s">
        <v>2254</v>
      </c>
      <c r="F83" s="7" t="s">
        <v>4599</v>
      </c>
      <c r="G83" s="7" t="s">
        <v>4605</v>
      </c>
      <c r="H83" s="12">
        <v>0.43</v>
      </c>
      <c r="I83" s="7" t="s">
        <v>2458</v>
      </c>
      <c r="J83" s="7" t="str" cm="1">
        <f t="array" ref="J8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3" s="7" t="s">
        <v>4768</v>
      </c>
    </row>
    <row r="84" spans="1:11">
      <c r="A84" s="7" t="s">
        <v>2459</v>
      </c>
      <c r="B84" s="11">
        <v>41135</v>
      </c>
      <c r="C84" s="7">
        <v>2012</v>
      </c>
      <c r="D84" s="7" t="s">
        <v>2460</v>
      </c>
      <c r="E84" s="7" t="s">
        <v>146</v>
      </c>
      <c r="F84" s="7" t="s">
        <v>4598</v>
      </c>
      <c r="G84" s="7" t="s">
        <v>4578</v>
      </c>
      <c r="H84" s="12">
        <v>0.02</v>
      </c>
      <c r="I84" s="7" t="s">
        <v>2251</v>
      </c>
      <c r="J84" s="7" t="str" cm="1">
        <f t="array" ref="J8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4" s="7" t="s">
        <v>4768</v>
      </c>
    </row>
    <row r="85" spans="1:11">
      <c r="A85" s="7" t="s">
        <v>2461</v>
      </c>
      <c r="B85" s="11">
        <v>41145</v>
      </c>
      <c r="C85" s="7">
        <v>2012</v>
      </c>
      <c r="D85" s="7" t="s">
        <v>2462</v>
      </c>
      <c r="E85" s="7" t="s">
        <v>42</v>
      </c>
      <c r="F85" s="7" t="s">
        <v>4598</v>
      </c>
      <c r="G85" s="7" t="s">
        <v>4584</v>
      </c>
      <c r="H85" s="12">
        <v>1.34</v>
      </c>
      <c r="I85" s="7" t="s">
        <v>2258</v>
      </c>
      <c r="J85" s="7" t="str" cm="1">
        <f t="array" ref="J8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85" s="7" t="s">
        <v>4768</v>
      </c>
    </row>
    <row r="86" spans="1:11">
      <c r="A86" s="7" t="s">
        <v>2463</v>
      </c>
      <c r="B86" s="11">
        <v>41147</v>
      </c>
      <c r="C86" s="7">
        <v>2012</v>
      </c>
      <c r="D86" s="7" t="s">
        <v>2464</v>
      </c>
      <c r="E86" s="7" t="s">
        <v>23</v>
      </c>
      <c r="F86" s="7" t="s">
        <v>4598</v>
      </c>
      <c r="G86" s="7" t="s">
        <v>4605</v>
      </c>
      <c r="H86" s="12">
        <v>0.09</v>
      </c>
      <c r="I86" s="7" t="s">
        <v>2465</v>
      </c>
      <c r="J86" s="7" t="str" cm="1">
        <f t="array" ref="J8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6" s="7" t="s">
        <v>4768</v>
      </c>
    </row>
    <row r="87" spans="1:11">
      <c r="A87" s="7" t="s">
        <v>2466</v>
      </c>
      <c r="B87" s="11">
        <v>41147</v>
      </c>
      <c r="C87" s="7">
        <v>2012</v>
      </c>
      <c r="D87" s="7" t="s">
        <v>2467</v>
      </c>
      <c r="E87" s="7" t="s">
        <v>125</v>
      </c>
      <c r="F87" s="7" t="s">
        <v>4599</v>
      </c>
      <c r="G87" s="7" t="s">
        <v>4580</v>
      </c>
      <c r="H87" s="12">
        <v>0.01</v>
      </c>
      <c r="I87" s="7" t="s">
        <v>2261</v>
      </c>
      <c r="J87" s="7" t="str" cm="1">
        <f t="array" ref="J8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7" s="7" t="s">
        <v>4768</v>
      </c>
    </row>
    <row r="88" spans="1:11">
      <c r="A88" s="7" t="s">
        <v>2468</v>
      </c>
      <c r="B88" s="11">
        <v>41147</v>
      </c>
      <c r="C88" s="7">
        <v>2012</v>
      </c>
      <c r="D88" s="7" t="s">
        <v>2469</v>
      </c>
      <c r="E88" s="7" t="s">
        <v>2264</v>
      </c>
      <c r="F88" s="7" t="s">
        <v>4599</v>
      </c>
      <c r="G88" s="7" t="s">
        <v>4582</v>
      </c>
      <c r="H88" s="12">
        <v>0.89</v>
      </c>
      <c r="I88" s="7" t="s">
        <v>2288</v>
      </c>
      <c r="J88" s="7" t="str" cm="1">
        <f t="array" ref="J8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8" s="7" t="s">
        <v>4768</v>
      </c>
    </row>
    <row r="89" spans="1:11">
      <c r="A89" s="7" t="s">
        <v>2470</v>
      </c>
      <c r="B89" s="11">
        <v>41160</v>
      </c>
      <c r="C89" s="7">
        <v>2012</v>
      </c>
      <c r="D89" s="7" t="s">
        <v>2471</v>
      </c>
      <c r="E89" s="7" t="s">
        <v>38</v>
      </c>
      <c r="F89" s="7" t="s">
        <v>4601</v>
      </c>
      <c r="G89" s="7" t="s">
        <v>4580</v>
      </c>
      <c r="H89" s="12">
        <v>0.5</v>
      </c>
      <c r="I89" s="7" t="s">
        <v>2472</v>
      </c>
      <c r="J89" s="7" t="str" cm="1">
        <f t="array" ref="J8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89" s="7" t="s">
        <v>4768</v>
      </c>
    </row>
    <row r="90" spans="1:11">
      <c r="A90" s="7" t="s">
        <v>2473</v>
      </c>
      <c r="B90" s="11">
        <v>41167</v>
      </c>
      <c r="C90" s="7">
        <v>2012</v>
      </c>
      <c r="D90" s="7" t="s">
        <v>2474</v>
      </c>
      <c r="E90" s="7" t="s">
        <v>1403</v>
      </c>
      <c r="F90" s="7" t="s">
        <v>4599</v>
      </c>
      <c r="G90" s="7" t="s">
        <v>4583</v>
      </c>
      <c r="H90" s="12">
        <v>1.1599999999999999</v>
      </c>
      <c r="I90" s="7" t="s">
        <v>2279</v>
      </c>
      <c r="J90" s="7" t="str" cm="1">
        <f t="array" ref="J9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90" s="7" t="s">
        <v>4768</v>
      </c>
    </row>
    <row r="91" spans="1:11">
      <c r="A91" s="7" t="s">
        <v>2475</v>
      </c>
      <c r="B91" s="11">
        <v>41209</v>
      </c>
      <c r="C91" s="7">
        <v>2012</v>
      </c>
      <c r="D91" s="7" t="s">
        <v>2386</v>
      </c>
      <c r="E91" s="7" t="s">
        <v>17</v>
      </c>
      <c r="F91" s="7" t="s">
        <v>4602</v>
      </c>
      <c r="G91" s="7" t="s">
        <v>4586</v>
      </c>
      <c r="H91" s="12">
        <v>0.18</v>
      </c>
      <c r="I91" s="7" t="s">
        <v>2476</v>
      </c>
      <c r="J91" s="7" t="str" cm="1">
        <f t="array" ref="J9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91" s="7" t="s">
        <v>4768</v>
      </c>
    </row>
    <row r="92" spans="1:11">
      <c r="A92" s="7" t="s">
        <v>2477</v>
      </c>
      <c r="B92" s="11">
        <v>41224</v>
      </c>
      <c r="C92" s="7">
        <v>2012</v>
      </c>
      <c r="D92" s="7" t="s">
        <v>2478</v>
      </c>
      <c r="E92" s="7" t="s">
        <v>1610</v>
      </c>
      <c r="F92" s="7" t="s">
        <v>4598</v>
      </c>
      <c r="G92" s="7" t="s">
        <v>4587</v>
      </c>
      <c r="H92" s="12">
        <v>0.31</v>
      </c>
      <c r="I92" s="7" t="s">
        <v>2285</v>
      </c>
      <c r="J92" s="7" t="str" cm="1">
        <f t="array" ref="J9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92" s="7" t="s">
        <v>4768</v>
      </c>
    </row>
    <row r="93" spans="1:11">
      <c r="A93" s="7" t="s">
        <v>2479</v>
      </c>
      <c r="B93" s="11">
        <v>41225</v>
      </c>
      <c r="C93" s="7">
        <v>2012</v>
      </c>
      <c r="D93" s="7" t="s">
        <v>2480</v>
      </c>
      <c r="E93" s="7" t="s">
        <v>2293</v>
      </c>
      <c r="F93" s="7" t="s">
        <v>4602</v>
      </c>
      <c r="G93" s="7" t="s">
        <v>4581</v>
      </c>
      <c r="H93" s="12">
        <v>0.42</v>
      </c>
      <c r="I93" s="7" t="s">
        <v>2413</v>
      </c>
      <c r="J93" s="7" t="str" cm="1">
        <f t="array" ref="J9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93" s="7" t="s">
        <v>4768</v>
      </c>
    </row>
    <row r="94" spans="1:11">
      <c r="A94" s="7" t="s">
        <v>2481</v>
      </c>
      <c r="B94" s="11">
        <v>41230</v>
      </c>
      <c r="C94" s="7">
        <v>2012</v>
      </c>
      <c r="D94" s="7" t="s">
        <v>2482</v>
      </c>
      <c r="E94" s="7" t="s">
        <v>38</v>
      </c>
      <c r="F94" s="7" t="s">
        <v>4598</v>
      </c>
      <c r="G94" s="7" t="s">
        <v>4580</v>
      </c>
      <c r="H94" s="12">
        <v>0.66</v>
      </c>
      <c r="I94" s="7" t="s">
        <v>2268</v>
      </c>
      <c r="J94" s="7" t="str" cm="1">
        <f t="array" ref="J9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94" s="7" t="s">
        <v>4768</v>
      </c>
    </row>
    <row r="95" spans="1:11">
      <c r="A95" s="7" t="s">
        <v>2483</v>
      </c>
      <c r="B95" s="11">
        <v>41251</v>
      </c>
      <c r="C95" s="7">
        <v>2012</v>
      </c>
      <c r="D95" s="7" t="s">
        <v>2484</v>
      </c>
      <c r="E95" s="7" t="s">
        <v>2282</v>
      </c>
      <c r="F95" s="7" t="s">
        <v>4598</v>
      </c>
      <c r="G95" s="7" t="s">
        <v>4583</v>
      </c>
      <c r="H95" s="12">
        <v>0.04</v>
      </c>
      <c r="I95" s="7" t="s">
        <v>2363</v>
      </c>
      <c r="J95" s="7" t="str" cm="1">
        <f t="array" ref="J9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95" s="7" t="s">
        <v>4768</v>
      </c>
    </row>
    <row r="96" spans="1:11">
      <c r="A96" s="7" t="s">
        <v>2485</v>
      </c>
      <c r="B96" s="11">
        <v>41255</v>
      </c>
      <c r="C96" s="7">
        <v>2012</v>
      </c>
      <c r="D96" s="7" t="s">
        <v>2486</v>
      </c>
      <c r="E96" s="7" t="s">
        <v>31</v>
      </c>
      <c r="F96" s="7" t="s">
        <v>4599</v>
      </c>
      <c r="G96" s="7" t="s">
        <v>4580</v>
      </c>
      <c r="H96" s="12">
        <v>0.38</v>
      </c>
      <c r="I96" s="7" t="s">
        <v>2261</v>
      </c>
      <c r="J96" s="7" t="str" cm="1">
        <f t="array" ref="J9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96" s="7" t="s">
        <v>4768</v>
      </c>
    </row>
    <row r="97" spans="1:11">
      <c r="A97" s="7" t="s">
        <v>2487</v>
      </c>
      <c r="B97" s="11">
        <v>41269</v>
      </c>
      <c r="C97" s="7">
        <v>2012</v>
      </c>
      <c r="D97" s="7" t="s">
        <v>2488</v>
      </c>
      <c r="E97" s="7" t="s">
        <v>2257</v>
      </c>
      <c r="F97" s="7" t="s">
        <v>4598</v>
      </c>
      <c r="G97" s="7" t="s">
        <v>4582</v>
      </c>
      <c r="H97" s="12">
        <v>0.02</v>
      </c>
      <c r="I97" s="7" t="s">
        <v>2356</v>
      </c>
      <c r="J97" s="7" t="str" cm="1">
        <f t="array" ref="J9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97" s="7" t="s">
        <v>4768</v>
      </c>
    </row>
    <row r="98" spans="1:11">
      <c r="A98" s="7" t="s">
        <v>2489</v>
      </c>
      <c r="B98" s="11">
        <v>41271</v>
      </c>
      <c r="C98" s="7">
        <v>2012</v>
      </c>
      <c r="D98" s="7" t="s">
        <v>2490</v>
      </c>
      <c r="E98" s="7" t="s">
        <v>2491</v>
      </c>
      <c r="F98" s="7" t="s">
        <v>4598</v>
      </c>
      <c r="G98" s="7" t="s">
        <v>4582</v>
      </c>
      <c r="H98" s="12">
        <v>18</v>
      </c>
      <c r="I98" s="7" t="s">
        <v>2492</v>
      </c>
      <c r="J98" s="7" t="str" cm="1">
        <f t="array" ref="J98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98" s="7" t="s">
        <v>4743</v>
      </c>
    </row>
    <row r="99" spans="1:11">
      <c r="A99" s="7" t="s">
        <v>2493</v>
      </c>
      <c r="B99" s="11">
        <v>41295</v>
      </c>
      <c r="C99" s="7">
        <v>2013</v>
      </c>
      <c r="D99" s="7" t="s">
        <v>2494</v>
      </c>
      <c r="E99" s="7" t="s">
        <v>2264</v>
      </c>
      <c r="F99" s="7" t="s">
        <v>4598</v>
      </c>
      <c r="G99" s="7" t="s">
        <v>4578</v>
      </c>
      <c r="H99" s="12">
        <v>0.02</v>
      </c>
      <c r="I99" s="7" t="s">
        <v>2251</v>
      </c>
      <c r="J99" s="7" t="str" cm="1">
        <f t="array" ref="J9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99" s="7" t="s">
        <v>4768</v>
      </c>
    </row>
    <row r="100" spans="1:11">
      <c r="A100" s="7" t="s">
        <v>2495</v>
      </c>
      <c r="B100" s="11">
        <v>41307</v>
      </c>
      <c r="C100" s="7">
        <v>2013</v>
      </c>
      <c r="D100" s="7" t="s">
        <v>2496</v>
      </c>
      <c r="E100" s="7" t="s">
        <v>215</v>
      </c>
      <c r="F100" s="7" t="s">
        <v>4599</v>
      </c>
      <c r="G100" s="7" t="s">
        <v>4580</v>
      </c>
      <c r="H100" s="12">
        <v>0.24</v>
      </c>
      <c r="I100" s="7" t="s">
        <v>2261</v>
      </c>
      <c r="J100" s="7" t="str" cm="1">
        <f t="array" ref="J10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00" s="7" t="s">
        <v>4768</v>
      </c>
    </row>
    <row r="101" spans="1:11">
      <c r="A101" s="7" t="s">
        <v>2497</v>
      </c>
      <c r="B101" s="11">
        <v>41313</v>
      </c>
      <c r="C101" s="7">
        <v>2013</v>
      </c>
      <c r="D101" s="7" t="s">
        <v>2498</v>
      </c>
      <c r="E101" s="7" t="s">
        <v>38</v>
      </c>
      <c r="F101" s="7" t="s">
        <v>4598</v>
      </c>
      <c r="G101" s="7" t="s">
        <v>4585</v>
      </c>
      <c r="H101" s="12">
        <v>13.22</v>
      </c>
      <c r="I101" s="7" t="s">
        <v>2316</v>
      </c>
      <c r="J101" s="7" t="str" cm="1">
        <f t="array" ref="J101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101" s="7" t="s">
        <v>4768</v>
      </c>
    </row>
    <row r="102" spans="1:11">
      <c r="A102" s="7" t="s">
        <v>2499</v>
      </c>
      <c r="B102" s="11">
        <v>41325</v>
      </c>
      <c r="C102" s="7">
        <v>2013</v>
      </c>
      <c r="D102" s="7" t="s">
        <v>2500</v>
      </c>
      <c r="E102" s="7" t="s">
        <v>304</v>
      </c>
      <c r="F102" s="7" t="s">
        <v>4602</v>
      </c>
      <c r="G102" s="7" t="s">
        <v>4578</v>
      </c>
      <c r="H102" s="12">
        <v>0.55000000000000004</v>
      </c>
      <c r="I102" s="7" t="s">
        <v>2501</v>
      </c>
      <c r="J102" s="7" t="str" cm="1">
        <f t="array" ref="J10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02" s="7" t="s">
        <v>4768</v>
      </c>
    </row>
    <row r="103" spans="1:11">
      <c r="A103" s="7" t="s">
        <v>2502</v>
      </c>
      <c r="B103" s="11">
        <v>41358</v>
      </c>
      <c r="C103" s="7">
        <v>2013</v>
      </c>
      <c r="D103" s="7" t="s">
        <v>2503</v>
      </c>
      <c r="E103" s="7" t="s">
        <v>17</v>
      </c>
      <c r="F103" s="7" t="s">
        <v>4598</v>
      </c>
      <c r="G103" s="7" t="s">
        <v>4587</v>
      </c>
      <c r="H103" s="12">
        <v>0.26</v>
      </c>
      <c r="I103" s="7" t="s">
        <v>2285</v>
      </c>
      <c r="J103" s="7" t="str" cm="1">
        <f t="array" ref="J10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03" s="7" t="s">
        <v>4768</v>
      </c>
    </row>
    <row r="104" spans="1:11">
      <c r="A104" s="7" t="s">
        <v>2504</v>
      </c>
      <c r="B104" s="11">
        <v>41382</v>
      </c>
      <c r="C104" s="7">
        <v>2013</v>
      </c>
      <c r="D104" s="7" t="s">
        <v>2505</v>
      </c>
      <c r="E104" s="7" t="s">
        <v>31</v>
      </c>
      <c r="F104" s="7" t="s">
        <v>4599</v>
      </c>
      <c r="G104" s="7" t="s">
        <v>4578</v>
      </c>
      <c r="H104" s="12">
        <v>0.02</v>
      </c>
      <c r="I104" s="7" t="s">
        <v>2420</v>
      </c>
      <c r="J104" s="7" t="str" cm="1">
        <f t="array" ref="J10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04" s="7" t="s">
        <v>4768</v>
      </c>
    </row>
    <row r="105" spans="1:11">
      <c r="A105" s="7" t="s">
        <v>2506</v>
      </c>
      <c r="B105" s="11">
        <v>41382</v>
      </c>
      <c r="C105" s="7">
        <v>2013</v>
      </c>
      <c r="D105" s="7" t="s">
        <v>2507</v>
      </c>
      <c r="E105" s="7" t="s">
        <v>1608</v>
      </c>
      <c r="F105" s="7" t="s">
        <v>4598</v>
      </c>
      <c r="G105" s="7" t="s">
        <v>4587</v>
      </c>
      <c r="H105" s="12">
        <v>0.08</v>
      </c>
      <c r="I105" s="7" t="s">
        <v>2285</v>
      </c>
      <c r="J105" s="7" t="str" cm="1">
        <f t="array" ref="J10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05" s="7" t="s">
        <v>4768</v>
      </c>
    </row>
    <row r="106" spans="1:11">
      <c r="A106" s="7" t="s">
        <v>2508</v>
      </c>
      <c r="B106" s="11">
        <v>41415</v>
      </c>
      <c r="C106" s="7">
        <v>2013</v>
      </c>
      <c r="D106" s="7" t="s">
        <v>2509</v>
      </c>
      <c r="E106" s="7" t="s">
        <v>1365</v>
      </c>
      <c r="F106" s="7" t="s">
        <v>4602</v>
      </c>
      <c r="G106" s="7" t="s">
        <v>4580</v>
      </c>
      <c r="H106" s="12">
        <v>0.02</v>
      </c>
      <c r="I106" s="7" t="s">
        <v>2510</v>
      </c>
      <c r="J106" s="7" t="str" cm="1">
        <f t="array" ref="J10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06" s="7" t="s">
        <v>4768</v>
      </c>
    </row>
    <row r="107" spans="1:11">
      <c r="A107" s="7" t="s">
        <v>2511</v>
      </c>
      <c r="B107" s="11">
        <v>41415</v>
      </c>
      <c r="C107" s="7">
        <v>2013</v>
      </c>
      <c r="D107" s="7" t="s">
        <v>2512</v>
      </c>
      <c r="E107" s="7" t="s">
        <v>215</v>
      </c>
      <c r="F107" s="7" t="s">
        <v>4598</v>
      </c>
      <c r="G107" s="7" t="s">
        <v>4585</v>
      </c>
      <c r="H107" s="12">
        <v>1.41</v>
      </c>
      <c r="I107" s="7" t="s">
        <v>2316</v>
      </c>
      <c r="J107" s="7" t="str" cm="1">
        <f t="array" ref="J10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07" s="7" t="s">
        <v>4768</v>
      </c>
    </row>
    <row r="108" spans="1:11">
      <c r="A108" s="7" t="s">
        <v>2513</v>
      </c>
      <c r="B108" s="11">
        <v>41416</v>
      </c>
      <c r="C108" s="7">
        <v>2013</v>
      </c>
      <c r="D108" s="7" t="s">
        <v>2514</v>
      </c>
      <c r="E108" s="7" t="s">
        <v>23</v>
      </c>
      <c r="F108" s="7" t="s">
        <v>4598</v>
      </c>
      <c r="G108" s="7" t="s">
        <v>4580</v>
      </c>
      <c r="H108" s="12">
        <v>0.09</v>
      </c>
      <c r="I108" s="7" t="s">
        <v>2268</v>
      </c>
      <c r="J108" s="7" t="str" cm="1">
        <f t="array" ref="J10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08" s="7" t="s">
        <v>4768</v>
      </c>
    </row>
    <row r="109" spans="1:11">
      <c r="A109" s="7" t="s">
        <v>2515</v>
      </c>
      <c r="B109" s="11">
        <v>41416</v>
      </c>
      <c r="C109" s="7">
        <v>2013</v>
      </c>
      <c r="D109" s="7" t="s">
        <v>2516</v>
      </c>
      <c r="E109" s="7" t="s">
        <v>2324</v>
      </c>
      <c r="F109" s="7" t="s">
        <v>4599</v>
      </c>
      <c r="G109" s="7" t="s">
        <v>4605</v>
      </c>
      <c r="H109" s="12">
        <v>0.03</v>
      </c>
      <c r="I109" s="7" t="s">
        <v>2458</v>
      </c>
      <c r="J109" s="7" t="str" cm="1">
        <f t="array" ref="J10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09" s="7" t="s">
        <v>4768</v>
      </c>
    </row>
    <row r="110" spans="1:11">
      <c r="A110" s="7" t="s">
        <v>2517</v>
      </c>
      <c r="B110" s="11">
        <v>41427</v>
      </c>
      <c r="C110" s="7">
        <v>2013</v>
      </c>
      <c r="D110" s="7" t="s">
        <v>2518</v>
      </c>
      <c r="E110" s="7" t="s">
        <v>1676</v>
      </c>
      <c r="F110" s="7" t="s">
        <v>4602</v>
      </c>
      <c r="G110" s="7" t="s">
        <v>4580</v>
      </c>
      <c r="H110" s="12">
        <v>1.07</v>
      </c>
      <c r="I110" s="7" t="s">
        <v>2510</v>
      </c>
      <c r="J110" s="7" t="str" cm="1">
        <f t="array" ref="J11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10" s="7" t="s">
        <v>4768</v>
      </c>
    </row>
    <row r="111" spans="1:11">
      <c r="A111" s="7" t="s">
        <v>2519</v>
      </c>
      <c r="B111" s="11">
        <v>41428</v>
      </c>
      <c r="C111" s="7">
        <v>2013</v>
      </c>
      <c r="D111" s="7" t="s">
        <v>2520</v>
      </c>
      <c r="E111" s="7" t="s">
        <v>1365</v>
      </c>
      <c r="F111" s="7" t="s">
        <v>4598</v>
      </c>
      <c r="G111" s="7" t="s">
        <v>4580</v>
      </c>
      <c r="H111" s="12">
        <v>0.13</v>
      </c>
      <c r="I111" s="7" t="s">
        <v>2268</v>
      </c>
      <c r="J111" s="7" t="str" cm="1">
        <f t="array" ref="J11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11" s="7" t="s">
        <v>4768</v>
      </c>
    </row>
    <row r="112" spans="1:11">
      <c r="A112" s="7" t="s">
        <v>2521</v>
      </c>
      <c r="B112" s="11">
        <v>41447</v>
      </c>
      <c r="C112" s="7">
        <v>2013</v>
      </c>
      <c r="D112" s="7" t="s">
        <v>2522</v>
      </c>
      <c r="E112" s="7" t="s">
        <v>1403</v>
      </c>
      <c r="F112" s="7" t="s">
        <v>4598</v>
      </c>
      <c r="G112" s="7" t="s">
        <v>4580</v>
      </c>
      <c r="H112" s="12">
        <v>0.02</v>
      </c>
      <c r="I112" s="7" t="s">
        <v>2268</v>
      </c>
      <c r="J112" s="7" t="str" cm="1">
        <f t="array" ref="J11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12" s="7" t="s">
        <v>4768</v>
      </c>
    </row>
    <row r="113" spans="1:11">
      <c r="A113" s="7" t="s">
        <v>2523</v>
      </c>
      <c r="B113" s="11">
        <v>41447</v>
      </c>
      <c r="C113" s="7">
        <v>2013</v>
      </c>
      <c r="D113" s="7" t="s">
        <v>2524</v>
      </c>
      <c r="E113" s="7" t="s">
        <v>2321</v>
      </c>
      <c r="F113" s="7" t="s">
        <v>4600</v>
      </c>
      <c r="G113" s="7" t="s">
        <v>4580</v>
      </c>
      <c r="H113" s="12">
        <v>3.91</v>
      </c>
      <c r="I113" s="7" t="s">
        <v>2525</v>
      </c>
      <c r="J113" s="7" t="str" cm="1">
        <f t="array" ref="J113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13" s="7" t="s">
        <v>4768</v>
      </c>
    </row>
    <row r="114" spans="1:11">
      <c r="A114" s="7" t="s">
        <v>2526</v>
      </c>
      <c r="B114" s="11">
        <v>41466</v>
      </c>
      <c r="C114" s="7">
        <v>2013</v>
      </c>
      <c r="D114" s="7" t="s">
        <v>2527</v>
      </c>
      <c r="E114" s="7" t="s">
        <v>146</v>
      </c>
      <c r="F114" s="7" t="s">
        <v>4599</v>
      </c>
      <c r="G114" s="7" t="s">
        <v>4580</v>
      </c>
      <c r="H114" s="12">
        <v>0.63</v>
      </c>
      <c r="I114" s="7" t="s">
        <v>2261</v>
      </c>
      <c r="J114" s="7" t="str" cm="1">
        <f t="array" ref="J11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14" s="7" t="s">
        <v>4768</v>
      </c>
    </row>
    <row r="115" spans="1:11">
      <c r="A115" s="7" t="s">
        <v>2528</v>
      </c>
      <c r="B115" s="11">
        <v>41494</v>
      </c>
      <c r="C115" s="7">
        <v>2013</v>
      </c>
      <c r="D115" s="7" t="s">
        <v>2442</v>
      </c>
      <c r="E115" s="7" t="s">
        <v>31</v>
      </c>
      <c r="F115" s="7" t="s">
        <v>4598</v>
      </c>
      <c r="G115" s="7" t="s">
        <v>4580</v>
      </c>
      <c r="H115" s="12">
        <v>1.83</v>
      </c>
      <c r="I115" s="7" t="s">
        <v>2268</v>
      </c>
      <c r="J115" s="7" t="str" cm="1">
        <f t="array" ref="J11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15" s="7" t="s">
        <v>4768</v>
      </c>
    </row>
    <row r="116" spans="1:11">
      <c r="A116" s="7" t="s">
        <v>2529</v>
      </c>
      <c r="B116" s="11">
        <v>41497</v>
      </c>
      <c r="C116" s="7">
        <v>2013</v>
      </c>
      <c r="D116" s="7" t="s">
        <v>2530</v>
      </c>
      <c r="E116" s="7" t="s">
        <v>146</v>
      </c>
      <c r="F116" s="7" t="s">
        <v>4602</v>
      </c>
      <c r="G116" s="7" t="s">
        <v>4605</v>
      </c>
      <c r="H116" s="12">
        <v>0.01</v>
      </c>
      <c r="I116" s="7" t="s">
        <v>2351</v>
      </c>
      <c r="J116" s="7" t="str" cm="1">
        <f t="array" ref="J11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16" s="7" t="s">
        <v>4768</v>
      </c>
    </row>
    <row r="117" spans="1:11">
      <c r="A117" s="7" t="s">
        <v>2531</v>
      </c>
      <c r="B117" s="11">
        <v>41499</v>
      </c>
      <c r="C117" s="7">
        <v>2013</v>
      </c>
      <c r="D117" s="7" t="s">
        <v>2532</v>
      </c>
      <c r="E117" s="7" t="s">
        <v>1610</v>
      </c>
      <c r="F117" s="7" t="s">
        <v>4598</v>
      </c>
      <c r="G117" s="7" t="s">
        <v>4604</v>
      </c>
      <c r="H117" s="12">
        <v>0.37</v>
      </c>
      <c r="I117" s="7" t="s">
        <v>2330</v>
      </c>
      <c r="J117" s="7" t="str" cm="1">
        <f t="array" ref="J11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17" s="7" t="s">
        <v>4768</v>
      </c>
    </row>
    <row r="118" spans="1:11">
      <c r="A118" s="7" t="s">
        <v>2533</v>
      </c>
      <c r="B118" s="11">
        <v>41503</v>
      </c>
      <c r="C118" s="7">
        <v>2013</v>
      </c>
      <c r="D118" s="7" t="s">
        <v>2534</v>
      </c>
      <c r="E118" s="7" t="s">
        <v>31</v>
      </c>
      <c r="F118" s="7" t="s">
        <v>4598</v>
      </c>
      <c r="G118" s="7" t="s">
        <v>4579</v>
      </c>
      <c r="H118" s="12">
        <v>0.04</v>
      </c>
      <c r="I118" s="7" t="s">
        <v>2374</v>
      </c>
      <c r="J118" s="7" t="str" cm="1">
        <f t="array" ref="J11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18" s="7" t="s">
        <v>4768</v>
      </c>
    </row>
    <row r="119" spans="1:11">
      <c r="A119" s="7" t="s">
        <v>2535</v>
      </c>
      <c r="B119" s="11">
        <v>41510</v>
      </c>
      <c r="C119" s="7">
        <v>2013</v>
      </c>
      <c r="D119" s="7" t="s">
        <v>2536</v>
      </c>
      <c r="E119" s="7" t="s">
        <v>130</v>
      </c>
      <c r="F119" s="7" t="s">
        <v>4599</v>
      </c>
      <c r="G119" s="7" t="s">
        <v>4580</v>
      </c>
      <c r="H119" s="12">
        <v>0.06</v>
      </c>
      <c r="I119" s="7" t="s">
        <v>2261</v>
      </c>
      <c r="J119" s="7" t="str" cm="1">
        <f t="array" ref="J11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19" s="7" t="s">
        <v>4768</v>
      </c>
    </row>
    <row r="120" spans="1:11">
      <c r="A120" s="7" t="s">
        <v>2537</v>
      </c>
      <c r="B120" s="11">
        <v>41556</v>
      </c>
      <c r="C120" s="7">
        <v>2013</v>
      </c>
      <c r="D120" s="7" t="s">
        <v>2538</v>
      </c>
      <c r="E120" s="7" t="s">
        <v>125</v>
      </c>
      <c r="F120" s="7" t="s">
        <v>4598</v>
      </c>
      <c r="G120" s="7" t="s">
        <v>4580</v>
      </c>
      <c r="H120" s="12">
        <v>7.0000000000000007E-2</v>
      </c>
      <c r="I120" s="7" t="s">
        <v>2268</v>
      </c>
      <c r="J120" s="7" t="str" cm="1">
        <f t="array" ref="J12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20" s="7" t="s">
        <v>4768</v>
      </c>
    </row>
    <row r="121" spans="1:11">
      <c r="A121" s="7" t="s">
        <v>2539</v>
      </c>
      <c r="B121" s="11">
        <v>41569</v>
      </c>
      <c r="C121" s="7">
        <v>2013</v>
      </c>
      <c r="D121" s="7" t="s">
        <v>2540</v>
      </c>
      <c r="E121" s="7" t="s">
        <v>2293</v>
      </c>
      <c r="F121" s="7" t="s">
        <v>4598</v>
      </c>
      <c r="G121" s="7" t="s">
        <v>4583</v>
      </c>
      <c r="H121" s="12">
        <v>0.15</v>
      </c>
      <c r="I121" s="7" t="s">
        <v>2363</v>
      </c>
      <c r="J121" s="7" t="str" cm="1">
        <f t="array" ref="J12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21" s="7" t="s">
        <v>4768</v>
      </c>
    </row>
    <row r="122" spans="1:11">
      <c r="A122" s="7" t="s">
        <v>2541</v>
      </c>
      <c r="B122" s="11">
        <v>41591</v>
      </c>
      <c r="C122" s="7">
        <v>2013</v>
      </c>
      <c r="D122" s="7" t="s">
        <v>2542</v>
      </c>
      <c r="E122" s="7" t="s">
        <v>2543</v>
      </c>
      <c r="F122" s="7" t="s">
        <v>4598</v>
      </c>
      <c r="G122" s="7" t="s">
        <v>4580</v>
      </c>
      <c r="H122" s="12">
        <v>9.8000000000000007</v>
      </c>
      <c r="I122" s="7" t="s">
        <v>2544</v>
      </c>
      <c r="J122" s="7" t="str" cm="1">
        <f t="array" ref="J122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122" s="7" t="s">
        <v>4743</v>
      </c>
    </row>
    <row r="123" spans="1:11">
      <c r="A123" s="7" t="s">
        <v>2545</v>
      </c>
      <c r="B123" s="11">
        <v>41600</v>
      </c>
      <c r="C123" s="7">
        <v>2013</v>
      </c>
      <c r="D123" s="7" t="s">
        <v>2546</v>
      </c>
      <c r="E123" s="7" t="s">
        <v>146</v>
      </c>
      <c r="F123" s="7" t="s">
        <v>4599</v>
      </c>
      <c r="G123" s="7" t="s">
        <v>4580</v>
      </c>
      <c r="H123" s="12">
        <v>0.28000000000000003</v>
      </c>
      <c r="I123" s="7" t="s">
        <v>2261</v>
      </c>
      <c r="J123" s="7" t="str" cm="1">
        <f t="array" ref="J12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23" s="7" t="s">
        <v>4768</v>
      </c>
    </row>
    <row r="124" spans="1:11">
      <c r="A124" s="7" t="s">
        <v>2547</v>
      </c>
      <c r="B124" s="11">
        <v>41602</v>
      </c>
      <c r="C124" s="7">
        <v>2013</v>
      </c>
      <c r="D124" s="7" t="s">
        <v>2548</v>
      </c>
      <c r="E124" s="7" t="s">
        <v>2254</v>
      </c>
      <c r="F124" s="7" t="s">
        <v>4599</v>
      </c>
      <c r="G124" s="7" t="s">
        <v>4580</v>
      </c>
      <c r="H124" s="12">
        <v>0.37</v>
      </c>
      <c r="I124" s="7" t="s">
        <v>2261</v>
      </c>
      <c r="J124" s="7" t="str" cm="1">
        <f t="array" ref="J12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24" s="7" t="s">
        <v>4768</v>
      </c>
    </row>
    <row r="125" spans="1:11">
      <c r="A125" s="7" t="s">
        <v>2549</v>
      </c>
      <c r="B125" s="11">
        <v>41611</v>
      </c>
      <c r="C125" s="7">
        <v>2013</v>
      </c>
      <c r="D125" s="7" t="s">
        <v>2550</v>
      </c>
      <c r="E125" s="7" t="s">
        <v>67</v>
      </c>
      <c r="F125" s="7" t="s">
        <v>4598</v>
      </c>
      <c r="G125" s="7" t="s">
        <v>4578</v>
      </c>
      <c r="H125" s="12">
        <v>0.56000000000000005</v>
      </c>
      <c r="I125" s="7" t="s">
        <v>2251</v>
      </c>
      <c r="J125" s="7" t="str" cm="1">
        <f t="array" ref="J12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25" s="7" t="s">
        <v>4768</v>
      </c>
    </row>
    <row r="126" spans="1:11">
      <c r="A126" s="7" t="s">
        <v>2551</v>
      </c>
      <c r="B126" s="11">
        <v>41612</v>
      </c>
      <c r="C126" s="7">
        <v>2013</v>
      </c>
      <c r="D126" s="7" t="s">
        <v>2552</v>
      </c>
      <c r="E126" s="7" t="s">
        <v>2254</v>
      </c>
      <c r="F126" s="7" t="s">
        <v>4599</v>
      </c>
      <c r="G126" s="7" t="s">
        <v>4581</v>
      </c>
      <c r="H126" s="12">
        <v>0.03</v>
      </c>
      <c r="I126" s="7" t="s">
        <v>2553</v>
      </c>
      <c r="J126" s="7" t="str" cm="1">
        <f t="array" ref="J12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26" s="7" t="s">
        <v>4768</v>
      </c>
    </row>
    <row r="127" spans="1:11">
      <c r="A127" s="7" t="s">
        <v>2554</v>
      </c>
      <c r="B127" s="11">
        <v>41614</v>
      </c>
      <c r="C127" s="7">
        <v>2013</v>
      </c>
      <c r="D127" s="7" t="s">
        <v>2555</v>
      </c>
      <c r="E127" s="7" t="s">
        <v>130</v>
      </c>
      <c r="F127" s="7" t="s">
        <v>4598</v>
      </c>
      <c r="G127" s="7" t="s">
        <v>4581</v>
      </c>
      <c r="H127" s="12">
        <v>12.4</v>
      </c>
      <c r="I127" s="7" t="s">
        <v>2556</v>
      </c>
      <c r="J127" s="7" t="str" cm="1">
        <f t="array" ref="J127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127" s="7" t="s">
        <v>4743</v>
      </c>
    </row>
    <row r="128" spans="1:11">
      <c r="A128" s="7" t="s">
        <v>2557</v>
      </c>
      <c r="B128" s="11">
        <v>41642</v>
      </c>
      <c r="C128" s="7">
        <v>2014</v>
      </c>
      <c r="D128" s="7" t="s">
        <v>2558</v>
      </c>
      <c r="E128" s="7" t="s">
        <v>125</v>
      </c>
      <c r="F128" s="7" t="s">
        <v>4599</v>
      </c>
      <c r="G128" s="7" t="s">
        <v>4578</v>
      </c>
      <c r="H128" s="12">
        <v>0.08</v>
      </c>
      <c r="I128" s="7" t="s">
        <v>2420</v>
      </c>
      <c r="J128" s="7" t="str" cm="1">
        <f t="array" ref="J12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28" s="7" t="s">
        <v>4768</v>
      </c>
    </row>
    <row r="129" spans="1:11">
      <c r="A129" s="7" t="s">
        <v>2559</v>
      </c>
      <c r="B129" s="11">
        <v>41642</v>
      </c>
      <c r="C129" s="7">
        <v>2014</v>
      </c>
      <c r="D129" s="7" t="s">
        <v>2560</v>
      </c>
      <c r="E129" s="7" t="s">
        <v>304</v>
      </c>
      <c r="F129" s="7" t="s">
        <v>4600</v>
      </c>
      <c r="G129" s="7" t="s">
        <v>4582</v>
      </c>
      <c r="H129" s="12">
        <v>0.28000000000000003</v>
      </c>
      <c r="I129" s="7" t="s">
        <v>2561</v>
      </c>
      <c r="J129" s="7" t="str" cm="1">
        <f t="array" ref="J12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29" s="7" t="s">
        <v>4768</v>
      </c>
    </row>
    <row r="130" spans="1:11">
      <c r="A130" s="7" t="s">
        <v>2562</v>
      </c>
      <c r="B130" s="11">
        <v>41655</v>
      </c>
      <c r="C130" s="7">
        <v>2014</v>
      </c>
      <c r="D130" s="7" t="s">
        <v>2563</v>
      </c>
      <c r="E130" s="7" t="s">
        <v>31</v>
      </c>
      <c r="F130" s="7" t="s">
        <v>4599</v>
      </c>
      <c r="G130" s="7" t="s">
        <v>4578</v>
      </c>
      <c r="H130" s="12">
        <v>0.04</v>
      </c>
      <c r="I130" s="7" t="s">
        <v>2420</v>
      </c>
      <c r="J130" s="7" t="str" cm="1">
        <f t="array" ref="J13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0" s="7" t="s">
        <v>4768</v>
      </c>
    </row>
    <row r="131" spans="1:11">
      <c r="A131" s="7" t="s">
        <v>2564</v>
      </c>
      <c r="B131" s="11">
        <v>41662</v>
      </c>
      <c r="C131" s="7">
        <v>2014</v>
      </c>
      <c r="D131" s="7" t="s">
        <v>2565</v>
      </c>
      <c r="E131" s="7" t="s">
        <v>1403</v>
      </c>
      <c r="F131" s="7" t="s">
        <v>4599</v>
      </c>
      <c r="G131" s="7" t="s">
        <v>4578</v>
      </c>
      <c r="H131" s="12">
        <v>0.13</v>
      </c>
      <c r="I131" s="7" t="s">
        <v>2420</v>
      </c>
      <c r="J131" s="7" t="str" cm="1">
        <f t="array" ref="J13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1" s="7" t="s">
        <v>4768</v>
      </c>
    </row>
    <row r="132" spans="1:11">
      <c r="A132" s="7" t="s">
        <v>2566</v>
      </c>
      <c r="B132" s="11">
        <v>41682</v>
      </c>
      <c r="C132" s="7">
        <v>2014</v>
      </c>
      <c r="D132" s="7" t="s">
        <v>2567</v>
      </c>
      <c r="E132" s="7" t="s">
        <v>2297</v>
      </c>
      <c r="F132" s="7" t="s">
        <v>4599</v>
      </c>
      <c r="G132" s="7" t="s">
        <v>4580</v>
      </c>
      <c r="H132" s="12">
        <v>0.66</v>
      </c>
      <c r="I132" s="7" t="s">
        <v>2261</v>
      </c>
      <c r="J132" s="7" t="str" cm="1">
        <f t="array" ref="J13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2" s="7" t="s">
        <v>4768</v>
      </c>
    </row>
    <row r="133" spans="1:11">
      <c r="A133" s="7" t="s">
        <v>2568</v>
      </c>
      <c r="B133" s="11">
        <v>41690</v>
      </c>
      <c r="C133" s="7">
        <v>2014</v>
      </c>
      <c r="D133" s="7" t="s">
        <v>2569</v>
      </c>
      <c r="E133" s="7" t="s">
        <v>53</v>
      </c>
      <c r="F133" s="7" t="s">
        <v>4601</v>
      </c>
      <c r="G133" s="7" t="s">
        <v>4579</v>
      </c>
      <c r="H133" s="12">
        <v>0.44</v>
      </c>
      <c r="I133" s="7" t="s">
        <v>2570</v>
      </c>
      <c r="J133" s="7" t="str" cm="1">
        <f t="array" ref="J13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3" s="7" t="s">
        <v>4768</v>
      </c>
    </row>
    <row r="134" spans="1:11">
      <c r="A134" s="7" t="s">
        <v>2571</v>
      </c>
      <c r="B134" s="11">
        <v>41694</v>
      </c>
      <c r="C134" s="7">
        <v>2014</v>
      </c>
      <c r="D134" s="7" t="s">
        <v>2572</v>
      </c>
      <c r="E134" s="7" t="s">
        <v>2297</v>
      </c>
      <c r="F134" s="7" t="s">
        <v>4598</v>
      </c>
      <c r="G134" s="7" t="s">
        <v>4585</v>
      </c>
      <c r="H134" s="12">
        <v>0.89</v>
      </c>
      <c r="I134" s="7" t="s">
        <v>2316</v>
      </c>
      <c r="J134" s="7" t="str" cm="1">
        <f t="array" ref="J13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4" s="7" t="s">
        <v>4768</v>
      </c>
    </row>
    <row r="135" spans="1:11">
      <c r="A135" s="7" t="s">
        <v>2573</v>
      </c>
      <c r="B135" s="11">
        <v>41699</v>
      </c>
      <c r="C135" s="7">
        <v>2014</v>
      </c>
      <c r="D135" s="7" t="s">
        <v>2574</v>
      </c>
      <c r="E135" s="7" t="s">
        <v>2267</v>
      </c>
      <c r="F135" s="7" t="s">
        <v>4598</v>
      </c>
      <c r="G135" s="7" t="s">
        <v>4580</v>
      </c>
      <c r="H135" s="12">
        <v>0.75</v>
      </c>
      <c r="I135" s="7" t="s">
        <v>2268</v>
      </c>
      <c r="J135" s="7" t="str" cm="1">
        <f t="array" ref="J13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5" s="7" t="s">
        <v>4768</v>
      </c>
    </row>
    <row r="136" spans="1:11">
      <c r="A136" s="7" t="s">
        <v>2575</v>
      </c>
      <c r="B136" s="11">
        <v>41704</v>
      </c>
      <c r="C136" s="7">
        <v>2014</v>
      </c>
      <c r="D136" s="7" t="s">
        <v>2576</v>
      </c>
      <c r="E136" s="7" t="s">
        <v>2301</v>
      </c>
      <c r="F136" s="7" t="s">
        <v>4598</v>
      </c>
      <c r="G136" s="7" t="s">
        <v>4580</v>
      </c>
      <c r="H136" s="12">
        <v>0.1</v>
      </c>
      <c r="I136" s="7" t="s">
        <v>2268</v>
      </c>
      <c r="J136" s="7" t="str" cm="1">
        <f t="array" ref="J13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6" s="7" t="s">
        <v>4768</v>
      </c>
    </row>
    <row r="137" spans="1:11">
      <c r="A137" s="7" t="s">
        <v>2577</v>
      </c>
      <c r="B137" s="11">
        <v>41713</v>
      </c>
      <c r="C137" s="7">
        <v>2014</v>
      </c>
      <c r="D137" s="7" t="s">
        <v>2578</v>
      </c>
      <c r="E137" s="7" t="s">
        <v>2282</v>
      </c>
      <c r="F137" s="7" t="s">
        <v>4599</v>
      </c>
      <c r="G137" s="7" t="s">
        <v>4580</v>
      </c>
      <c r="H137" s="12">
        <v>7.0000000000000007E-2</v>
      </c>
      <c r="I137" s="7" t="s">
        <v>2261</v>
      </c>
      <c r="J137" s="7" t="str" cm="1">
        <f t="array" ref="J13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7" s="7" t="s">
        <v>4768</v>
      </c>
    </row>
    <row r="138" spans="1:11">
      <c r="A138" s="7" t="s">
        <v>2579</v>
      </c>
      <c r="B138" s="11">
        <v>41723</v>
      </c>
      <c r="C138" s="7">
        <v>2014</v>
      </c>
      <c r="D138" s="7" t="s">
        <v>2580</v>
      </c>
      <c r="E138" s="7" t="s">
        <v>2257</v>
      </c>
      <c r="F138" s="7" t="s">
        <v>4599</v>
      </c>
      <c r="G138" s="7" t="s">
        <v>4578</v>
      </c>
      <c r="H138" s="12">
        <v>0.01</v>
      </c>
      <c r="I138" s="7" t="s">
        <v>2420</v>
      </c>
      <c r="J138" s="7" t="str" cm="1">
        <f t="array" ref="J13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8" s="7" t="s">
        <v>4768</v>
      </c>
    </row>
    <row r="139" spans="1:11">
      <c r="A139" s="7" t="s">
        <v>2581</v>
      </c>
      <c r="B139" s="11">
        <v>41725</v>
      </c>
      <c r="C139" s="7">
        <v>2014</v>
      </c>
      <c r="D139" s="7" t="s">
        <v>2582</v>
      </c>
      <c r="E139" s="7" t="s">
        <v>2282</v>
      </c>
      <c r="F139" s="7" t="s">
        <v>4600</v>
      </c>
      <c r="G139" s="7" t="s">
        <v>4604</v>
      </c>
      <c r="H139" s="12">
        <v>0.03</v>
      </c>
      <c r="I139" s="7" t="s">
        <v>2583</v>
      </c>
      <c r="J139" s="7" t="str" cm="1">
        <f t="array" ref="J13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39" s="7" t="s">
        <v>4768</v>
      </c>
    </row>
    <row r="140" spans="1:11">
      <c r="A140" s="7" t="s">
        <v>2584</v>
      </c>
      <c r="B140" s="11">
        <v>41740</v>
      </c>
      <c r="C140" s="7">
        <v>2014</v>
      </c>
      <c r="D140" s="7" t="s">
        <v>2585</v>
      </c>
      <c r="E140" s="7" t="s">
        <v>42</v>
      </c>
      <c r="F140" s="7" t="s">
        <v>4598</v>
      </c>
      <c r="G140" s="7" t="s">
        <v>4581</v>
      </c>
      <c r="H140" s="12">
        <v>0.54</v>
      </c>
      <c r="I140" s="7" t="s">
        <v>2586</v>
      </c>
      <c r="J140" s="7" t="str" cm="1">
        <f t="array" ref="J14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0" s="7" t="s">
        <v>4768</v>
      </c>
    </row>
    <row r="141" spans="1:11">
      <c r="A141" s="7" t="s">
        <v>2587</v>
      </c>
      <c r="B141" s="11">
        <v>41754</v>
      </c>
      <c r="C141" s="7">
        <v>2014</v>
      </c>
      <c r="D141" s="7" t="s">
        <v>2588</v>
      </c>
      <c r="E141" s="7" t="s">
        <v>2264</v>
      </c>
      <c r="F141" s="7" t="s">
        <v>4598</v>
      </c>
      <c r="G141" s="7" t="s">
        <v>4584</v>
      </c>
      <c r="H141" s="12">
        <v>0.49</v>
      </c>
      <c r="I141" s="7" t="s">
        <v>2258</v>
      </c>
      <c r="J141" s="7" t="str" cm="1">
        <f t="array" ref="J14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1" s="7" t="s">
        <v>4768</v>
      </c>
    </row>
    <row r="142" spans="1:11">
      <c r="A142" s="7" t="s">
        <v>2589</v>
      </c>
      <c r="B142" s="11">
        <v>41760</v>
      </c>
      <c r="C142" s="7">
        <v>2014</v>
      </c>
      <c r="D142" s="7" t="s">
        <v>2590</v>
      </c>
      <c r="E142" s="7" t="s">
        <v>2254</v>
      </c>
      <c r="F142" s="7" t="s">
        <v>4599</v>
      </c>
      <c r="G142" s="7" t="s">
        <v>4578</v>
      </c>
      <c r="H142" s="12">
        <v>0.01</v>
      </c>
      <c r="I142" s="7" t="s">
        <v>2420</v>
      </c>
      <c r="J142" s="7" t="str" cm="1">
        <f t="array" ref="J14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2" s="7" t="s">
        <v>4768</v>
      </c>
    </row>
    <row r="143" spans="1:11">
      <c r="A143" s="7" t="s">
        <v>2591</v>
      </c>
      <c r="B143" s="11">
        <v>41761</v>
      </c>
      <c r="C143" s="7">
        <v>2014</v>
      </c>
      <c r="D143" s="7" t="s">
        <v>2592</v>
      </c>
      <c r="E143" s="7" t="s">
        <v>53</v>
      </c>
      <c r="F143" s="7" t="s">
        <v>4600</v>
      </c>
      <c r="G143" s="7" t="s">
        <v>4587</v>
      </c>
      <c r="H143" s="12">
        <v>0.76</v>
      </c>
      <c r="I143" s="7" t="s">
        <v>2593</v>
      </c>
      <c r="J143" s="7" t="str" cm="1">
        <f t="array" ref="J14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3" s="7" t="s">
        <v>4768</v>
      </c>
    </row>
    <row r="144" spans="1:11">
      <c r="A144" s="7" t="s">
        <v>2594</v>
      </c>
      <c r="B144" s="11">
        <v>41766</v>
      </c>
      <c r="C144" s="7">
        <v>2014</v>
      </c>
      <c r="D144" s="7" t="s">
        <v>2516</v>
      </c>
      <c r="E144" s="7" t="s">
        <v>2278</v>
      </c>
      <c r="F144" s="7" t="s">
        <v>4599</v>
      </c>
      <c r="G144" s="7" t="s">
        <v>4580</v>
      </c>
      <c r="H144" s="12">
        <v>0.53</v>
      </c>
      <c r="I144" s="7" t="s">
        <v>2261</v>
      </c>
      <c r="J144" s="7" t="str" cm="1">
        <f t="array" ref="J14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4" s="7" t="s">
        <v>4768</v>
      </c>
    </row>
    <row r="145" spans="1:11">
      <c r="A145" s="7" t="s">
        <v>2595</v>
      </c>
      <c r="B145" s="11">
        <v>41783</v>
      </c>
      <c r="C145" s="7">
        <v>2014</v>
      </c>
      <c r="D145" s="7" t="s">
        <v>2596</v>
      </c>
      <c r="E145" s="7" t="s">
        <v>125</v>
      </c>
      <c r="F145" s="7" t="s">
        <v>4598</v>
      </c>
      <c r="G145" s="7" t="s">
        <v>4578</v>
      </c>
      <c r="H145" s="12">
        <v>0.53</v>
      </c>
      <c r="I145" s="7" t="s">
        <v>2251</v>
      </c>
      <c r="J145" s="7" t="str" cm="1">
        <f t="array" ref="J14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5" s="7" t="s">
        <v>4768</v>
      </c>
    </row>
    <row r="146" spans="1:11">
      <c r="A146" s="7" t="s">
        <v>2597</v>
      </c>
      <c r="B146" s="11">
        <v>41794</v>
      </c>
      <c r="C146" s="7">
        <v>2014</v>
      </c>
      <c r="D146" s="7" t="s">
        <v>2598</v>
      </c>
      <c r="E146" s="7" t="s">
        <v>146</v>
      </c>
      <c r="F146" s="7" t="s">
        <v>4598</v>
      </c>
      <c r="G146" s="7" t="s">
        <v>4578</v>
      </c>
      <c r="H146" s="12">
        <v>0.27</v>
      </c>
      <c r="I146" s="7" t="s">
        <v>2251</v>
      </c>
      <c r="J146" s="7" t="str" cm="1">
        <f t="array" ref="J14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6" s="7" t="s">
        <v>4768</v>
      </c>
    </row>
    <row r="147" spans="1:11">
      <c r="A147" s="7" t="s">
        <v>2599</v>
      </c>
      <c r="B147" s="11">
        <v>41824</v>
      </c>
      <c r="C147" s="7">
        <v>2014</v>
      </c>
      <c r="D147" s="7" t="s">
        <v>2600</v>
      </c>
      <c r="E147" s="7" t="s">
        <v>38</v>
      </c>
      <c r="F147" s="7" t="s">
        <v>4599</v>
      </c>
      <c r="G147" s="7" t="s">
        <v>4580</v>
      </c>
      <c r="H147" s="12">
        <v>0.09</v>
      </c>
      <c r="I147" s="7" t="s">
        <v>2261</v>
      </c>
      <c r="J147" s="7" t="str" cm="1">
        <f t="array" ref="J14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7" s="7" t="s">
        <v>4768</v>
      </c>
    </row>
    <row r="148" spans="1:11">
      <c r="A148" s="7" t="s">
        <v>2601</v>
      </c>
      <c r="B148" s="11">
        <v>41824</v>
      </c>
      <c r="C148" s="7">
        <v>2014</v>
      </c>
      <c r="D148" s="7" t="s">
        <v>2602</v>
      </c>
      <c r="E148" s="7" t="s">
        <v>215</v>
      </c>
      <c r="F148" s="7" t="s">
        <v>4602</v>
      </c>
      <c r="G148" s="7" t="s">
        <v>4580</v>
      </c>
      <c r="H148" s="12">
        <v>0.24</v>
      </c>
      <c r="I148" s="7" t="s">
        <v>2510</v>
      </c>
      <c r="J148" s="7" t="str" cm="1">
        <f t="array" ref="J14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48" s="7" t="s">
        <v>4768</v>
      </c>
    </row>
    <row r="149" spans="1:11">
      <c r="A149" s="7" t="s">
        <v>2603</v>
      </c>
      <c r="B149" s="11">
        <v>41825</v>
      </c>
      <c r="C149" s="7">
        <v>2014</v>
      </c>
      <c r="D149" s="7" t="s">
        <v>2604</v>
      </c>
      <c r="E149" s="7" t="s">
        <v>2324</v>
      </c>
      <c r="F149" s="7" t="s">
        <v>4598</v>
      </c>
      <c r="G149" s="7" t="s">
        <v>4579</v>
      </c>
      <c r="H149" s="12">
        <v>1.7</v>
      </c>
      <c r="I149" s="7" t="s">
        <v>2374</v>
      </c>
      <c r="J149" s="7" t="str" cm="1">
        <f t="array" ref="J14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49" s="7" t="s">
        <v>4768</v>
      </c>
    </row>
    <row r="150" spans="1:11">
      <c r="A150" s="7" t="s">
        <v>2605</v>
      </c>
      <c r="B150" s="11">
        <v>41829</v>
      </c>
      <c r="C150" s="7">
        <v>2014</v>
      </c>
      <c r="D150" s="7" t="s">
        <v>2606</v>
      </c>
      <c r="E150" s="7" t="s">
        <v>130</v>
      </c>
      <c r="F150" s="7" t="s">
        <v>4598</v>
      </c>
      <c r="G150" s="7" t="s">
        <v>4578</v>
      </c>
      <c r="H150" s="12">
        <v>2.89</v>
      </c>
      <c r="I150" s="7" t="s">
        <v>2251</v>
      </c>
      <c r="J150" s="7" t="str" cm="1">
        <f t="array" ref="J15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50" s="7" t="s">
        <v>4768</v>
      </c>
    </row>
    <row r="151" spans="1:11">
      <c r="A151" s="7" t="s">
        <v>2607</v>
      </c>
      <c r="B151" s="11">
        <v>41829</v>
      </c>
      <c r="C151" s="7">
        <v>2014</v>
      </c>
      <c r="D151" s="7" t="s">
        <v>2608</v>
      </c>
      <c r="E151" s="7" t="s">
        <v>304</v>
      </c>
      <c r="F151" s="7" t="s">
        <v>4599</v>
      </c>
      <c r="G151" s="7" t="s">
        <v>4605</v>
      </c>
      <c r="H151" s="12">
        <v>0.01</v>
      </c>
      <c r="I151" s="7" t="s">
        <v>2458</v>
      </c>
      <c r="J151" s="7" t="str" cm="1">
        <f t="array" ref="J15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51" s="7" t="s">
        <v>4768</v>
      </c>
    </row>
    <row r="152" spans="1:11">
      <c r="A152" s="7" t="s">
        <v>2609</v>
      </c>
      <c r="B152" s="11">
        <v>41829</v>
      </c>
      <c r="C152" s="7">
        <v>2014</v>
      </c>
      <c r="D152" s="7" t="s">
        <v>2610</v>
      </c>
      <c r="E152" s="7" t="s">
        <v>9</v>
      </c>
      <c r="F152" s="7" t="s">
        <v>4601</v>
      </c>
      <c r="G152" s="7" t="s">
        <v>4578</v>
      </c>
      <c r="H152" s="12">
        <v>0.3</v>
      </c>
      <c r="I152" s="7" t="s">
        <v>2302</v>
      </c>
      <c r="J152" s="7" t="str" cm="1">
        <f t="array" ref="J15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52" s="7" t="s">
        <v>4768</v>
      </c>
    </row>
    <row r="153" spans="1:11">
      <c r="A153" s="7" t="s">
        <v>2611</v>
      </c>
      <c r="B153" s="11">
        <v>41833</v>
      </c>
      <c r="C153" s="7">
        <v>2014</v>
      </c>
      <c r="D153" s="7" t="s">
        <v>2612</v>
      </c>
      <c r="E153" s="7" t="s">
        <v>67</v>
      </c>
      <c r="F153" s="7" t="s">
        <v>4598</v>
      </c>
      <c r="G153" s="7" t="s">
        <v>4605</v>
      </c>
      <c r="H153" s="12">
        <v>0.01</v>
      </c>
      <c r="I153" s="7" t="s">
        <v>2465</v>
      </c>
      <c r="J153" s="7" t="str" cm="1">
        <f t="array" ref="J15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53" s="7" t="s">
        <v>4768</v>
      </c>
    </row>
    <row r="154" spans="1:11">
      <c r="A154" s="7" t="s">
        <v>2613</v>
      </c>
      <c r="B154" s="11">
        <v>41839</v>
      </c>
      <c r="C154" s="7">
        <v>2014</v>
      </c>
      <c r="D154" s="7" t="s">
        <v>2614</v>
      </c>
      <c r="E154" s="7" t="s">
        <v>38</v>
      </c>
      <c r="F154" s="7" t="s">
        <v>4598</v>
      </c>
      <c r="G154" s="7" t="s">
        <v>4580</v>
      </c>
      <c r="H154" s="12">
        <v>0.06</v>
      </c>
      <c r="I154" s="7" t="s">
        <v>2268</v>
      </c>
      <c r="J154" s="7" t="str" cm="1">
        <f t="array" ref="J15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54" s="7" t="s">
        <v>4768</v>
      </c>
    </row>
    <row r="155" spans="1:11">
      <c r="A155" s="7" t="s">
        <v>2615</v>
      </c>
      <c r="B155" s="11">
        <v>41863</v>
      </c>
      <c r="C155" s="7">
        <v>2014</v>
      </c>
      <c r="D155" s="7" t="s">
        <v>2616</v>
      </c>
      <c r="E155" s="7" t="s">
        <v>125</v>
      </c>
      <c r="F155" s="7" t="s">
        <v>4599</v>
      </c>
      <c r="G155" s="7" t="s">
        <v>4579</v>
      </c>
      <c r="H155" s="12">
        <v>0.17</v>
      </c>
      <c r="I155" s="7" t="s">
        <v>2426</v>
      </c>
      <c r="J155" s="7" t="str" cm="1">
        <f t="array" ref="J15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55" s="7" t="s">
        <v>4768</v>
      </c>
    </row>
    <row r="156" spans="1:11">
      <c r="A156" s="7" t="s">
        <v>2617</v>
      </c>
      <c r="B156" s="11">
        <v>41868</v>
      </c>
      <c r="C156" s="7">
        <v>2014</v>
      </c>
      <c r="D156" s="7" t="s">
        <v>2618</v>
      </c>
      <c r="E156" s="7" t="s">
        <v>2254</v>
      </c>
      <c r="F156" s="7" t="s">
        <v>4598</v>
      </c>
      <c r="G156" s="7" t="s">
        <v>4583</v>
      </c>
      <c r="H156" s="12">
        <v>0.11</v>
      </c>
      <c r="I156" s="7" t="s">
        <v>2363</v>
      </c>
      <c r="J156" s="7" t="str" cm="1">
        <f t="array" ref="J15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56" s="7" t="s">
        <v>4768</v>
      </c>
    </row>
    <row r="157" spans="1:11">
      <c r="A157" s="7" t="s">
        <v>2619</v>
      </c>
      <c r="B157" s="11">
        <v>41877</v>
      </c>
      <c r="C157" s="7">
        <v>2014</v>
      </c>
      <c r="D157" s="7" t="s">
        <v>2620</v>
      </c>
      <c r="E157" s="7" t="s">
        <v>2254</v>
      </c>
      <c r="F157" s="7" t="s">
        <v>4598</v>
      </c>
      <c r="G157" s="7" t="s">
        <v>4579</v>
      </c>
      <c r="H157" s="12">
        <v>0.03</v>
      </c>
      <c r="I157" s="7" t="s">
        <v>2374</v>
      </c>
      <c r="J157" s="7" t="str" cm="1">
        <f t="array" ref="J15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57" s="7" t="s">
        <v>4768</v>
      </c>
    </row>
    <row r="158" spans="1:11">
      <c r="A158" s="7" t="s">
        <v>2621</v>
      </c>
      <c r="B158" s="11">
        <v>41886</v>
      </c>
      <c r="C158" s="7">
        <v>2014</v>
      </c>
      <c r="D158" s="7" t="s">
        <v>2622</v>
      </c>
      <c r="E158" s="7" t="s">
        <v>215</v>
      </c>
      <c r="F158" s="7" t="s">
        <v>4599</v>
      </c>
      <c r="G158" s="7" t="s">
        <v>4580</v>
      </c>
      <c r="H158" s="12">
        <v>30</v>
      </c>
      <c r="I158" s="7" t="s">
        <v>2623</v>
      </c>
      <c r="J158" s="7" t="str" cm="1">
        <f t="array" ref="J158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158" s="7" t="s">
        <v>4743</v>
      </c>
    </row>
    <row r="159" spans="1:11">
      <c r="A159" s="7" t="s">
        <v>2624</v>
      </c>
      <c r="B159" s="11">
        <v>41887</v>
      </c>
      <c r="C159" s="7">
        <v>2014</v>
      </c>
      <c r="D159" s="7" t="s">
        <v>2625</v>
      </c>
      <c r="E159" s="7" t="s">
        <v>2324</v>
      </c>
      <c r="F159" s="7" t="s">
        <v>4599</v>
      </c>
      <c r="G159" s="7" t="s">
        <v>4580</v>
      </c>
      <c r="H159" s="12">
        <v>0.03</v>
      </c>
      <c r="I159" s="7" t="s">
        <v>2261</v>
      </c>
      <c r="J159" s="7" t="str" cm="1">
        <f t="array" ref="J15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59" s="7" t="s">
        <v>4768</v>
      </c>
    </row>
    <row r="160" spans="1:11">
      <c r="A160" s="7" t="s">
        <v>2626</v>
      </c>
      <c r="B160" s="11">
        <v>41901</v>
      </c>
      <c r="C160" s="7">
        <v>2014</v>
      </c>
      <c r="D160" s="7" t="s">
        <v>2627</v>
      </c>
      <c r="E160" s="7" t="s">
        <v>130</v>
      </c>
      <c r="F160" s="7" t="s">
        <v>4598</v>
      </c>
      <c r="G160" s="7" t="s">
        <v>4580</v>
      </c>
      <c r="H160" s="12">
        <v>0.35</v>
      </c>
      <c r="I160" s="7" t="s">
        <v>2268</v>
      </c>
      <c r="J160" s="7" t="str" cm="1">
        <f t="array" ref="J16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60" s="7" t="s">
        <v>4768</v>
      </c>
    </row>
    <row r="161" spans="1:11">
      <c r="A161" s="7" t="s">
        <v>2628</v>
      </c>
      <c r="B161" s="11">
        <v>41906</v>
      </c>
      <c r="C161" s="7">
        <v>2014</v>
      </c>
      <c r="D161" s="7" t="s">
        <v>2629</v>
      </c>
      <c r="E161" s="7" t="s">
        <v>31</v>
      </c>
      <c r="F161" s="7" t="s">
        <v>4598</v>
      </c>
      <c r="G161" s="7" t="s">
        <v>4583</v>
      </c>
      <c r="H161" s="12">
        <v>0.75</v>
      </c>
      <c r="I161" s="7" t="s">
        <v>2363</v>
      </c>
      <c r="J161" s="7" t="str" cm="1">
        <f t="array" ref="J16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61" s="7" t="s">
        <v>4768</v>
      </c>
    </row>
    <row r="162" spans="1:11">
      <c r="A162" s="7" t="s">
        <v>2630</v>
      </c>
      <c r="B162" s="11">
        <v>41906</v>
      </c>
      <c r="C162" s="7">
        <v>2014</v>
      </c>
      <c r="D162" s="7" t="s">
        <v>2631</v>
      </c>
      <c r="E162" s="7" t="s">
        <v>2632</v>
      </c>
      <c r="F162" s="7" t="s">
        <v>4598</v>
      </c>
      <c r="G162" s="7" t="s">
        <v>4578</v>
      </c>
      <c r="H162" s="12">
        <v>0.09</v>
      </c>
      <c r="I162" s="7" t="s">
        <v>2251</v>
      </c>
      <c r="J162" s="7" t="str" cm="1">
        <f t="array" ref="J16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62" s="7" t="s">
        <v>4768</v>
      </c>
    </row>
    <row r="163" spans="1:11">
      <c r="A163" s="7" t="s">
        <v>2633</v>
      </c>
      <c r="B163" s="11">
        <v>41917</v>
      </c>
      <c r="C163" s="7">
        <v>2014</v>
      </c>
      <c r="D163" s="7" t="s">
        <v>2634</v>
      </c>
      <c r="E163" s="7" t="s">
        <v>2254</v>
      </c>
      <c r="F163" s="7" t="s">
        <v>4598</v>
      </c>
      <c r="G163" s="7" t="s">
        <v>4585</v>
      </c>
      <c r="H163" s="12">
        <v>0.12</v>
      </c>
      <c r="I163" s="7" t="s">
        <v>2316</v>
      </c>
      <c r="J163" s="7" t="str" cm="1">
        <f t="array" ref="J16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63" s="7" t="s">
        <v>4768</v>
      </c>
    </row>
    <row r="164" spans="1:11">
      <c r="A164" s="7" t="s">
        <v>2635</v>
      </c>
      <c r="B164" s="11">
        <v>41922</v>
      </c>
      <c r="C164" s="7">
        <v>2014</v>
      </c>
      <c r="D164" s="7" t="s">
        <v>2636</v>
      </c>
      <c r="E164" s="7" t="s">
        <v>130</v>
      </c>
      <c r="F164" s="7" t="s">
        <v>4598</v>
      </c>
      <c r="G164" s="7" t="s">
        <v>4581</v>
      </c>
      <c r="H164" s="12">
        <v>19.100000000000001</v>
      </c>
      <c r="I164" s="7" t="s">
        <v>2637</v>
      </c>
      <c r="J164" s="7" t="str" cm="1">
        <f t="array" ref="J164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164" s="7" t="s">
        <v>4743</v>
      </c>
    </row>
    <row r="165" spans="1:11">
      <c r="A165" s="7" t="s">
        <v>2638</v>
      </c>
      <c r="B165" s="11">
        <v>41934</v>
      </c>
      <c r="C165" s="7">
        <v>2014</v>
      </c>
      <c r="D165" s="7" t="s">
        <v>2639</v>
      </c>
      <c r="E165" s="7" t="s">
        <v>17</v>
      </c>
      <c r="F165" s="7" t="s">
        <v>4598</v>
      </c>
      <c r="G165" s="7" t="s">
        <v>4582</v>
      </c>
      <c r="H165" s="12">
        <v>0.32</v>
      </c>
      <c r="I165" s="7" t="s">
        <v>2356</v>
      </c>
      <c r="J165" s="7" t="str" cm="1">
        <f t="array" ref="J16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65" s="7" t="s">
        <v>4768</v>
      </c>
    </row>
    <row r="166" spans="1:11">
      <c r="A166" s="7" t="s">
        <v>2640</v>
      </c>
      <c r="B166" s="11">
        <v>41951</v>
      </c>
      <c r="C166" s="7">
        <v>2014</v>
      </c>
      <c r="D166" s="7" t="s">
        <v>2641</v>
      </c>
      <c r="E166" s="7" t="s">
        <v>2282</v>
      </c>
      <c r="F166" s="7" t="s">
        <v>4599</v>
      </c>
      <c r="G166" s="7" t="s">
        <v>4587</v>
      </c>
      <c r="H166" s="12">
        <v>0.1</v>
      </c>
      <c r="I166" s="7" t="s">
        <v>2387</v>
      </c>
      <c r="J166" s="7" t="str" cm="1">
        <f t="array" ref="J16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66" s="7" t="s">
        <v>4768</v>
      </c>
    </row>
    <row r="167" spans="1:11">
      <c r="A167" s="7" t="s">
        <v>2642</v>
      </c>
      <c r="B167" s="11">
        <v>41955</v>
      </c>
      <c r="C167" s="7">
        <v>2014</v>
      </c>
      <c r="D167" s="7" t="s">
        <v>2643</v>
      </c>
      <c r="E167" s="7" t="s">
        <v>2293</v>
      </c>
      <c r="F167" s="7" t="s">
        <v>4599</v>
      </c>
      <c r="G167" s="7" t="s">
        <v>4580</v>
      </c>
      <c r="H167" s="12">
        <v>1.27</v>
      </c>
      <c r="I167" s="7" t="s">
        <v>2261</v>
      </c>
      <c r="J167" s="7" t="str" cm="1">
        <f t="array" ref="J16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67" s="7" t="s">
        <v>4768</v>
      </c>
    </row>
    <row r="168" spans="1:11">
      <c r="A168" s="7" t="s">
        <v>2644</v>
      </c>
      <c r="B168" s="11">
        <v>41978</v>
      </c>
      <c r="C168" s="7">
        <v>2014</v>
      </c>
      <c r="D168" s="7" t="s">
        <v>2645</v>
      </c>
      <c r="E168" s="7" t="s">
        <v>2293</v>
      </c>
      <c r="F168" s="7" t="s">
        <v>4598</v>
      </c>
      <c r="G168" s="7" t="s">
        <v>4585</v>
      </c>
      <c r="H168" s="12">
        <v>0.26</v>
      </c>
      <c r="I168" s="7" t="s">
        <v>2316</v>
      </c>
      <c r="J168" s="7" t="str" cm="1">
        <f t="array" ref="J16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68" s="7" t="s">
        <v>4768</v>
      </c>
    </row>
    <row r="169" spans="1:11">
      <c r="A169" s="7" t="s">
        <v>2646</v>
      </c>
      <c r="B169" s="11">
        <v>41988</v>
      </c>
      <c r="C169" s="7">
        <v>2014</v>
      </c>
      <c r="D169" s="7" t="s">
        <v>2647</v>
      </c>
      <c r="E169" s="7" t="s">
        <v>2324</v>
      </c>
      <c r="F169" s="7" t="s">
        <v>4598</v>
      </c>
      <c r="G169" s="7" t="s">
        <v>4580</v>
      </c>
      <c r="H169" s="12">
        <v>0.03</v>
      </c>
      <c r="I169" s="7" t="s">
        <v>2268</v>
      </c>
      <c r="J169" s="7" t="str" cm="1">
        <f t="array" ref="J16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69" s="7" t="s">
        <v>4768</v>
      </c>
    </row>
    <row r="170" spans="1:11">
      <c r="A170" s="7" t="s">
        <v>2648</v>
      </c>
      <c r="B170" s="11">
        <v>41989</v>
      </c>
      <c r="C170" s="7">
        <v>2014</v>
      </c>
      <c r="D170" s="7" t="s">
        <v>2649</v>
      </c>
      <c r="E170" s="7" t="s">
        <v>53</v>
      </c>
      <c r="F170" s="7" t="s">
        <v>4599</v>
      </c>
      <c r="G170" s="7" t="s">
        <v>4580</v>
      </c>
      <c r="H170" s="12">
        <v>0.73</v>
      </c>
      <c r="I170" s="7" t="s">
        <v>2261</v>
      </c>
      <c r="J170" s="7" t="str" cm="1">
        <f t="array" ref="J17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70" s="7" t="s">
        <v>4768</v>
      </c>
    </row>
    <row r="171" spans="1:11">
      <c r="A171" s="7" t="s">
        <v>2650</v>
      </c>
      <c r="B171" s="11">
        <v>41995</v>
      </c>
      <c r="C171" s="7">
        <v>2014</v>
      </c>
      <c r="D171" s="7" t="s">
        <v>2651</v>
      </c>
      <c r="E171" s="7" t="s">
        <v>42</v>
      </c>
      <c r="F171" s="7" t="s">
        <v>4599</v>
      </c>
      <c r="G171" s="7" t="s">
        <v>4580</v>
      </c>
      <c r="H171" s="12">
        <v>12</v>
      </c>
      <c r="I171" s="7" t="s">
        <v>2652</v>
      </c>
      <c r="J171" s="7" t="str" cm="1">
        <f t="array" ref="J171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171" s="7" t="s">
        <v>4743</v>
      </c>
    </row>
    <row r="172" spans="1:11">
      <c r="A172" s="7" t="s">
        <v>2653</v>
      </c>
      <c r="B172" s="11">
        <v>42006</v>
      </c>
      <c r="C172" s="7">
        <v>2015</v>
      </c>
      <c r="D172" s="7" t="s">
        <v>2654</v>
      </c>
      <c r="E172" s="7" t="s">
        <v>2257</v>
      </c>
      <c r="F172" s="7" t="s">
        <v>4598</v>
      </c>
      <c r="G172" s="7" t="s">
        <v>4578</v>
      </c>
      <c r="H172" s="12">
        <v>0.03</v>
      </c>
      <c r="I172" s="7" t="s">
        <v>2251</v>
      </c>
      <c r="J172" s="7" t="str" cm="1">
        <f t="array" ref="J17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72" s="7" t="s">
        <v>4768</v>
      </c>
    </row>
    <row r="173" spans="1:11">
      <c r="A173" s="7" t="s">
        <v>2655</v>
      </c>
      <c r="B173" s="11">
        <v>42015</v>
      </c>
      <c r="C173" s="7">
        <v>2015</v>
      </c>
      <c r="D173" s="7" t="s">
        <v>2656</v>
      </c>
      <c r="E173" s="7" t="s">
        <v>2293</v>
      </c>
      <c r="F173" s="7" t="s">
        <v>4598</v>
      </c>
      <c r="G173" s="7" t="s">
        <v>4580</v>
      </c>
      <c r="H173" s="12">
        <v>6.65</v>
      </c>
      <c r="I173" s="7" t="s">
        <v>2268</v>
      </c>
      <c r="J173" s="7" t="str" cm="1">
        <f t="array" ref="J173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173" s="7" t="s">
        <v>4768</v>
      </c>
    </row>
    <row r="174" spans="1:11">
      <c r="A174" s="7" t="s">
        <v>2657</v>
      </c>
      <c r="B174" s="11">
        <v>42015</v>
      </c>
      <c r="C174" s="7">
        <v>2015</v>
      </c>
      <c r="D174" s="7" t="s">
        <v>2658</v>
      </c>
      <c r="E174" s="7" t="s">
        <v>17</v>
      </c>
      <c r="F174" s="7" t="s">
        <v>4601</v>
      </c>
      <c r="G174" s="7" t="s">
        <v>4585</v>
      </c>
      <c r="H174" s="12">
        <v>0.49</v>
      </c>
      <c r="I174" s="7" t="s">
        <v>2659</v>
      </c>
      <c r="J174" s="7" t="str" cm="1">
        <f t="array" ref="J17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74" s="7" t="s">
        <v>4768</v>
      </c>
    </row>
    <row r="175" spans="1:11">
      <c r="A175" s="7" t="s">
        <v>2660</v>
      </c>
      <c r="B175" s="11">
        <v>42018</v>
      </c>
      <c r="C175" s="7">
        <v>2015</v>
      </c>
      <c r="D175" s="7" t="s">
        <v>2661</v>
      </c>
      <c r="E175" s="7" t="s">
        <v>2282</v>
      </c>
      <c r="F175" s="7" t="s">
        <v>4598</v>
      </c>
      <c r="G175" s="7" t="s">
        <v>4604</v>
      </c>
      <c r="H175" s="12">
        <v>2.62</v>
      </c>
      <c r="I175" s="7" t="s">
        <v>2330</v>
      </c>
      <c r="J175" s="7" t="str" cm="1">
        <f t="array" ref="J17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75" s="7" t="s">
        <v>4768</v>
      </c>
    </row>
    <row r="176" spans="1:11">
      <c r="A176" s="7" t="s">
        <v>2662</v>
      </c>
      <c r="B176" s="11">
        <v>42023</v>
      </c>
      <c r="C176" s="7">
        <v>2015</v>
      </c>
      <c r="D176" s="7" t="s">
        <v>2663</v>
      </c>
      <c r="E176" s="7" t="s">
        <v>2267</v>
      </c>
      <c r="F176" s="7" t="s">
        <v>4599</v>
      </c>
      <c r="G176" s="7" t="s">
        <v>4581</v>
      </c>
      <c r="H176" s="12">
        <v>0.01</v>
      </c>
      <c r="I176" s="7" t="s">
        <v>2553</v>
      </c>
      <c r="J176" s="7" t="str" cm="1">
        <f t="array" ref="J17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76" s="7" t="s">
        <v>4768</v>
      </c>
    </row>
    <row r="177" spans="1:11">
      <c r="A177" s="7" t="s">
        <v>2664</v>
      </c>
      <c r="B177" s="11">
        <v>42025</v>
      </c>
      <c r="C177" s="7">
        <v>2015</v>
      </c>
      <c r="D177" s="7" t="s">
        <v>2665</v>
      </c>
      <c r="E177" s="7" t="s">
        <v>125</v>
      </c>
      <c r="F177" s="7" t="s">
        <v>4599</v>
      </c>
      <c r="G177" s="7" t="s">
        <v>4585</v>
      </c>
      <c r="H177" s="12">
        <v>5</v>
      </c>
      <c r="I177" s="7" t="s">
        <v>2666</v>
      </c>
      <c r="J177" s="7" t="str" cm="1">
        <f t="array" ref="J177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177" s="7" t="s">
        <v>4743</v>
      </c>
    </row>
    <row r="178" spans="1:11">
      <c r="A178" s="7" t="s">
        <v>2667</v>
      </c>
      <c r="B178" s="11">
        <v>42043</v>
      </c>
      <c r="C178" s="7">
        <v>2015</v>
      </c>
      <c r="D178" s="7" t="s">
        <v>2668</v>
      </c>
      <c r="E178" s="7" t="s">
        <v>1610</v>
      </c>
      <c r="F178" s="7" t="s">
        <v>4599</v>
      </c>
      <c r="G178" s="7" t="s">
        <v>4580</v>
      </c>
      <c r="H178" s="12">
        <v>0.47</v>
      </c>
      <c r="I178" s="7" t="s">
        <v>2261</v>
      </c>
      <c r="J178" s="7" t="str" cm="1">
        <f t="array" ref="J17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78" s="7" t="s">
        <v>4768</v>
      </c>
    </row>
    <row r="179" spans="1:11">
      <c r="A179" s="7" t="s">
        <v>2669</v>
      </c>
      <c r="B179" s="11">
        <v>42053</v>
      </c>
      <c r="C179" s="7">
        <v>2015</v>
      </c>
      <c r="D179" s="7" t="s">
        <v>2670</v>
      </c>
      <c r="E179" s="7" t="s">
        <v>215</v>
      </c>
      <c r="F179" s="7" t="s">
        <v>4598</v>
      </c>
      <c r="G179" s="7" t="s">
        <v>4581</v>
      </c>
      <c r="H179" s="12">
        <v>0.14000000000000001</v>
      </c>
      <c r="I179" s="7" t="s">
        <v>2586</v>
      </c>
      <c r="J179" s="7" t="str" cm="1">
        <f t="array" ref="J17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79" s="7" t="s">
        <v>4768</v>
      </c>
    </row>
    <row r="180" spans="1:11">
      <c r="A180" s="7" t="s">
        <v>2671</v>
      </c>
      <c r="B180" s="11">
        <v>42061</v>
      </c>
      <c r="C180" s="7">
        <v>2015</v>
      </c>
      <c r="D180" s="7" t="s">
        <v>2672</v>
      </c>
      <c r="E180" s="7" t="s">
        <v>2321</v>
      </c>
      <c r="F180" s="7" t="s">
        <v>4599</v>
      </c>
      <c r="G180" s="7" t="s">
        <v>4580</v>
      </c>
      <c r="H180" s="12">
        <v>0.04</v>
      </c>
      <c r="I180" s="7" t="s">
        <v>2261</v>
      </c>
      <c r="J180" s="7" t="str" cm="1">
        <f t="array" ref="J18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80" s="7" t="s">
        <v>4768</v>
      </c>
    </row>
    <row r="181" spans="1:11">
      <c r="A181" s="7" t="s">
        <v>2673</v>
      </c>
      <c r="B181" s="11">
        <v>42069</v>
      </c>
      <c r="C181" s="7">
        <v>2015</v>
      </c>
      <c r="D181" s="7" t="s">
        <v>2674</v>
      </c>
      <c r="E181" s="7" t="s">
        <v>146</v>
      </c>
      <c r="F181" s="7" t="s">
        <v>4599</v>
      </c>
      <c r="G181" s="7" t="s">
        <v>4580</v>
      </c>
      <c r="H181" s="12">
        <v>0.08</v>
      </c>
      <c r="I181" s="7" t="s">
        <v>2261</v>
      </c>
      <c r="J181" s="7" t="str" cm="1">
        <f t="array" ref="J18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81" s="7" t="s">
        <v>4768</v>
      </c>
    </row>
    <row r="182" spans="1:11">
      <c r="A182" s="7" t="s">
        <v>2675</v>
      </c>
      <c r="B182" s="11">
        <v>42078</v>
      </c>
      <c r="C182" s="7">
        <v>2015</v>
      </c>
      <c r="D182" s="7" t="s">
        <v>2676</v>
      </c>
      <c r="E182" s="7" t="s">
        <v>304</v>
      </c>
      <c r="F182" s="7" t="s">
        <v>4598</v>
      </c>
      <c r="G182" s="7" t="s">
        <v>4578</v>
      </c>
      <c r="H182" s="12">
        <v>0.05</v>
      </c>
      <c r="I182" s="7" t="s">
        <v>2251</v>
      </c>
      <c r="J182" s="7" t="str" cm="1">
        <f t="array" ref="J18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82" s="7" t="s">
        <v>4768</v>
      </c>
    </row>
    <row r="183" spans="1:11">
      <c r="A183" s="7" t="s">
        <v>2677</v>
      </c>
      <c r="B183" s="11">
        <v>42087</v>
      </c>
      <c r="C183" s="7">
        <v>2015</v>
      </c>
      <c r="D183" s="7" t="s">
        <v>2678</v>
      </c>
      <c r="E183" s="7" t="s">
        <v>38</v>
      </c>
      <c r="F183" s="7" t="s">
        <v>4599</v>
      </c>
      <c r="G183" s="7" t="s">
        <v>4582</v>
      </c>
      <c r="H183" s="12">
        <v>1.74</v>
      </c>
      <c r="I183" s="7" t="s">
        <v>2288</v>
      </c>
      <c r="J183" s="7" t="str" cm="1">
        <f t="array" ref="J183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83" s="7" t="s">
        <v>4768</v>
      </c>
    </row>
    <row r="184" spans="1:11">
      <c r="A184" s="7" t="s">
        <v>2679</v>
      </c>
      <c r="B184" s="11">
        <v>42100</v>
      </c>
      <c r="C184" s="7">
        <v>2015</v>
      </c>
      <c r="D184" s="7" t="s">
        <v>2680</v>
      </c>
      <c r="E184" s="7" t="s">
        <v>2440</v>
      </c>
      <c r="F184" s="7" t="s">
        <v>4599</v>
      </c>
      <c r="G184" s="7" t="s">
        <v>4580</v>
      </c>
      <c r="H184" s="12">
        <v>0.09</v>
      </c>
      <c r="I184" s="7" t="s">
        <v>2261</v>
      </c>
      <c r="J184" s="7" t="str" cm="1">
        <f t="array" ref="J18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84" s="7" t="s">
        <v>4768</v>
      </c>
    </row>
    <row r="185" spans="1:11">
      <c r="A185" s="7" t="s">
        <v>2681</v>
      </c>
      <c r="B185" s="11">
        <v>42111</v>
      </c>
      <c r="C185" s="7">
        <v>2015</v>
      </c>
      <c r="D185" s="7" t="s">
        <v>2682</v>
      </c>
      <c r="E185" s="7" t="s">
        <v>67</v>
      </c>
      <c r="F185" s="7" t="s">
        <v>4601</v>
      </c>
      <c r="G185" s="7" t="s">
        <v>4586</v>
      </c>
      <c r="H185" s="12">
        <v>0.16</v>
      </c>
      <c r="I185" s="7" t="s">
        <v>2443</v>
      </c>
      <c r="J185" s="7" t="str" cm="1">
        <f t="array" ref="J18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85" s="7" t="s">
        <v>4768</v>
      </c>
    </row>
    <row r="186" spans="1:11">
      <c r="A186" s="7" t="s">
        <v>2683</v>
      </c>
      <c r="B186" s="11">
        <v>42115</v>
      </c>
      <c r="C186" s="7">
        <v>2015</v>
      </c>
      <c r="D186" s="7" t="s">
        <v>2684</v>
      </c>
      <c r="E186" s="7" t="s">
        <v>215</v>
      </c>
      <c r="F186" s="7" t="s">
        <v>4598</v>
      </c>
      <c r="G186" s="7" t="s">
        <v>4578</v>
      </c>
      <c r="H186" s="12">
        <v>0.41</v>
      </c>
      <c r="I186" s="7" t="s">
        <v>2251</v>
      </c>
      <c r="J186" s="7" t="str" cm="1">
        <f t="array" ref="J18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86" s="7" t="s">
        <v>4768</v>
      </c>
    </row>
    <row r="187" spans="1:11">
      <c r="A187" s="7" t="s">
        <v>2685</v>
      </c>
      <c r="B187" s="11">
        <v>42115</v>
      </c>
      <c r="C187" s="7">
        <v>2015</v>
      </c>
      <c r="D187" s="7" t="s">
        <v>2686</v>
      </c>
      <c r="E187" s="7" t="s">
        <v>2250</v>
      </c>
      <c r="F187" s="7" t="s">
        <v>4598</v>
      </c>
      <c r="G187" s="7" t="s">
        <v>4604</v>
      </c>
      <c r="H187" s="12">
        <v>3.2</v>
      </c>
      <c r="I187" s="7" t="s">
        <v>2330</v>
      </c>
      <c r="J187" s="7" t="str" cm="1">
        <f t="array" ref="J18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87" s="7" t="s">
        <v>4768</v>
      </c>
    </row>
    <row r="188" spans="1:11">
      <c r="A188" s="7" t="s">
        <v>2687</v>
      </c>
      <c r="B188" s="11">
        <v>42139</v>
      </c>
      <c r="C188" s="7">
        <v>2015</v>
      </c>
      <c r="D188" s="7" t="s">
        <v>2688</v>
      </c>
      <c r="E188" s="7" t="s">
        <v>2440</v>
      </c>
      <c r="F188" s="7" t="s">
        <v>4599</v>
      </c>
      <c r="G188" s="7" t="s">
        <v>4585</v>
      </c>
      <c r="H188" s="12">
        <v>0.03</v>
      </c>
      <c r="I188" s="7" t="s">
        <v>2333</v>
      </c>
      <c r="J188" s="7" t="str" cm="1">
        <f t="array" ref="J18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88" s="7" t="s">
        <v>4768</v>
      </c>
    </row>
    <row r="189" spans="1:11">
      <c r="A189" s="7" t="s">
        <v>2689</v>
      </c>
      <c r="B189" s="11">
        <v>42150</v>
      </c>
      <c r="C189" s="7">
        <v>2015</v>
      </c>
      <c r="D189" s="7" t="s">
        <v>2690</v>
      </c>
      <c r="E189" s="7" t="s">
        <v>9</v>
      </c>
      <c r="F189" s="7" t="s">
        <v>4598</v>
      </c>
      <c r="G189" s="7" t="s">
        <v>4578</v>
      </c>
      <c r="H189" s="12">
        <v>0.32</v>
      </c>
      <c r="I189" s="7" t="s">
        <v>2251</v>
      </c>
      <c r="J189" s="7" t="str" cm="1">
        <f t="array" ref="J18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89" s="7" t="s">
        <v>4768</v>
      </c>
    </row>
    <row r="190" spans="1:11">
      <c r="A190" s="7" t="s">
        <v>2691</v>
      </c>
      <c r="B190" s="11">
        <v>42163</v>
      </c>
      <c r="C190" s="7">
        <v>2015</v>
      </c>
      <c r="D190" s="7" t="s">
        <v>2692</v>
      </c>
      <c r="E190" s="7" t="s">
        <v>2324</v>
      </c>
      <c r="F190" s="7" t="s">
        <v>4598</v>
      </c>
      <c r="G190" s="7" t="s">
        <v>4582</v>
      </c>
      <c r="H190" s="12">
        <v>0.33</v>
      </c>
      <c r="I190" s="7" t="s">
        <v>2356</v>
      </c>
      <c r="J190" s="7" t="str" cm="1">
        <f t="array" ref="J19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0" s="7" t="s">
        <v>4768</v>
      </c>
    </row>
    <row r="191" spans="1:11">
      <c r="A191" s="7" t="s">
        <v>2693</v>
      </c>
      <c r="B191" s="11">
        <v>42164</v>
      </c>
      <c r="C191" s="7">
        <v>2015</v>
      </c>
      <c r="D191" s="7" t="s">
        <v>2694</v>
      </c>
      <c r="E191" s="7" t="s">
        <v>9</v>
      </c>
      <c r="F191" s="7" t="s">
        <v>4598</v>
      </c>
      <c r="G191" s="7" t="s">
        <v>4580</v>
      </c>
      <c r="H191" s="12">
        <v>0.01</v>
      </c>
      <c r="I191" s="7" t="s">
        <v>2268</v>
      </c>
      <c r="J191" s="7" t="str" cm="1">
        <f t="array" ref="J19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1" s="7" t="s">
        <v>4768</v>
      </c>
    </row>
    <row r="192" spans="1:11">
      <c r="A192" s="7" t="s">
        <v>2695</v>
      </c>
      <c r="B192" s="11">
        <v>42167</v>
      </c>
      <c r="C192" s="7">
        <v>2015</v>
      </c>
      <c r="D192" s="7" t="s">
        <v>2696</v>
      </c>
      <c r="E192" s="7" t="s">
        <v>2293</v>
      </c>
      <c r="F192" s="7" t="s">
        <v>4598</v>
      </c>
      <c r="G192" s="7" t="s">
        <v>4580</v>
      </c>
      <c r="H192" s="12">
        <v>0.03</v>
      </c>
      <c r="I192" s="7" t="s">
        <v>2268</v>
      </c>
      <c r="J192" s="7" t="str" cm="1">
        <f t="array" ref="J19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2" s="7" t="s">
        <v>4768</v>
      </c>
    </row>
    <row r="193" spans="1:11">
      <c r="A193" s="7" t="s">
        <v>2697</v>
      </c>
      <c r="B193" s="11">
        <v>42169</v>
      </c>
      <c r="C193" s="7">
        <v>2015</v>
      </c>
      <c r="D193" s="7" t="s">
        <v>2698</v>
      </c>
      <c r="E193" s="7" t="s">
        <v>2293</v>
      </c>
      <c r="F193" s="7" t="s">
        <v>4598</v>
      </c>
      <c r="G193" s="7" t="s">
        <v>4585</v>
      </c>
      <c r="H193" s="12">
        <v>0.51</v>
      </c>
      <c r="I193" s="7" t="s">
        <v>2316</v>
      </c>
      <c r="J193" s="7" t="str" cm="1">
        <f t="array" ref="J19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3" s="7" t="s">
        <v>4768</v>
      </c>
    </row>
    <row r="194" spans="1:11">
      <c r="A194" s="7" t="s">
        <v>2699</v>
      </c>
      <c r="B194" s="11">
        <v>42180</v>
      </c>
      <c r="C194" s="7">
        <v>2015</v>
      </c>
      <c r="D194" s="7" t="s">
        <v>2700</v>
      </c>
      <c r="E194" s="7" t="s">
        <v>1365</v>
      </c>
      <c r="F194" s="7" t="s">
        <v>4599</v>
      </c>
      <c r="G194" s="7" t="s">
        <v>4578</v>
      </c>
      <c r="H194" s="12">
        <v>0.05</v>
      </c>
      <c r="I194" s="7" t="s">
        <v>2420</v>
      </c>
      <c r="J194" s="7" t="str" cm="1">
        <f t="array" ref="J19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4" s="7" t="s">
        <v>4768</v>
      </c>
    </row>
    <row r="195" spans="1:11">
      <c r="A195" s="7" t="s">
        <v>2701</v>
      </c>
      <c r="B195" s="11">
        <v>42189</v>
      </c>
      <c r="C195" s="7">
        <v>2015</v>
      </c>
      <c r="D195" s="7" t="s">
        <v>2702</v>
      </c>
      <c r="E195" s="7" t="s">
        <v>67</v>
      </c>
      <c r="F195" s="7" t="s">
        <v>4599</v>
      </c>
      <c r="G195" s="7" t="s">
        <v>4581</v>
      </c>
      <c r="H195" s="12">
        <v>0.21</v>
      </c>
      <c r="I195" s="7" t="s">
        <v>2553</v>
      </c>
      <c r="J195" s="7" t="str" cm="1">
        <f t="array" ref="J19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5" s="7" t="s">
        <v>4768</v>
      </c>
    </row>
    <row r="196" spans="1:11">
      <c r="A196" s="7" t="s">
        <v>2703</v>
      </c>
      <c r="B196" s="11">
        <v>42201</v>
      </c>
      <c r="C196" s="7">
        <v>2015</v>
      </c>
      <c r="D196" s="7" t="s">
        <v>2704</v>
      </c>
      <c r="E196" s="7" t="s">
        <v>2275</v>
      </c>
      <c r="F196" s="7" t="s">
        <v>4598</v>
      </c>
      <c r="G196" s="7" t="s">
        <v>4580</v>
      </c>
      <c r="H196" s="12">
        <v>0.04</v>
      </c>
      <c r="I196" s="7" t="s">
        <v>2268</v>
      </c>
      <c r="J196" s="7" t="str" cm="1">
        <f t="array" ref="J19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6" s="7" t="s">
        <v>4768</v>
      </c>
    </row>
    <row r="197" spans="1:11">
      <c r="A197" s="7" t="s">
        <v>2705</v>
      </c>
      <c r="B197" s="11">
        <v>42208</v>
      </c>
      <c r="C197" s="7">
        <v>2015</v>
      </c>
      <c r="D197" s="7" t="s">
        <v>2706</v>
      </c>
      <c r="E197" s="7" t="s">
        <v>146</v>
      </c>
      <c r="F197" s="7" t="s">
        <v>4598</v>
      </c>
      <c r="G197" s="7" t="s">
        <v>4580</v>
      </c>
      <c r="H197" s="12">
        <v>2.15</v>
      </c>
      <c r="I197" s="7" t="s">
        <v>2268</v>
      </c>
      <c r="J197" s="7" t="str" cm="1">
        <f t="array" ref="J19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197" s="7" t="s">
        <v>4768</v>
      </c>
    </row>
    <row r="198" spans="1:11">
      <c r="A198" s="7" t="s">
        <v>2707</v>
      </c>
      <c r="B198" s="11">
        <v>42209</v>
      </c>
      <c r="C198" s="7">
        <v>2015</v>
      </c>
      <c r="D198" s="7" t="s">
        <v>2708</v>
      </c>
      <c r="E198" s="7" t="s">
        <v>2709</v>
      </c>
      <c r="F198" s="7" t="s">
        <v>4599</v>
      </c>
      <c r="G198" s="7" t="s">
        <v>4582</v>
      </c>
      <c r="H198" s="12">
        <v>0.4</v>
      </c>
      <c r="I198" s="7" t="s">
        <v>2710</v>
      </c>
      <c r="J198" s="7" t="str" cm="1">
        <f t="array" ref="J19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8" s="7" t="s">
        <v>4743</v>
      </c>
    </row>
    <row r="199" spans="1:11">
      <c r="A199" s="7" t="s">
        <v>2711</v>
      </c>
      <c r="B199" s="11">
        <v>42210</v>
      </c>
      <c r="C199" s="7">
        <v>2015</v>
      </c>
      <c r="D199" s="7" t="s">
        <v>2712</v>
      </c>
      <c r="E199" s="7" t="s">
        <v>2301</v>
      </c>
      <c r="F199" s="7" t="s">
        <v>4599</v>
      </c>
      <c r="G199" s="7" t="s">
        <v>4580</v>
      </c>
      <c r="H199" s="12">
        <v>0.11</v>
      </c>
      <c r="I199" s="7" t="s">
        <v>2261</v>
      </c>
      <c r="J199" s="7" t="str" cm="1">
        <f t="array" ref="J19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199" s="7" t="s">
        <v>4768</v>
      </c>
    </row>
    <row r="200" spans="1:11">
      <c r="A200" s="7" t="s">
        <v>2713</v>
      </c>
      <c r="B200" s="11">
        <v>42225</v>
      </c>
      <c r="C200" s="7">
        <v>2015</v>
      </c>
      <c r="D200" s="7" t="s">
        <v>2714</v>
      </c>
      <c r="E200" s="7" t="s">
        <v>1608</v>
      </c>
      <c r="F200" s="7" t="s">
        <v>4599</v>
      </c>
      <c r="G200" s="7" t="s">
        <v>4580</v>
      </c>
      <c r="H200" s="12">
        <v>1.82</v>
      </c>
      <c r="I200" s="7" t="s">
        <v>2261</v>
      </c>
      <c r="J200" s="7" t="str" cm="1">
        <f t="array" ref="J20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00" s="7" t="s">
        <v>4768</v>
      </c>
    </row>
    <row r="201" spans="1:11">
      <c r="A201" s="7" t="s">
        <v>2715</v>
      </c>
      <c r="B201" s="11">
        <v>42232</v>
      </c>
      <c r="C201" s="7">
        <v>2015</v>
      </c>
      <c r="D201" s="7" t="s">
        <v>2716</v>
      </c>
      <c r="E201" s="7" t="s">
        <v>31</v>
      </c>
      <c r="F201" s="7" t="s">
        <v>4599</v>
      </c>
      <c r="G201" s="7" t="s">
        <v>4582</v>
      </c>
      <c r="H201" s="12">
        <v>0.11</v>
      </c>
      <c r="I201" s="7" t="s">
        <v>2288</v>
      </c>
      <c r="J201" s="7" t="str" cm="1">
        <f t="array" ref="J20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01" s="7" t="s">
        <v>4768</v>
      </c>
    </row>
    <row r="202" spans="1:11">
      <c r="A202" s="7" t="s">
        <v>2717</v>
      </c>
      <c r="B202" s="11">
        <v>42234</v>
      </c>
      <c r="C202" s="7">
        <v>2015</v>
      </c>
      <c r="D202" s="7" t="s">
        <v>2718</v>
      </c>
      <c r="E202" s="7" t="s">
        <v>2297</v>
      </c>
      <c r="F202" s="7" t="s">
        <v>4601</v>
      </c>
      <c r="G202" s="7" t="s">
        <v>4580</v>
      </c>
      <c r="H202" s="12">
        <v>0.18</v>
      </c>
      <c r="I202" s="7" t="s">
        <v>2472</v>
      </c>
      <c r="J202" s="7" t="str" cm="1">
        <f t="array" ref="J20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02" s="7" t="s">
        <v>4768</v>
      </c>
    </row>
    <row r="203" spans="1:11">
      <c r="A203" s="7" t="s">
        <v>2719</v>
      </c>
      <c r="B203" s="11">
        <v>42239</v>
      </c>
      <c r="C203" s="7">
        <v>2015</v>
      </c>
      <c r="D203" s="7" t="s">
        <v>2720</v>
      </c>
      <c r="E203" s="7" t="s">
        <v>31</v>
      </c>
      <c r="F203" s="7" t="s">
        <v>4598</v>
      </c>
      <c r="G203" s="7" t="s">
        <v>4587</v>
      </c>
      <c r="H203" s="12">
        <v>11.41</v>
      </c>
      <c r="I203" s="7" t="s">
        <v>2285</v>
      </c>
      <c r="J203" s="7" t="str" cm="1">
        <f t="array" ref="J203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203" s="7" t="s">
        <v>4768</v>
      </c>
    </row>
    <row r="204" spans="1:11">
      <c r="A204" s="7" t="s">
        <v>2721</v>
      </c>
      <c r="B204" s="11">
        <v>42242</v>
      </c>
      <c r="C204" s="7">
        <v>2015</v>
      </c>
      <c r="D204" s="7" t="s">
        <v>2722</v>
      </c>
      <c r="E204" s="7" t="s">
        <v>31</v>
      </c>
      <c r="F204" s="7" t="s">
        <v>4598</v>
      </c>
      <c r="G204" s="7" t="s">
        <v>4584</v>
      </c>
      <c r="H204" s="12">
        <v>0.13</v>
      </c>
      <c r="I204" s="7" t="s">
        <v>2258</v>
      </c>
      <c r="J204" s="7" t="str" cm="1">
        <f t="array" ref="J20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04" s="7" t="s">
        <v>4768</v>
      </c>
    </row>
    <row r="205" spans="1:11">
      <c r="A205" s="7" t="s">
        <v>2723</v>
      </c>
      <c r="B205" s="11">
        <v>42243</v>
      </c>
      <c r="C205" s="7">
        <v>2015</v>
      </c>
      <c r="D205" s="7" t="s">
        <v>2724</v>
      </c>
      <c r="E205" s="7" t="s">
        <v>31</v>
      </c>
      <c r="F205" s="7" t="s">
        <v>4599</v>
      </c>
      <c r="G205" s="7" t="s">
        <v>4582</v>
      </c>
      <c r="H205" s="12">
        <v>1.4</v>
      </c>
      <c r="I205" s="7" t="s">
        <v>2710</v>
      </c>
      <c r="J205" s="7" t="str" cm="1">
        <f t="array" ref="J20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05" s="7" t="s">
        <v>4743</v>
      </c>
    </row>
    <row r="206" spans="1:11">
      <c r="A206" s="7" t="s">
        <v>2725</v>
      </c>
      <c r="B206" s="11">
        <v>42259</v>
      </c>
      <c r="C206" s="7">
        <v>2015</v>
      </c>
      <c r="D206" s="7" t="s">
        <v>2726</v>
      </c>
      <c r="E206" s="7" t="s">
        <v>9</v>
      </c>
      <c r="F206" s="7" t="s">
        <v>4601</v>
      </c>
      <c r="G206" s="7" t="s">
        <v>4581</v>
      </c>
      <c r="H206" s="12">
        <v>0.05</v>
      </c>
      <c r="I206" s="7" t="s">
        <v>2727</v>
      </c>
      <c r="J206" s="7" t="str" cm="1">
        <f t="array" ref="J20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06" s="7" t="s">
        <v>4768</v>
      </c>
    </row>
    <row r="207" spans="1:11">
      <c r="A207" s="7" t="s">
        <v>2728</v>
      </c>
      <c r="B207" s="11">
        <v>42268</v>
      </c>
      <c r="C207" s="7">
        <v>2015</v>
      </c>
      <c r="D207" s="7" t="s">
        <v>2729</v>
      </c>
      <c r="E207" s="7" t="s">
        <v>2324</v>
      </c>
      <c r="F207" s="7" t="s">
        <v>4598</v>
      </c>
      <c r="G207" s="7" t="s">
        <v>4580</v>
      </c>
      <c r="H207" s="12">
        <v>0.02</v>
      </c>
      <c r="I207" s="7" t="s">
        <v>2268</v>
      </c>
      <c r="J207" s="7" t="str" cm="1">
        <f t="array" ref="J20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07" s="7" t="s">
        <v>4768</v>
      </c>
    </row>
    <row r="208" spans="1:11">
      <c r="A208" s="7" t="s">
        <v>2730</v>
      </c>
      <c r="B208" s="11">
        <v>42268</v>
      </c>
      <c r="C208" s="7">
        <v>2015</v>
      </c>
      <c r="D208" s="7" t="s">
        <v>2731</v>
      </c>
      <c r="E208" s="7" t="s">
        <v>2275</v>
      </c>
      <c r="F208" s="7" t="s">
        <v>4599</v>
      </c>
      <c r="G208" s="7" t="s">
        <v>4578</v>
      </c>
      <c r="H208" s="12">
        <v>0.06</v>
      </c>
      <c r="I208" s="7" t="s">
        <v>2420</v>
      </c>
      <c r="J208" s="7" t="str" cm="1">
        <f t="array" ref="J20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08" s="7" t="s">
        <v>4768</v>
      </c>
    </row>
    <row r="209" spans="1:11">
      <c r="A209" s="7" t="s">
        <v>2732</v>
      </c>
      <c r="B209" s="11">
        <v>42274</v>
      </c>
      <c r="C209" s="7">
        <v>2015</v>
      </c>
      <c r="D209" s="7" t="s">
        <v>2733</v>
      </c>
      <c r="E209" s="7" t="s">
        <v>130</v>
      </c>
      <c r="F209" s="7" t="s">
        <v>4602</v>
      </c>
      <c r="G209" s="7" t="s">
        <v>4578</v>
      </c>
      <c r="H209" s="12">
        <v>2.11</v>
      </c>
      <c r="I209" s="7" t="s">
        <v>2501</v>
      </c>
      <c r="J209" s="7" t="str" cm="1">
        <f t="array" ref="J20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09" s="7" t="s">
        <v>4768</v>
      </c>
    </row>
    <row r="210" spans="1:11">
      <c r="A210" s="7" t="s">
        <v>2734</v>
      </c>
      <c r="B210" s="11">
        <v>42281</v>
      </c>
      <c r="C210" s="7">
        <v>2015</v>
      </c>
      <c r="D210" s="7" t="s">
        <v>2735</v>
      </c>
      <c r="E210" s="7" t="s">
        <v>17</v>
      </c>
      <c r="F210" s="7" t="s">
        <v>4599</v>
      </c>
      <c r="G210" s="7" t="s">
        <v>4580</v>
      </c>
      <c r="H210" s="12">
        <v>0.01</v>
      </c>
      <c r="I210" s="7" t="s">
        <v>2261</v>
      </c>
      <c r="J210" s="7" t="str" cm="1">
        <f t="array" ref="J21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0" s="7" t="s">
        <v>4768</v>
      </c>
    </row>
    <row r="211" spans="1:11">
      <c r="A211" s="7" t="s">
        <v>2736</v>
      </c>
      <c r="B211" s="11">
        <v>42284</v>
      </c>
      <c r="C211" s="7">
        <v>2015</v>
      </c>
      <c r="D211" s="7" t="s">
        <v>2737</v>
      </c>
      <c r="E211" s="7" t="s">
        <v>146</v>
      </c>
      <c r="F211" s="7" t="s">
        <v>4598</v>
      </c>
      <c r="G211" s="7" t="s">
        <v>4580</v>
      </c>
      <c r="H211" s="12">
        <v>0.21</v>
      </c>
      <c r="I211" s="7" t="s">
        <v>2268</v>
      </c>
      <c r="J211" s="7" t="str" cm="1">
        <f t="array" ref="J21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1" s="7" t="s">
        <v>4768</v>
      </c>
    </row>
    <row r="212" spans="1:11">
      <c r="A212" s="7" t="s">
        <v>2738</v>
      </c>
      <c r="B212" s="11">
        <v>42286</v>
      </c>
      <c r="C212" s="7">
        <v>2015</v>
      </c>
      <c r="D212" s="7" t="s">
        <v>2739</v>
      </c>
      <c r="E212" s="7" t="s">
        <v>23</v>
      </c>
      <c r="F212" s="7" t="s">
        <v>4598</v>
      </c>
      <c r="G212" s="7" t="s">
        <v>4578</v>
      </c>
      <c r="H212" s="12">
        <v>0.32</v>
      </c>
      <c r="I212" s="7" t="s">
        <v>2251</v>
      </c>
      <c r="J212" s="7" t="str" cm="1">
        <f t="array" ref="J21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2" s="7" t="s">
        <v>4768</v>
      </c>
    </row>
    <row r="213" spans="1:11">
      <c r="A213" s="7" t="s">
        <v>2740</v>
      </c>
      <c r="B213" s="11">
        <v>42294</v>
      </c>
      <c r="C213" s="7">
        <v>2015</v>
      </c>
      <c r="D213" s="7" t="s">
        <v>2741</v>
      </c>
      <c r="E213" s="7" t="s">
        <v>304</v>
      </c>
      <c r="F213" s="7" t="s">
        <v>4598</v>
      </c>
      <c r="G213" s="7" t="s">
        <v>4587</v>
      </c>
      <c r="H213" s="12">
        <v>0.55000000000000004</v>
      </c>
      <c r="I213" s="7" t="s">
        <v>2285</v>
      </c>
      <c r="J213" s="7" t="str" cm="1">
        <f t="array" ref="J21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3" s="7" t="s">
        <v>4768</v>
      </c>
    </row>
    <row r="214" spans="1:11">
      <c r="A214" s="7" t="s">
        <v>2742</v>
      </c>
      <c r="B214" s="11">
        <v>42310</v>
      </c>
      <c r="C214" s="7">
        <v>2015</v>
      </c>
      <c r="D214" s="7" t="s">
        <v>2743</v>
      </c>
      <c r="E214" s="7" t="s">
        <v>130</v>
      </c>
      <c r="F214" s="7" t="s">
        <v>4598</v>
      </c>
      <c r="G214" s="7" t="s">
        <v>4587</v>
      </c>
      <c r="H214" s="12">
        <v>0.09</v>
      </c>
      <c r="I214" s="7" t="s">
        <v>2285</v>
      </c>
      <c r="J214" s="7" t="str" cm="1">
        <f t="array" ref="J21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4" s="7" t="s">
        <v>4768</v>
      </c>
    </row>
    <row r="215" spans="1:11">
      <c r="A215" s="7" t="s">
        <v>2744</v>
      </c>
      <c r="B215" s="11">
        <v>42318</v>
      </c>
      <c r="C215" s="7">
        <v>2015</v>
      </c>
      <c r="D215" s="7" t="s">
        <v>2745</v>
      </c>
      <c r="E215" s="7" t="s">
        <v>2282</v>
      </c>
      <c r="F215" s="7" t="s">
        <v>4599</v>
      </c>
      <c r="G215" s="7" t="s">
        <v>4580</v>
      </c>
      <c r="H215" s="12">
        <v>0.06</v>
      </c>
      <c r="I215" s="7" t="s">
        <v>2261</v>
      </c>
      <c r="J215" s="7" t="str" cm="1">
        <f t="array" ref="J21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5" s="7" t="s">
        <v>4768</v>
      </c>
    </row>
    <row r="216" spans="1:11">
      <c r="A216" s="7" t="s">
        <v>2746</v>
      </c>
      <c r="B216" s="11">
        <v>42346</v>
      </c>
      <c r="C216" s="7">
        <v>2015</v>
      </c>
      <c r="D216" s="7" t="s">
        <v>2747</v>
      </c>
      <c r="E216" s="7" t="s">
        <v>2264</v>
      </c>
      <c r="F216" s="7" t="s">
        <v>4598</v>
      </c>
      <c r="G216" s="7" t="s">
        <v>4579</v>
      </c>
      <c r="H216" s="12">
        <v>0.09</v>
      </c>
      <c r="I216" s="7" t="s">
        <v>2374</v>
      </c>
      <c r="J216" s="7" t="str" cm="1">
        <f t="array" ref="J21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6" s="7" t="s">
        <v>4768</v>
      </c>
    </row>
    <row r="217" spans="1:11">
      <c r="A217" s="7" t="s">
        <v>2748</v>
      </c>
      <c r="B217" s="11">
        <v>42348</v>
      </c>
      <c r="C217" s="7">
        <v>2015</v>
      </c>
      <c r="D217" s="7" t="s">
        <v>2749</v>
      </c>
      <c r="E217" s="7" t="s">
        <v>42</v>
      </c>
      <c r="F217" s="7" t="s">
        <v>4598</v>
      </c>
      <c r="G217" s="7" t="s">
        <v>4585</v>
      </c>
      <c r="H217" s="12">
        <v>0.24</v>
      </c>
      <c r="I217" s="7" t="s">
        <v>2316</v>
      </c>
      <c r="J217" s="7" t="str" cm="1">
        <f t="array" ref="J21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7" s="7" t="s">
        <v>4768</v>
      </c>
    </row>
    <row r="218" spans="1:11">
      <c r="A218" s="7" t="s">
        <v>2750</v>
      </c>
      <c r="B218" s="11">
        <v>42348</v>
      </c>
      <c r="C218" s="7">
        <v>2015</v>
      </c>
      <c r="D218" s="7" t="s">
        <v>2751</v>
      </c>
      <c r="E218" s="7" t="s">
        <v>146</v>
      </c>
      <c r="F218" s="7" t="s">
        <v>4598</v>
      </c>
      <c r="G218" s="7" t="s">
        <v>4580</v>
      </c>
      <c r="H218" s="12">
        <v>0.3</v>
      </c>
      <c r="I218" s="7" t="s">
        <v>2268</v>
      </c>
      <c r="J218" s="7" t="str" cm="1">
        <f t="array" ref="J21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8" s="7" t="s">
        <v>4768</v>
      </c>
    </row>
    <row r="219" spans="1:11">
      <c r="A219" s="7" t="s">
        <v>2752</v>
      </c>
      <c r="B219" s="11">
        <v>42365</v>
      </c>
      <c r="C219" s="7">
        <v>2015</v>
      </c>
      <c r="D219" s="7" t="s">
        <v>2753</v>
      </c>
      <c r="E219" s="7" t="s">
        <v>2324</v>
      </c>
      <c r="F219" s="7" t="s">
        <v>4598</v>
      </c>
      <c r="G219" s="7" t="s">
        <v>4587</v>
      </c>
      <c r="H219" s="12">
        <v>0.13</v>
      </c>
      <c r="I219" s="7" t="s">
        <v>2285</v>
      </c>
      <c r="J219" s="7" t="str" cm="1">
        <f t="array" ref="J21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19" s="7" t="s">
        <v>4768</v>
      </c>
    </row>
    <row r="220" spans="1:11">
      <c r="A220" s="7" t="s">
        <v>2754</v>
      </c>
      <c r="B220" s="11">
        <v>42381</v>
      </c>
      <c r="C220" s="7">
        <v>2016</v>
      </c>
      <c r="D220" s="7" t="s">
        <v>2755</v>
      </c>
      <c r="E220" s="7" t="s">
        <v>1676</v>
      </c>
      <c r="F220" s="7" t="s">
        <v>4598</v>
      </c>
      <c r="G220" s="7" t="s">
        <v>4580</v>
      </c>
      <c r="H220" s="12">
        <v>0.97</v>
      </c>
      <c r="I220" s="7" t="s">
        <v>2268</v>
      </c>
      <c r="J220" s="7" t="str" cm="1">
        <f t="array" ref="J22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20" s="7" t="s">
        <v>4768</v>
      </c>
    </row>
    <row r="221" spans="1:11">
      <c r="A221" s="7" t="s">
        <v>2756</v>
      </c>
      <c r="B221" s="11">
        <v>42394</v>
      </c>
      <c r="C221" s="7">
        <v>2016</v>
      </c>
      <c r="D221" s="7" t="s">
        <v>2757</v>
      </c>
      <c r="E221" s="7" t="s">
        <v>2254</v>
      </c>
      <c r="F221" s="7" t="s">
        <v>4599</v>
      </c>
      <c r="G221" s="7" t="s">
        <v>4587</v>
      </c>
      <c r="H221" s="12">
        <v>0.88</v>
      </c>
      <c r="I221" s="7" t="s">
        <v>2387</v>
      </c>
      <c r="J221" s="7" t="str" cm="1">
        <f t="array" ref="J22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21" s="7" t="s">
        <v>4768</v>
      </c>
    </row>
    <row r="222" spans="1:11">
      <c r="A222" s="7" t="s">
        <v>2758</v>
      </c>
      <c r="B222" s="11">
        <v>42395</v>
      </c>
      <c r="C222" s="7">
        <v>2016</v>
      </c>
      <c r="D222" s="7" t="s">
        <v>2759</v>
      </c>
      <c r="E222" s="7" t="s">
        <v>38</v>
      </c>
      <c r="F222" s="7" t="s">
        <v>4599</v>
      </c>
      <c r="G222" s="7" t="s">
        <v>4585</v>
      </c>
      <c r="H222" s="12">
        <v>0.18</v>
      </c>
      <c r="I222" s="7" t="s">
        <v>2333</v>
      </c>
      <c r="J222" s="7" t="str" cm="1">
        <f t="array" ref="J22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22" s="7" t="s">
        <v>4768</v>
      </c>
    </row>
    <row r="223" spans="1:11">
      <c r="A223" s="7" t="s">
        <v>2760</v>
      </c>
      <c r="B223" s="11">
        <v>42396</v>
      </c>
      <c r="C223" s="7">
        <v>2016</v>
      </c>
      <c r="D223" s="7" t="s">
        <v>2761</v>
      </c>
      <c r="E223" s="7" t="s">
        <v>2440</v>
      </c>
      <c r="F223" s="7" t="s">
        <v>4599</v>
      </c>
      <c r="G223" s="7" t="s">
        <v>4580</v>
      </c>
      <c r="H223" s="12">
        <v>0.61</v>
      </c>
      <c r="I223" s="7" t="s">
        <v>2261</v>
      </c>
      <c r="J223" s="7" t="str" cm="1">
        <f t="array" ref="J22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23" s="7" t="s">
        <v>4768</v>
      </c>
    </row>
    <row r="224" spans="1:11">
      <c r="A224" s="7" t="s">
        <v>2762</v>
      </c>
      <c r="B224" s="11">
        <v>42421</v>
      </c>
      <c r="C224" s="7">
        <v>2016</v>
      </c>
      <c r="D224" s="7" t="s">
        <v>2763</v>
      </c>
      <c r="E224" s="7" t="s">
        <v>42</v>
      </c>
      <c r="F224" s="7" t="s">
        <v>4599</v>
      </c>
      <c r="G224" s="7" t="s">
        <v>4578</v>
      </c>
      <c r="H224" s="12">
        <v>4.82</v>
      </c>
      <c r="I224" s="7" t="s">
        <v>2420</v>
      </c>
      <c r="J224" s="7" t="str" cm="1">
        <f t="array" ref="J22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24" s="7" t="s">
        <v>4768</v>
      </c>
    </row>
    <row r="225" spans="1:11">
      <c r="A225" s="7" t="s">
        <v>2764</v>
      </c>
      <c r="B225" s="11">
        <v>42431</v>
      </c>
      <c r="C225" s="7">
        <v>2016</v>
      </c>
      <c r="D225" s="7" t="s">
        <v>2765</v>
      </c>
      <c r="E225" s="7" t="s">
        <v>304</v>
      </c>
      <c r="F225" s="7" t="s">
        <v>4602</v>
      </c>
      <c r="G225" s="7" t="s">
        <v>4583</v>
      </c>
      <c r="H225" s="12">
        <v>0.84</v>
      </c>
      <c r="I225" s="7" t="s">
        <v>2766</v>
      </c>
      <c r="J225" s="7" t="str" cm="1">
        <f t="array" ref="J22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25" s="7" t="s">
        <v>4768</v>
      </c>
    </row>
    <row r="226" spans="1:11">
      <c r="A226" s="7" t="s">
        <v>2767</v>
      </c>
      <c r="B226" s="11">
        <v>42439</v>
      </c>
      <c r="C226" s="7">
        <v>2016</v>
      </c>
      <c r="D226" s="7" t="s">
        <v>2768</v>
      </c>
      <c r="E226" s="7" t="s">
        <v>2632</v>
      </c>
      <c r="F226" s="7" t="s">
        <v>4598</v>
      </c>
      <c r="G226" s="7" t="s">
        <v>4587</v>
      </c>
      <c r="H226" s="12">
        <v>0.04</v>
      </c>
      <c r="I226" s="7" t="s">
        <v>2285</v>
      </c>
      <c r="J226" s="7" t="str" cm="1">
        <f t="array" ref="J22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26" s="7" t="s">
        <v>4768</v>
      </c>
    </row>
    <row r="227" spans="1:11">
      <c r="A227" s="7" t="s">
        <v>2769</v>
      </c>
      <c r="B227" s="11">
        <v>42463</v>
      </c>
      <c r="C227" s="7">
        <v>2016</v>
      </c>
      <c r="D227" s="7" t="s">
        <v>2770</v>
      </c>
      <c r="E227" s="7" t="s">
        <v>2267</v>
      </c>
      <c r="F227" s="7" t="s">
        <v>4598</v>
      </c>
      <c r="G227" s="7" t="s">
        <v>4585</v>
      </c>
      <c r="H227" s="12">
        <v>2.57</v>
      </c>
      <c r="I227" s="7" t="s">
        <v>2316</v>
      </c>
      <c r="J227" s="7" t="str" cm="1">
        <f t="array" ref="J22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27" s="7" t="s">
        <v>4768</v>
      </c>
    </row>
    <row r="228" spans="1:11">
      <c r="A228" s="7" t="s">
        <v>2771</v>
      </c>
      <c r="B228" s="11">
        <v>42463</v>
      </c>
      <c r="C228" s="7">
        <v>2016</v>
      </c>
      <c r="D228" s="7" t="s">
        <v>2772</v>
      </c>
      <c r="E228" s="7" t="s">
        <v>9</v>
      </c>
      <c r="F228" s="7" t="s">
        <v>4599</v>
      </c>
      <c r="G228" s="7" t="s">
        <v>4580</v>
      </c>
      <c r="H228" s="12">
        <v>0.06</v>
      </c>
      <c r="I228" s="7" t="s">
        <v>2261</v>
      </c>
      <c r="J228" s="7" t="str" cm="1">
        <f t="array" ref="J22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28" s="7" t="s">
        <v>4768</v>
      </c>
    </row>
    <row r="229" spans="1:11">
      <c r="A229" s="7" t="s">
        <v>2773</v>
      </c>
      <c r="B229" s="11">
        <v>42470</v>
      </c>
      <c r="C229" s="7">
        <v>2016</v>
      </c>
      <c r="D229" s="7" t="s">
        <v>2774</v>
      </c>
      <c r="E229" s="7" t="s">
        <v>2257</v>
      </c>
      <c r="F229" s="7" t="s">
        <v>4602</v>
      </c>
      <c r="G229" s="7" t="s">
        <v>4578</v>
      </c>
      <c r="H229" s="12">
        <v>3.63</v>
      </c>
      <c r="I229" s="7" t="s">
        <v>2501</v>
      </c>
      <c r="J229" s="7" t="str" cm="1">
        <f t="array" ref="J22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29" s="7" t="s">
        <v>4768</v>
      </c>
    </row>
    <row r="230" spans="1:11">
      <c r="A230" s="7" t="s">
        <v>2775</v>
      </c>
      <c r="B230" s="11">
        <v>42479</v>
      </c>
      <c r="C230" s="7">
        <v>2016</v>
      </c>
      <c r="D230" s="7" t="s">
        <v>2776</v>
      </c>
      <c r="E230" s="7" t="s">
        <v>2257</v>
      </c>
      <c r="F230" s="7" t="s">
        <v>4598</v>
      </c>
      <c r="G230" s="7" t="s">
        <v>4587</v>
      </c>
      <c r="H230" s="12">
        <v>0.01</v>
      </c>
      <c r="I230" s="7" t="s">
        <v>2285</v>
      </c>
      <c r="J230" s="7" t="str" cm="1">
        <f t="array" ref="J23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30" s="7" t="s">
        <v>4768</v>
      </c>
    </row>
    <row r="231" spans="1:11">
      <c r="A231" s="7" t="s">
        <v>2777</v>
      </c>
      <c r="B231" s="11">
        <v>42495</v>
      </c>
      <c r="C231" s="7">
        <v>2016</v>
      </c>
      <c r="D231" s="7" t="s">
        <v>2778</v>
      </c>
      <c r="E231" s="7" t="s">
        <v>2293</v>
      </c>
      <c r="F231" s="7" t="s">
        <v>4598</v>
      </c>
      <c r="G231" s="7" t="s">
        <v>4585</v>
      </c>
      <c r="H231" s="12">
        <v>0.1</v>
      </c>
      <c r="I231" s="7" t="s">
        <v>2316</v>
      </c>
      <c r="J231" s="7" t="str" cm="1">
        <f t="array" ref="J23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31" s="7" t="s">
        <v>4768</v>
      </c>
    </row>
    <row r="232" spans="1:11">
      <c r="A232" s="7" t="s">
        <v>2779</v>
      </c>
      <c r="B232" s="11">
        <v>42526</v>
      </c>
      <c r="C232" s="7">
        <v>2016</v>
      </c>
      <c r="D232" s="7" t="s">
        <v>2780</v>
      </c>
      <c r="E232" s="7" t="s">
        <v>1676</v>
      </c>
      <c r="F232" s="7" t="s">
        <v>4598</v>
      </c>
      <c r="G232" s="7" t="s">
        <v>4580</v>
      </c>
      <c r="H232" s="12">
        <v>0.1</v>
      </c>
      <c r="I232" s="7" t="s">
        <v>2268</v>
      </c>
      <c r="J232" s="7" t="str" cm="1">
        <f t="array" ref="J23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32" s="7" t="s">
        <v>4768</v>
      </c>
    </row>
    <row r="233" spans="1:11">
      <c r="A233" s="7" t="s">
        <v>2781</v>
      </c>
      <c r="B233" s="11">
        <v>42570</v>
      </c>
      <c r="C233" s="7">
        <v>2016</v>
      </c>
      <c r="D233" s="7" t="s">
        <v>2782</v>
      </c>
      <c r="E233" s="7" t="s">
        <v>1676</v>
      </c>
      <c r="F233" s="7" t="s">
        <v>4598</v>
      </c>
      <c r="G233" s="7" t="s">
        <v>4580</v>
      </c>
      <c r="H233" s="12">
        <v>2</v>
      </c>
      <c r="I233" s="7" t="s">
        <v>2268</v>
      </c>
      <c r="J233" s="7" t="str" cm="1">
        <f t="array" ref="J233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33" s="7" t="s">
        <v>4768</v>
      </c>
    </row>
    <row r="234" spans="1:11">
      <c r="A234" s="7" t="s">
        <v>2783</v>
      </c>
      <c r="B234" s="11">
        <v>42591</v>
      </c>
      <c r="C234" s="7">
        <v>2016</v>
      </c>
      <c r="D234" s="7" t="s">
        <v>2784</v>
      </c>
      <c r="E234" s="7" t="s">
        <v>215</v>
      </c>
      <c r="F234" s="7" t="s">
        <v>4598</v>
      </c>
      <c r="G234" s="7" t="s">
        <v>4580</v>
      </c>
      <c r="H234" s="12">
        <v>0.01</v>
      </c>
      <c r="I234" s="7" t="s">
        <v>2268</v>
      </c>
      <c r="J234" s="7" t="str" cm="1">
        <f t="array" ref="J23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34" s="7" t="s">
        <v>4768</v>
      </c>
    </row>
    <row r="235" spans="1:11">
      <c r="A235" s="7" t="s">
        <v>2785</v>
      </c>
      <c r="B235" s="11">
        <v>42608</v>
      </c>
      <c r="C235" s="7">
        <v>2016</v>
      </c>
      <c r="D235" s="7" t="s">
        <v>2786</v>
      </c>
      <c r="E235" s="7" t="s">
        <v>2267</v>
      </c>
      <c r="F235" s="7" t="s">
        <v>4598</v>
      </c>
      <c r="G235" s="7" t="s">
        <v>4583</v>
      </c>
      <c r="H235" s="12">
        <v>0.08</v>
      </c>
      <c r="I235" s="7" t="s">
        <v>2363</v>
      </c>
      <c r="J235" s="7" t="str" cm="1">
        <f t="array" ref="J23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35" s="7" t="s">
        <v>4768</v>
      </c>
    </row>
    <row r="236" spans="1:11">
      <c r="A236" s="7" t="s">
        <v>2787</v>
      </c>
      <c r="B236" s="11">
        <v>42619</v>
      </c>
      <c r="C236" s="7">
        <v>2016</v>
      </c>
      <c r="D236" s="7" t="s">
        <v>2788</v>
      </c>
      <c r="E236" s="7" t="s">
        <v>125</v>
      </c>
      <c r="F236" s="7" t="s">
        <v>4598</v>
      </c>
      <c r="G236" s="7" t="s">
        <v>4580</v>
      </c>
      <c r="H236" s="12">
        <v>1.76</v>
      </c>
      <c r="I236" s="7" t="s">
        <v>2268</v>
      </c>
      <c r="J236" s="7" t="str" cm="1">
        <f t="array" ref="J23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36" s="7" t="s">
        <v>4768</v>
      </c>
    </row>
    <row r="237" spans="1:11">
      <c r="A237" s="7" t="s">
        <v>2789</v>
      </c>
      <c r="B237" s="11">
        <v>42627</v>
      </c>
      <c r="C237" s="7">
        <v>2016</v>
      </c>
      <c r="D237" s="7" t="s">
        <v>2790</v>
      </c>
      <c r="E237" s="7" t="s">
        <v>2440</v>
      </c>
      <c r="F237" s="7" t="s">
        <v>4599</v>
      </c>
      <c r="G237" s="7" t="s">
        <v>4580</v>
      </c>
      <c r="H237" s="12">
        <v>0.09</v>
      </c>
      <c r="I237" s="7" t="s">
        <v>2261</v>
      </c>
      <c r="J237" s="7" t="str" cm="1">
        <f t="array" ref="J23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37" s="7" t="s">
        <v>4768</v>
      </c>
    </row>
    <row r="238" spans="1:11">
      <c r="A238" s="7" t="s">
        <v>2791</v>
      </c>
      <c r="B238" s="11">
        <v>42647</v>
      </c>
      <c r="C238" s="7">
        <v>2016</v>
      </c>
      <c r="D238" s="7" t="s">
        <v>2792</v>
      </c>
      <c r="E238" s="7" t="s">
        <v>2257</v>
      </c>
      <c r="F238" s="7" t="s">
        <v>4598</v>
      </c>
      <c r="G238" s="7" t="s">
        <v>4580</v>
      </c>
      <c r="H238" s="12">
        <v>5.93</v>
      </c>
      <c r="I238" s="7" t="s">
        <v>2268</v>
      </c>
      <c r="J238" s="7" t="str" cm="1">
        <f t="array" ref="J238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238" s="7" t="s">
        <v>4768</v>
      </c>
    </row>
    <row r="239" spans="1:11">
      <c r="A239" s="7" t="s">
        <v>2793</v>
      </c>
      <c r="B239" s="11">
        <v>42690</v>
      </c>
      <c r="C239" s="7">
        <v>2016</v>
      </c>
      <c r="D239" s="7" t="s">
        <v>2794</v>
      </c>
      <c r="E239" s="7" t="s">
        <v>2324</v>
      </c>
      <c r="F239" s="7" t="s">
        <v>4599</v>
      </c>
      <c r="G239" s="7" t="s">
        <v>4585</v>
      </c>
      <c r="H239" s="12">
        <v>0.06</v>
      </c>
      <c r="I239" s="7" t="s">
        <v>2333</v>
      </c>
      <c r="J239" s="7" t="str" cm="1">
        <f t="array" ref="J23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39" s="7" t="s">
        <v>4768</v>
      </c>
    </row>
    <row r="240" spans="1:11">
      <c r="A240" s="7" t="s">
        <v>2795</v>
      </c>
      <c r="B240" s="11">
        <v>42719</v>
      </c>
      <c r="C240" s="7">
        <v>2016</v>
      </c>
      <c r="D240" s="7" t="s">
        <v>2796</v>
      </c>
      <c r="E240" s="7" t="s">
        <v>1676</v>
      </c>
      <c r="F240" s="7" t="s">
        <v>4598</v>
      </c>
      <c r="G240" s="7" t="s">
        <v>4585</v>
      </c>
      <c r="H240" s="12">
        <v>0.01</v>
      </c>
      <c r="I240" s="7" t="s">
        <v>2316</v>
      </c>
      <c r="J240" s="7" t="str" cm="1">
        <f t="array" ref="J24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40" s="7" t="s">
        <v>4768</v>
      </c>
    </row>
    <row r="241" spans="1:11">
      <c r="A241" s="7" t="s">
        <v>2797</v>
      </c>
      <c r="B241" s="11">
        <v>42723</v>
      </c>
      <c r="C241" s="7">
        <v>2016</v>
      </c>
      <c r="D241" s="7" t="s">
        <v>2798</v>
      </c>
      <c r="E241" s="7" t="s">
        <v>2297</v>
      </c>
      <c r="F241" s="7" t="s">
        <v>4599</v>
      </c>
      <c r="G241" s="7" t="s">
        <v>4584</v>
      </c>
      <c r="H241" s="12">
        <v>0.21</v>
      </c>
      <c r="I241" s="7" t="s">
        <v>2799</v>
      </c>
      <c r="J241" s="7" t="str" cm="1">
        <f t="array" ref="J24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41" s="7" t="s">
        <v>4768</v>
      </c>
    </row>
    <row r="242" spans="1:11">
      <c r="A242" s="7" t="s">
        <v>2800</v>
      </c>
      <c r="B242" s="11">
        <v>42727</v>
      </c>
      <c r="C242" s="7">
        <v>2016</v>
      </c>
      <c r="D242" s="7" t="s">
        <v>2801</v>
      </c>
      <c r="E242" s="7" t="s">
        <v>2802</v>
      </c>
      <c r="F242" s="7" t="s">
        <v>4598</v>
      </c>
      <c r="G242" s="7" t="s">
        <v>4587</v>
      </c>
      <c r="H242" s="12">
        <v>2.1</v>
      </c>
      <c r="I242" s="7" t="s">
        <v>2803</v>
      </c>
      <c r="J242" s="7" t="str" cm="1">
        <f t="array" ref="J24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42" s="7" t="s">
        <v>4743</v>
      </c>
    </row>
    <row r="243" spans="1:11">
      <c r="A243" s="7" t="s">
        <v>2804</v>
      </c>
      <c r="B243" s="11">
        <v>42746</v>
      </c>
      <c r="C243" s="7">
        <v>2017</v>
      </c>
      <c r="D243" s="7" t="s">
        <v>2805</v>
      </c>
      <c r="E243" s="7" t="s">
        <v>53</v>
      </c>
      <c r="F243" s="7" t="s">
        <v>4599</v>
      </c>
      <c r="G243" s="7" t="s">
        <v>4587</v>
      </c>
      <c r="H243" s="12">
        <v>4.2699999999999996</v>
      </c>
      <c r="I243" s="7" t="s">
        <v>2387</v>
      </c>
      <c r="J243" s="7" t="str" cm="1">
        <f t="array" ref="J243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43" s="7" t="s">
        <v>4768</v>
      </c>
    </row>
    <row r="244" spans="1:11">
      <c r="A244" s="7" t="s">
        <v>2806</v>
      </c>
      <c r="B244" s="11">
        <v>42750</v>
      </c>
      <c r="C244" s="7">
        <v>2017</v>
      </c>
      <c r="D244" s="7" t="s">
        <v>2807</v>
      </c>
      <c r="E244" s="7" t="s">
        <v>38</v>
      </c>
      <c r="F244" s="7" t="s">
        <v>4599</v>
      </c>
      <c r="G244" s="7" t="s">
        <v>4581</v>
      </c>
      <c r="H244" s="12">
        <v>2.0499999999999998</v>
      </c>
      <c r="I244" s="7" t="s">
        <v>2553</v>
      </c>
      <c r="J244" s="7" t="str" cm="1">
        <f t="array" ref="J24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44" s="7" t="s">
        <v>4768</v>
      </c>
    </row>
    <row r="245" spans="1:11">
      <c r="A245" s="7" t="s">
        <v>2808</v>
      </c>
      <c r="B245" s="11">
        <v>42755</v>
      </c>
      <c r="C245" s="7">
        <v>2017</v>
      </c>
      <c r="D245" s="7" t="s">
        <v>2809</v>
      </c>
      <c r="E245" s="7" t="s">
        <v>2297</v>
      </c>
      <c r="F245" s="7" t="s">
        <v>4598</v>
      </c>
      <c r="G245" s="7" t="s">
        <v>4587</v>
      </c>
      <c r="H245" s="12">
        <v>2.77</v>
      </c>
      <c r="I245" s="7" t="s">
        <v>2285</v>
      </c>
      <c r="J245" s="7" t="str" cm="1">
        <f t="array" ref="J24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45" s="7" t="s">
        <v>4768</v>
      </c>
    </row>
    <row r="246" spans="1:11">
      <c r="A246" s="7" t="s">
        <v>2810</v>
      </c>
      <c r="B246" s="11">
        <v>42777</v>
      </c>
      <c r="C246" s="7">
        <v>2017</v>
      </c>
      <c r="D246" s="7" t="s">
        <v>2811</v>
      </c>
      <c r="E246" s="7" t="s">
        <v>125</v>
      </c>
      <c r="F246" s="7" t="s">
        <v>4598</v>
      </c>
      <c r="G246" s="7" t="s">
        <v>4578</v>
      </c>
      <c r="H246" s="12">
        <v>0.91</v>
      </c>
      <c r="I246" s="7" t="s">
        <v>2251</v>
      </c>
      <c r="J246" s="7" t="str" cm="1">
        <f t="array" ref="J24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46" s="7" t="s">
        <v>4768</v>
      </c>
    </row>
    <row r="247" spans="1:11">
      <c r="A247" s="7" t="s">
        <v>2812</v>
      </c>
      <c r="B247" s="11">
        <v>42778</v>
      </c>
      <c r="C247" s="7">
        <v>2017</v>
      </c>
      <c r="D247" s="7" t="s">
        <v>2813</v>
      </c>
      <c r="E247" s="7" t="s">
        <v>31</v>
      </c>
      <c r="F247" s="7" t="s">
        <v>4598</v>
      </c>
      <c r="G247" s="7" t="s">
        <v>4585</v>
      </c>
      <c r="H247" s="12">
        <v>0.71</v>
      </c>
      <c r="I247" s="7" t="s">
        <v>2316</v>
      </c>
      <c r="J247" s="7" t="str" cm="1">
        <f t="array" ref="J24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47" s="7" t="s">
        <v>4768</v>
      </c>
    </row>
    <row r="248" spans="1:11">
      <c r="A248" s="7" t="s">
        <v>2814</v>
      </c>
      <c r="B248" s="11">
        <v>42799</v>
      </c>
      <c r="C248" s="7">
        <v>2017</v>
      </c>
      <c r="D248" s="7" t="s">
        <v>2815</v>
      </c>
      <c r="E248" s="7" t="s">
        <v>1608</v>
      </c>
      <c r="F248" s="7" t="s">
        <v>4598</v>
      </c>
      <c r="G248" s="7" t="s">
        <v>4587</v>
      </c>
      <c r="H248" s="12">
        <v>0.08</v>
      </c>
      <c r="I248" s="7" t="s">
        <v>2285</v>
      </c>
      <c r="J248" s="7" t="str" cm="1">
        <f t="array" ref="J24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48" s="7" t="s">
        <v>4768</v>
      </c>
    </row>
    <row r="249" spans="1:11">
      <c r="A249" s="7" t="s">
        <v>2816</v>
      </c>
      <c r="B249" s="11">
        <v>42801</v>
      </c>
      <c r="C249" s="7">
        <v>2017</v>
      </c>
      <c r="D249" s="7" t="s">
        <v>2817</v>
      </c>
      <c r="E249" s="7" t="s">
        <v>215</v>
      </c>
      <c r="F249" s="7" t="s">
        <v>4601</v>
      </c>
      <c r="G249" s="7" t="s">
        <v>4578</v>
      </c>
      <c r="H249" s="12">
        <v>1.74</v>
      </c>
      <c r="I249" s="7" t="s">
        <v>2302</v>
      </c>
      <c r="J249" s="7" t="str" cm="1">
        <f t="array" ref="J24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49" s="7" t="s">
        <v>4768</v>
      </c>
    </row>
    <row r="250" spans="1:11">
      <c r="A250" s="7" t="s">
        <v>2818</v>
      </c>
      <c r="B250" s="11">
        <v>42813</v>
      </c>
      <c r="C250" s="7">
        <v>2017</v>
      </c>
      <c r="D250" s="7" t="s">
        <v>2819</v>
      </c>
      <c r="E250" s="7" t="s">
        <v>53</v>
      </c>
      <c r="F250" s="7" t="s">
        <v>4600</v>
      </c>
      <c r="G250" s="7" t="s">
        <v>4585</v>
      </c>
      <c r="H250" s="12">
        <v>0.02</v>
      </c>
      <c r="I250" s="7" t="s">
        <v>2820</v>
      </c>
      <c r="J250" s="7" t="str" cm="1">
        <f t="array" ref="J25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50" s="7" t="s">
        <v>4768</v>
      </c>
    </row>
    <row r="251" spans="1:11">
      <c r="A251" s="7" t="s">
        <v>2821</v>
      </c>
      <c r="B251" s="11">
        <v>42818</v>
      </c>
      <c r="C251" s="7">
        <v>2017</v>
      </c>
      <c r="D251" s="7" t="s">
        <v>2822</v>
      </c>
      <c r="E251" s="7" t="s">
        <v>1610</v>
      </c>
      <c r="F251" s="7" t="s">
        <v>4599</v>
      </c>
      <c r="G251" s="7" t="s">
        <v>4580</v>
      </c>
      <c r="H251" s="12">
        <v>0.25</v>
      </c>
      <c r="I251" s="7" t="s">
        <v>2261</v>
      </c>
      <c r="J251" s="7" t="str" cm="1">
        <f t="array" ref="J25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51" s="7" t="s">
        <v>4768</v>
      </c>
    </row>
    <row r="252" spans="1:11">
      <c r="A252" s="7" t="s">
        <v>2823</v>
      </c>
      <c r="B252" s="11">
        <v>42821</v>
      </c>
      <c r="C252" s="7">
        <v>2017</v>
      </c>
      <c r="D252" s="7" t="s">
        <v>2824</v>
      </c>
      <c r="E252" s="7" t="s">
        <v>2632</v>
      </c>
      <c r="F252" s="7" t="s">
        <v>4599</v>
      </c>
      <c r="G252" s="7" t="s">
        <v>4587</v>
      </c>
      <c r="H252" s="12">
        <v>0.04</v>
      </c>
      <c r="I252" s="7" t="s">
        <v>2387</v>
      </c>
      <c r="J252" s="7" t="str" cm="1">
        <f t="array" ref="J25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52" s="7" t="s">
        <v>4768</v>
      </c>
    </row>
    <row r="253" spans="1:11">
      <c r="A253" s="7" t="s">
        <v>2825</v>
      </c>
      <c r="B253" s="11">
        <v>42822</v>
      </c>
      <c r="C253" s="7">
        <v>2017</v>
      </c>
      <c r="D253" s="7" t="s">
        <v>2826</v>
      </c>
      <c r="E253" s="7" t="s">
        <v>2709</v>
      </c>
      <c r="F253" s="7" t="s">
        <v>4599</v>
      </c>
      <c r="G253" s="7" t="s">
        <v>4585</v>
      </c>
      <c r="H253" s="12">
        <v>14</v>
      </c>
      <c r="I253" s="7" t="s">
        <v>2827</v>
      </c>
      <c r="J253" s="7" t="str" cm="1">
        <f t="array" ref="J253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253" s="7" t="s">
        <v>4743</v>
      </c>
    </row>
    <row r="254" spans="1:11">
      <c r="A254" s="7" t="s">
        <v>2828</v>
      </c>
      <c r="B254" s="11">
        <v>42822</v>
      </c>
      <c r="C254" s="7">
        <v>2017</v>
      </c>
      <c r="D254" s="7" t="s">
        <v>2829</v>
      </c>
      <c r="E254" s="7" t="s">
        <v>17</v>
      </c>
      <c r="F254" s="7" t="s">
        <v>4599</v>
      </c>
      <c r="G254" s="7" t="s">
        <v>4578</v>
      </c>
      <c r="H254" s="12">
        <v>7</v>
      </c>
      <c r="I254" s="7" t="s">
        <v>2830</v>
      </c>
      <c r="J254" s="7" t="str" cm="1">
        <f t="array" ref="J254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254" s="7" t="s">
        <v>4743</v>
      </c>
    </row>
    <row r="255" spans="1:11">
      <c r="A255" s="7" t="s">
        <v>2831</v>
      </c>
      <c r="B255" s="11">
        <v>42839</v>
      </c>
      <c r="C255" s="7">
        <v>2017</v>
      </c>
      <c r="D255" s="7" t="s">
        <v>2832</v>
      </c>
      <c r="E255" s="7" t="s">
        <v>53</v>
      </c>
      <c r="F255" s="7" t="s">
        <v>4598</v>
      </c>
      <c r="G255" s="7" t="s">
        <v>4604</v>
      </c>
      <c r="H255" s="12">
        <v>0.5</v>
      </c>
      <c r="I255" s="7" t="s">
        <v>2330</v>
      </c>
      <c r="J255" s="7" t="str" cm="1">
        <f t="array" ref="J25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55" s="7" t="s">
        <v>4768</v>
      </c>
    </row>
    <row r="256" spans="1:11">
      <c r="A256" s="7" t="s">
        <v>2833</v>
      </c>
      <c r="B256" s="11">
        <v>42841</v>
      </c>
      <c r="C256" s="7">
        <v>2017</v>
      </c>
      <c r="D256" s="7" t="s">
        <v>2834</v>
      </c>
      <c r="E256" s="7" t="s">
        <v>2264</v>
      </c>
      <c r="F256" s="7" t="s">
        <v>4598</v>
      </c>
      <c r="G256" s="7" t="s">
        <v>4578</v>
      </c>
      <c r="H256" s="12">
        <v>7.0000000000000007E-2</v>
      </c>
      <c r="I256" s="7" t="s">
        <v>2251</v>
      </c>
      <c r="J256" s="7" t="str" cm="1">
        <f t="array" ref="J25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56" s="7" t="s">
        <v>4768</v>
      </c>
    </row>
    <row r="257" spans="1:11">
      <c r="A257" s="7" t="s">
        <v>2835</v>
      </c>
      <c r="B257" s="11">
        <v>42848</v>
      </c>
      <c r="C257" s="7">
        <v>2017</v>
      </c>
      <c r="D257" s="7" t="s">
        <v>2836</v>
      </c>
      <c r="E257" s="7" t="s">
        <v>125</v>
      </c>
      <c r="F257" s="7" t="s">
        <v>4598</v>
      </c>
      <c r="G257" s="7" t="s">
        <v>4582</v>
      </c>
      <c r="H257" s="12">
        <v>0.04</v>
      </c>
      <c r="I257" s="7" t="s">
        <v>2356</v>
      </c>
      <c r="J257" s="7" t="str" cm="1">
        <f t="array" ref="J25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57" s="7" t="s">
        <v>4768</v>
      </c>
    </row>
    <row r="258" spans="1:11">
      <c r="A258" s="7" t="s">
        <v>2837</v>
      </c>
      <c r="B258" s="11">
        <v>42861</v>
      </c>
      <c r="C258" s="7">
        <v>2017</v>
      </c>
      <c r="D258" s="7" t="s">
        <v>2838</v>
      </c>
      <c r="E258" s="7" t="s">
        <v>38</v>
      </c>
      <c r="F258" s="7" t="s">
        <v>4599</v>
      </c>
      <c r="G258" s="7" t="s">
        <v>4579</v>
      </c>
      <c r="H258" s="12">
        <v>1.34</v>
      </c>
      <c r="I258" s="7" t="s">
        <v>2426</v>
      </c>
      <c r="J258" s="7" t="str" cm="1">
        <f t="array" ref="J258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58" s="7" t="s">
        <v>4768</v>
      </c>
    </row>
    <row r="259" spans="1:11">
      <c r="A259" s="7" t="s">
        <v>2839</v>
      </c>
      <c r="B259" s="11">
        <v>42866</v>
      </c>
      <c r="C259" s="7">
        <v>2017</v>
      </c>
      <c r="D259" s="7" t="s">
        <v>2840</v>
      </c>
      <c r="E259" s="7" t="s">
        <v>1676</v>
      </c>
      <c r="F259" s="7" t="s">
        <v>4601</v>
      </c>
      <c r="G259" s="7" t="s">
        <v>4584</v>
      </c>
      <c r="H259" s="12">
        <v>0.92</v>
      </c>
      <c r="I259" s="7" t="s">
        <v>2841</v>
      </c>
      <c r="J259" s="7" t="str" cm="1">
        <f t="array" ref="J25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59" s="7" t="s">
        <v>4768</v>
      </c>
    </row>
    <row r="260" spans="1:11">
      <c r="A260" s="7" t="s">
        <v>2842</v>
      </c>
      <c r="B260" s="11">
        <v>42873</v>
      </c>
      <c r="C260" s="7">
        <v>2017</v>
      </c>
      <c r="D260" s="7" t="s">
        <v>2843</v>
      </c>
      <c r="E260" s="7" t="s">
        <v>1610</v>
      </c>
      <c r="F260" s="7" t="s">
        <v>4598</v>
      </c>
      <c r="G260" s="7" t="s">
        <v>4581</v>
      </c>
      <c r="H260" s="12">
        <v>0.1</v>
      </c>
      <c r="I260" s="7" t="s">
        <v>2586</v>
      </c>
      <c r="J260" s="7" t="str" cm="1">
        <f t="array" ref="J26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60" s="7" t="s">
        <v>4768</v>
      </c>
    </row>
    <row r="261" spans="1:11">
      <c r="A261" s="7" t="s">
        <v>2844</v>
      </c>
      <c r="B261" s="11">
        <v>42875</v>
      </c>
      <c r="C261" s="7">
        <v>2017</v>
      </c>
      <c r="D261" s="7" t="s">
        <v>2845</v>
      </c>
      <c r="E261" s="7" t="s">
        <v>2250</v>
      </c>
      <c r="F261" s="7" t="s">
        <v>4599</v>
      </c>
      <c r="G261" s="7" t="s">
        <v>4587</v>
      </c>
      <c r="H261" s="12">
        <v>0.52</v>
      </c>
      <c r="I261" s="7" t="s">
        <v>2387</v>
      </c>
      <c r="J261" s="7" t="str" cm="1">
        <f t="array" ref="J26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61" s="7" t="s">
        <v>4768</v>
      </c>
    </row>
    <row r="262" spans="1:11">
      <c r="A262" s="7" t="s">
        <v>2846</v>
      </c>
      <c r="B262" s="11">
        <v>42876</v>
      </c>
      <c r="C262" s="7">
        <v>2017</v>
      </c>
      <c r="D262" s="7" t="s">
        <v>2847</v>
      </c>
      <c r="E262" s="7" t="s">
        <v>67</v>
      </c>
      <c r="F262" s="7" t="s">
        <v>4600</v>
      </c>
      <c r="G262" s="7" t="s">
        <v>4578</v>
      </c>
      <c r="H262" s="12">
        <v>1.45</v>
      </c>
      <c r="I262" s="7" t="s">
        <v>2294</v>
      </c>
      <c r="J262" s="7" t="str" cm="1">
        <f t="array" ref="J26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62" s="7" t="s">
        <v>4768</v>
      </c>
    </row>
    <row r="263" spans="1:11">
      <c r="A263" s="7" t="s">
        <v>2848</v>
      </c>
      <c r="B263" s="11">
        <v>42882</v>
      </c>
      <c r="C263" s="7">
        <v>2017</v>
      </c>
      <c r="D263" s="7" t="s">
        <v>2849</v>
      </c>
      <c r="E263" s="7" t="s">
        <v>2301</v>
      </c>
      <c r="F263" s="7" t="s">
        <v>4598</v>
      </c>
      <c r="G263" s="7" t="s">
        <v>4578</v>
      </c>
      <c r="H263" s="12">
        <v>0.01</v>
      </c>
      <c r="I263" s="7" t="s">
        <v>2251</v>
      </c>
      <c r="J263" s="7" t="str" cm="1">
        <f t="array" ref="J26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63" s="7" t="s">
        <v>4768</v>
      </c>
    </row>
    <row r="264" spans="1:11">
      <c r="A264" s="7" t="s">
        <v>2850</v>
      </c>
      <c r="B264" s="11">
        <v>42887</v>
      </c>
      <c r="C264" s="7">
        <v>2017</v>
      </c>
      <c r="D264" s="7" t="s">
        <v>2851</v>
      </c>
      <c r="E264" s="7" t="s">
        <v>1403</v>
      </c>
      <c r="F264" s="7" t="s">
        <v>4599</v>
      </c>
      <c r="G264" s="7" t="s">
        <v>4580</v>
      </c>
      <c r="H264" s="12">
        <v>0.01</v>
      </c>
      <c r="I264" s="7" t="s">
        <v>2261</v>
      </c>
      <c r="J264" s="7" t="str" cm="1">
        <f t="array" ref="J26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64" s="7" t="s">
        <v>4768</v>
      </c>
    </row>
    <row r="265" spans="1:11">
      <c r="A265" s="7" t="s">
        <v>2852</v>
      </c>
      <c r="B265" s="11">
        <v>42887</v>
      </c>
      <c r="C265" s="7">
        <v>2017</v>
      </c>
      <c r="D265" s="7" t="s">
        <v>2853</v>
      </c>
      <c r="E265" s="7" t="s">
        <v>146</v>
      </c>
      <c r="F265" s="7" t="s">
        <v>4598</v>
      </c>
      <c r="G265" s="7" t="s">
        <v>4585</v>
      </c>
      <c r="H265" s="12">
        <v>0.7</v>
      </c>
      <c r="I265" s="7" t="s">
        <v>2316</v>
      </c>
      <c r="J265" s="7" t="str" cm="1">
        <f t="array" ref="J26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65" s="7" t="s">
        <v>4768</v>
      </c>
    </row>
    <row r="266" spans="1:11">
      <c r="A266" s="7" t="s">
        <v>2854</v>
      </c>
      <c r="B266" s="11">
        <v>42901</v>
      </c>
      <c r="C266" s="7">
        <v>2017</v>
      </c>
      <c r="D266" s="7" t="s">
        <v>2855</v>
      </c>
      <c r="E266" s="7" t="s">
        <v>2257</v>
      </c>
      <c r="F266" s="7" t="s">
        <v>4598</v>
      </c>
      <c r="G266" s="7" t="s">
        <v>4580</v>
      </c>
      <c r="H266" s="12">
        <v>0.23</v>
      </c>
      <c r="I266" s="7" t="s">
        <v>2268</v>
      </c>
      <c r="J266" s="7" t="str" cm="1">
        <f t="array" ref="J26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66" s="7" t="s">
        <v>4768</v>
      </c>
    </row>
    <row r="267" spans="1:11">
      <c r="A267" s="7" t="s">
        <v>2856</v>
      </c>
      <c r="B267" s="11">
        <v>42904</v>
      </c>
      <c r="C267" s="7">
        <v>2017</v>
      </c>
      <c r="D267" s="7" t="s">
        <v>2857</v>
      </c>
      <c r="E267" s="7" t="s">
        <v>304</v>
      </c>
      <c r="F267" s="7" t="s">
        <v>4599</v>
      </c>
      <c r="G267" s="7" t="s">
        <v>4578</v>
      </c>
      <c r="H267" s="12">
        <v>0.14000000000000001</v>
      </c>
      <c r="I267" s="7" t="s">
        <v>2420</v>
      </c>
      <c r="J267" s="7" t="str" cm="1">
        <f t="array" ref="J26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67" s="7" t="s">
        <v>4768</v>
      </c>
    </row>
    <row r="268" spans="1:11">
      <c r="A268" s="7" t="s">
        <v>2858</v>
      </c>
      <c r="B268" s="11">
        <v>42919</v>
      </c>
      <c r="C268" s="7">
        <v>2017</v>
      </c>
      <c r="D268" s="7" t="s">
        <v>2859</v>
      </c>
      <c r="E268" s="7" t="s">
        <v>1610</v>
      </c>
      <c r="F268" s="7" t="s">
        <v>4598</v>
      </c>
      <c r="G268" s="7" t="s">
        <v>4582</v>
      </c>
      <c r="H268" s="12">
        <v>0.05</v>
      </c>
      <c r="I268" s="7" t="s">
        <v>2356</v>
      </c>
      <c r="J268" s="7" t="str" cm="1">
        <f t="array" ref="J26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68" s="7" t="s">
        <v>4768</v>
      </c>
    </row>
    <row r="269" spans="1:11">
      <c r="A269" s="7" t="s">
        <v>2860</v>
      </c>
      <c r="B269" s="11">
        <v>42920</v>
      </c>
      <c r="C269" s="7">
        <v>2017</v>
      </c>
      <c r="D269" s="7" t="s">
        <v>2480</v>
      </c>
      <c r="E269" s="7" t="s">
        <v>2321</v>
      </c>
      <c r="F269" s="7" t="s">
        <v>4598</v>
      </c>
      <c r="G269" s="7" t="s">
        <v>4580</v>
      </c>
      <c r="H269" s="12">
        <v>0.01</v>
      </c>
      <c r="I269" s="7" t="s">
        <v>2268</v>
      </c>
      <c r="J269" s="7" t="str" cm="1">
        <f t="array" ref="J26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69" s="7" t="s">
        <v>4768</v>
      </c>
    </row>
    <row r="270" spans="1:11">
      <c r="A270" s="7" t="s">
        <v>2861</v>
      </c>
      <c r="B270" s="11">
        <v>42928</v>
      </c>
      <c r="C270" s="7">
        <v>2017</v>
      </c>
      <c r="D270" s="7" t="s">
        <v>2862</v>
      </c>
      <c r="E270" s="7" t="s">
        <v>1676</v>
      </c>
      <c r="F270" s="7" t="s">
        <v>4598</v>
      </c>
      <c r="G270" s="7" t="s">
        <v>4580</v>
      </c>
      <c r="H270" s="12">
        <v>0.45</v>
      </c>
      <c r="I270" s="7" t="s">
        <v>2268</v>
      </c>
      <c r="J270" s="7" t="str" cm="1">
        <f t="array" ref="J27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70" s="7" t="s">
        <v>4768</v>
      </c>
    </row>
    <row r="271" spans="1:11">
      <c r="A271" s="7" t="s">
        <v>2863</v>
      </c>
      <c r="B271" s="11">
        <v>42934</v>
      </c>
      <c r="C271" s="7">
        <v>2017</v>
      </c>
      <c r="D271" s="7" t="s">
        <v>2864</v>
      </c>
      <c r="E271" s="7" t="s">
        <v>1403</v>
      </c>
      <c r="F271" s="7" t="s">
        <v>4598</v>
      </c>
      <c r="G271" s="7" t="s">
        <v>4605</v>
      </c>
      <c r="H271" s="12">
        <v>2.2599999999999998</v>
      </c>
      <c r="I271" s="7" t="s">
        <v>2465</v>
      </c>
      <c r="J271" s="7" t="str" cm="1">
        <f t="array" ref="J27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71" s="7" t="s">
        <v>4768</v>
      </c>
    </row>
    <row r="272" spans="1:11">
      <c r="A272" s="7" t="s">
        <v>2865</v>
      </c>
      <c r="B272" s="11">
        <v>42935</v>
      </c>
      <c r="C272" s="7">
        <v>2017</v>
      </c>
      <c r="D272" s="7" t="s">
        <v>2726</v>
      </c>
      <c r="E272" s="7" t="s">
        <v>2254</v>
      </c>
      <c r="F272" s="7" t="s">
        <v>4599</v>
      </c>
      <c r="G272" s="7" t="s">
        <v>4578</v>
      </c>
      <c r="H272" s="12">
        <v>0.03</v>
      </c>
      <c r="I272" s="7" t="s">
        <v>2420</v>
      </c>
      <c r="J272" s="7" t="str" cm="1">
        <f t="array" ref="J27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72" s="7" t="s">
        <v>4768</v>
      </c>
    </row>
    <row r="273" spans="1:11">
      <c r="A273" s="7" t="s">
        <v>2866</v>
      </c>
      <c r="B273" s="11">
        <v>42936</v>
      </c>
      <c r="C273" s="7">
        <v>2017</v>
      </c>
      <c r="D273" s="7" t="s">
        <v>2867</v>
      </c>
      <c r="E273" s="7" t="s">
        <v>125</v>
      </c>
      <c r="F273" s="7" t="s">
        <v>4598</v>
      </c>
      <c r="G273" s="7" t="s">
        <v>4580</v>
      </c>
      <c r="H273" s="12">
        <v>0.03</v>
      </c>
      <c r="I273" s="7" t="s">
        <v>2268</v>
      </c>
      <c r="J273" s="7" t="str" cm="1">
        <f t="array" ref="J27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73" s="7" t="s">
        <v>4768</v>
      </c>
    </row>
    <row r="274" spans="1:11">
      <c r="A274" s="7" t="s">
        <v>2868</v>
      </c>
      <c r="B274" s="11">
        <v>42939</v>
      </c>
      <c r="C274" s="7">
        <v>2017</v>
      </c>
      <c r="D274" s="7" t="s">
        <v>2869</v>
      </c>
      <c r="E274" s="7" t="s">
        <v>2257</v>
      </c>
      <c r="F274" s="7" t="s">
        <v>4602</v>
      </c>
      <c r="G274" s="7" t="s">
        <v>4586</v>
      </c>
      <c r="H274" s="12">
        <v>1.72</v>
      </c>
      <c r="I274" s="7" t="s">
        <v>2476</v>
      </c>
      <c r="J274" s="7" t="str" cm="1">
        <f t="array" ref="J27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74" s="7" t="s">
        <v>4768</v>
      </c>
    </row>
    <row r="275" spans="1:11">
      <c r="A275" s="7" t="s">
        <v>2870</v>
      </c>
      <c r="B275" s="11">
        <v>42940</v>
      </c>
      <c r="C275" s="7">
        <v>2017</v>
      </c>
      <c r="D275" s="7" t="s">
        <v>2871</v>
      </c>
      <c r="E275" s="7" t="s">
        <v>1403</v>
      </c>
      <c r="F275" s="7" t="s">
        <v>4599</v>
      </c>
      <c r="G275" s="7" t="s">
        <v>4580</v>
      </c>
      <c r="H275" s="12">
        <v>3.12</v>
      </c>
      <c r="I275" s="7" t="s">
        <v>2261</v>
      </c>
      <c r="J275" s="7" t="str" cm="1">
        <f t="array" ref="J27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75" s="7" t="s">
        <v>4768</v>
      </c>
    </row>
    <row r="276" spans="1:11">
      <c r="A276" s="7" t="s">
        <v>2872</v>
      </c>
      <c r="B276" s="11">
        <v>42949</v>
      </c>
      <c r="C276" s="7">
        <v>2017</v>
      </c>
      <c r="D276" s="7" t="s">
        <v>2873</v>
      </c>
      <c r="E276" s="7" t="s">
        <v>2275</v>
      </c>
      <c r="F276" s="7" t="s">
        <v>4598</v>
      </c>
      <c r="G276" s="7" t="s">
        <v>4585</v>
      </c>
      <c r="H276" s="12">
        <v>0.11</v>
      </c>
      <c r="I276" s="7" t="s">
        <v>2316</v>
      </c>
      <c r="J276" s="7" t="str" cm="1">
        <f t="array" ref="J27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76" s="7" t="s">
        <v>4768</v>
      </c>
    </row>
    <row r="277" spans="1:11">
      <c r="A277" s="7" t="s">
        <v>2874</v>
      </c>
      <c r="B277" s="11">
        <v>42973</v>
      </c>
      <c r="C277" s="7">
        <v>2017</v>
      </c>
      <c r="D277" s="7" t="s">
        <v>2875</v>
      </c>
      <c r="E277" s="7" t="s">
        <v>2632</v>
      </c>
      <c r="F277" s="7" t="s">
        <v>4599</v>
      </c>
      <c r="G277" s="7" t="s">
        <v>4578</v>
      </c>
      <c r="H277" s="12">
        <v>0.38</v>
      </c>
      <c r="I277" s="7" t="s">
        <v>2420</v>
      </c>
      <c r="J277" s="7" t="str" cm="1">
        <f t="array" ref="J27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77" s="7" t="s">
        <v>4768</v>
      </c>
    </row>
    <row r="278" spans="1:11">
      <c r="A278" s="7" t="s">
        <v>2876</v>
      </c>
      <c r="B278" s="11">
        <v>42977</v>
      </c>
      <c r="C278" s="7">
        <v>2017</v>
      </c>
      <c r="D278" s="7" t="s">
        <v>2877</v>
      </c>
      <c r="E278" s="7" t="s">
        <v>125</v>
      </c>
      <c r="F278" s="7" t="s">
        <v>4600</v>
      </c>
      <c r="G278" s="7" t="s">
        <v>4580</v>
      </c>
      <c r="H278" s="12">
        <v>0.2</v>
      </c>
      <c r="I278" s="7" t="s">
        <v>2878</v>
      </c>
      <c r="J278" s="7" t="str" cm="1">
        <f t="array" ref="J27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78" s="7" t="s">
        <v>4743</v>
      </c>
    </row>
    <row r="279" spans="1:11">
      <c r="A279" s="7" t="s">
        <v>2879</v>
      </c>
      <c r="B279" s="11">
        <v>42989</v>
      </c>
      <c r="C279" s="7">
        <v>2017</v>
      </c>
      <c r="D279" s="7" t="s">
        <v>2880</v>
      </c>
      <c r="E279" s="7" t="s">
        <v>2297</v>
      </c>
      <c r="F279" s="7" t="s">
        <v>4598</v>
      </c>
      <c r="G279" s="7" t="s">
        <v>4582</v>
      </c>
      <c r="H279" s="12">
        <v>0.18</v>
      </c>
      <c r="I279" s="7" t="s">
        <v>2356</v>
      </c>
      <c r="J279" s="7" t="str" cm="1">
        <f t="array" ref="J27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79" s="7" t="s">
        <v>4768</v>
      </c>
    </row>
    <row r="280" spans="1:11">
      <c r="A280" s="7" t="s">
        <v>2881</v>
      </c>
      <c r="B280" s="11">
        <v>42990</v>
      </c>
      <c r="C280" s="7">
        <v>2017</v>
      </c>
      <c r="D280" s="7" t="s">
        <v>2882</v>
      </c>
      <c r="E280" s="7" t="s">
        <v>2293</v>
      </c>
      <c r="F280" s="7" t="s">
        <v>4599</v>
      </c>
      <c r="G280" s="7" t="s">
        <v>4580</v>
      </c>
      <c r="H280" s="12">
        <v>0.11</v>
      </c>
      <c r="I280" s="7" t="s">
        <v>2261</v>
      </c>
      <c r="J280" s="7" t="str" cm="1">
        <f t="array" ref="J28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80" s="7" t="s">
        <v>4768</v>
      </c>
    </row>
    <row r="281" spans="1:11">
      <c r="A281" s="7" t="s">
        <v>2883</v>
      </c>
      <c r="B281" s="11">
        <v>42996</v>
      </c>
      <c r="C281" s="7">
        <v>2017</v>
      </c>
      <c r="D281" s="7" t="s">
        <v>2884</v>
      </c>
      <c r="E281" s="7" t="s">
        <v>2257</v>
      </c>
      <c r="F281" s="7" t="s">
        <v>4598</v>
      </c>
      <c r="G281" s="7" t="s">
        <v>4605</v>
      </c>
      <c r="H281" s="12">
        <v>0.03</v>
      </c>
      <c r="I281" s="7" t="s">
        <v>2465</v>
      </c>
      <c r="J281" s="7" t="str" cm="1">
        <f t="array" ref="J28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81" s="7" t="s">
        <v>4768</v>
      </c>
    </row>
    <row r="282" spans="1:11">
      <c r="A282" s="7" t="s">
        <v>2885</v>
      </c>
      <c r="B282" s="11">
        <v>42997</v>
      </c>
      <c r="C282" s="7">
        <v>2017</v>
      </c>
      <c r="D282" s="7" t="s">
        <v>2886</v>
      </c>
      <c r="E282" s="7" t="s">
        <v>2267</v>
      </c>
      <c r="F282" s="7" t="s">
        <v>4601</v>
      </c>
      <c r="G282" s="7" t="s">
        <v>4580</v>
      </c>
      <c r="H282" s="12">
        <v>1.1100000000000001</v>
      </c>
      <c r="I282" s="7" t="s">
        <v>2472</v>
      </c>
      <c r="J282" s="7" t="str" cm="1">
        <f t="array" ref="J28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82" s="7" t="s">
        <v>4768</v>
      </c>
    </row>
    <row r="283" spans="1:11">
      <c r="A283" s="7" t="s">
        <v>2887</v>
      </c>
      <c r="B283" s="11">
        <v>43025</v>
      </c>
      <c r="C283" s="7">
        <v>2017</v>
      </c>
      <c r="D283" s="7" t="s">
        <v>2888</v>
      </c>
      <c r="E283" s="7" t="s">
        <v>1608</v>
      </c>
      <c r="F283" s="7" t="s">
        <v>4598</v>
      </c>
      <c r="G283" s="7" t="s">
        <v>4578</v>
      </c>
      <c r="H283" s="12">
        <v>7.0000000000000007E-2</v>
      </c>
      <c r="I283" s="7" t="s">
        <v>2251</v>
      </c>
      <c r="J283" s="7" t="str" cm="1">
        <f t="array" ref="J28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83" s="7" t="s">
        <v>4768</v>
      </c>
    </row>
    <row r="284" spans="1:11">
      <c r="A284" s="7" t="s">
        <v>2889</v>
      </c>
      <c r="B284" s="11">
        <v>43026</v>
      </c>
      <c r="C284" s="7">
        <v>2017</v>
      </c>
      <c r="D284" s="7" t="s">
        <v>2890</v>
      </c>
      <c r="E284" s="7" t="s">
        <v>2891</v>
      </c>
      <c r="F284" s="7" t="s">
        <v>4600</v>
      </c>
      <c r="G284" s="7" t="s">
        <v>4580</v>
      </c>
      <c r="H284" s="12">
        <v>1.5</v>
      </c>
      <c r="I284" s="7" t="s">
        <v>2892</v>
      </c>
      <c r="J284" s="7" t="str" cm="1">
        <f t="array" ref="J28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84" s="7" t="s">
        <v>4743</v>
      </c>
    </row>
    <row r="285" spans="1:11">
      <c r="A285" s="7" t="s">
        <v>2893</v>
      </c>
      <c r="B285" s="11">
        <v>43030</v>
      </c>
      <c r="C285" s="7">
        <v>2017</v>
      </c>
      <c r="D285" s="7" t="s">
        <v>2894</v>
      </c>
      <c r="E285" s="7" t="s">
        <v>53</v>
      </c>
      <c r="F285" s="7" t="s">
        <v>4598</v>
      </c>
      <c r="G285" s="7" t="s">
        <v>4579</v>
      </c>
      <c r="H285" s="12">
        <v>1.27</v>
      </c>
      <c r="I285" s="7" t="s">
        <v>2374</v>
      </c>
      <c r="J285" s="7" t="str" cm="1">
        <f t="array" ref="J28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85" s="7" t="s">
        <v>4768</v>
      </c>
    </row>
    <row r="286" spans="1:11">
      <c r="A286" s="7" t="s">
        <v>2895</v>
      </c>
      <c r="B286" s="11">
        <v>43032</v>
      </c>
      <c r="C286" s="7">
        <v>2017</v>
      </c>
      <c r="D286" s="7" t="s">
        <v>2896</v>
      </c>
      <c r="E286" s="7" t="s">
        <v>146</v>
      </c>
      <c r="F286" s="7" t="s">
        <v>4598</v>
      </c>
      <c r="G286" s="7" t="s">
        <v>4581</v>
      </c>
      <c r="H286" s="12">
        <v>2.1800000000000002</v>
      </c>
      <c r="I286" s="7" t="s">
        <v>2586</v>
      </c>
      <c r="J286" s="7" t="str" cm="1">
        <f t="array" ref="J28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86" s="7" t="s">
        <v>4768</v>
      </c>
    </row>
    <row r="287" spans="1:11">
      <c r="A287" s="7" t="s">
        <v>2897</v>
      </c>
      <c r="B287" s="11">
        <v>43040</v>
      </c>
      <c r="C287" s="7">
        <v>2017</v>
      </c>
      <c r="D287" s="7" t="s">
        <v>2898</v>
      </c>
      <c r="E287" s="7" t="s">
        <v>53</v>
      </c>
      <c r="F287" s="7" t="s">
        <v>4599</v>
      </c>
      <c r="G287" s="7" t="s">
        <v>4580</v>
      </c>
      <c r="H287" s="12">
        <v>0.53</v>
      </c>
      <c r="I287" s="7" t="s">
        <v>2261</v>
      </c>
      <c r="J287" s="7" t="str" cm="1">
        <f t="array" ref="J28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87" s="7" t="s">
        <v>4768</v>
      </c>
    </row>
    <row r="288" spans="1:11">
      <c r="A288" s="7" t="s">
        <v>2899</v>
      </c>
      <c r="B288" s="11">
        <v>43049</v>
      </c>
      <c r="C288" s="7">
        <v>2017</v>
      </c>
      <c r="D288" s="7" t="s">
        <v>2900</v>
      </c>
      <c r="E288" s="7" t="s">
        <v>130</v>
      </c>
      <c r="F288" s="7" t="s">
        <v>4598</v>
      </c>
      <c r="G288" s="7" t="s">
        <v>4587</v>
      </c>
      <c r="H288" s="12">
        <v>0.14000000000000001</v>
      </c>
      <c r="I288" s="7" t="s">
        <v>2285</v>
      </c>
      <c r="J288" s="7" t="str" cm="1">
        <f t="array" ref="J28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88" s="7" t="s">
        <v>4768</v>
      </c>
    </row>
    <row r="289" spans="1:11">
      <c r="A289" s="7" t="s">
        <v>2901</v>
      </c>
      <c r="B289" s="11">
        <v>43055</v>
      </c>
      <c r="C289" s="7">
        <v>2017</v>
      </c>
      <c r="D289" s="7" t="s">
        <v>2902</v>
      </c>
      <c r="E289" s="7" t="s">
        <v>17</v>
      </c>
      <c r="F289" s="7" t="s">
        <v>4599</v>
      </c>
      <c r="G289" s="7" t="s">
        <v>4587</v>
      </c>
      <c r="H289" s="12">
        <v>4</v>
      </c>
      <c r="I289" s="7" t="s">
        <v>2903</v>
      </c>
      <c r="J289" s="7" t="str" cm="1">
        <f t="array" ref="J28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89" s="7" t="s">
        <v>4743</v>
      </c>
    </row>
    <row r="290" spans="1:11">
      <c r="A290" s="7" t="s">
        <v>2904</v>
      </c>
      <c r="B290" s="11">
        <v>43056</v>
      </c>
      <c r="C290" s="7">
        <v>2017</v>
      </c>
      <c r="D290" s="7" t="s">
        <v>2905</v>
      </c>
      <c r="E290" s="7" t="s">
        <v>2293</v>
      </c>
      <c r="F290" s="7" t="s">
        <v>4598</v>
      </c>
      <c r="G290" s="7" t="s">
        <v>4582</v>
      </c>
      <c r="H290" s="12">
        <v>1.92</v>
      </c>
      <c r="I290" s="7" t="s">
        <v>2356</v>
      </c>
      <c r="J290" s="7" t="str" cm="1">
        <f t="array" ref="J29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90" s="7" t="s">
        <v>4768</v>
      </c>
    </row>
    <row r="291" spans="1:11">
      <c r="A291" s="7" t="s">
        <v>2906</v>
      </c>
      <c r="B291" s="11">
        <v>43060</v>
      </c>
      <c r="C291" s="7">
        <v>2017</v>
      </c>
      <c r="D291" s="7" t="s">
        <v>2700</v>
      </c>
      <c r="E291" s="7" t="s">
        <v>1403</v>
      </c>
      <c r="F291" s="7" t="s">
        <v>4599</v>
      </c>
      <c r="G291" s="7" t="s">
        <v>4586</v>
      </c>
      <c r="H291" s="12">
        <v>0.05</v>
      </c>
      <c r="I291" s="7" t="s">
        <v>2327</v>
      </c>
      <c r="J291" s="7" t="str" cm="1">
        <f t="array" ref="J29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91" s="7" t="s">
        <v>4768</v>
      </c>
    </row>
    <row r="292" spans="1:11">
      <c r="A292" s="7" t="s">
        <v>2907</v>
      </c>
      <c r="B292" s="11">
        <v>43066</v>
      </c>
      <c r="C292" s="7">
        <v>2017</v>
      </c>
      <c r="D292" s="7" t="s">
        <v>2908</v>
      </c>
      <c r="E292" s="7" t="s">
        <v>2264</v>
      </c>
      <c r="F292" s="7" t="s">
        <v>4599</v>
      </c>
      <c r="G292" s="7" t="s">
        <v>4585</v>
      </c>
      <c r="H292" s="12">
        <v>1.3</v>
      </c>
      <c r="I292" s="7" t="s">
        <v>2333</v>
      </c>
      <c r="J292" s="7" t="str" cm="1">
        <f t="array" ref="J29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92" s="7" t="s">
        <v>4768</v>
      </c>
    </row>
    <row r="293" spans="1:11">
      <c r="A293" s="7" t="s">
        <v>2909</v>
      </c>
      <c r="B293" s="11">
        <v>43074</v>
      </c>
      <c r="C293" s="7">
        <v>2017</v>
      </c>
      <c r="D293" s="7" t="s">
        <v>2910</v>
      </c>
      <c r="E293" s="7" t="s">
        <v>1610</v>
      </c>
      <c r="F293" s="7" t="s">
        <v>4599</v>
      </c>
      <c r="G293" s="7" t="s">
        <v>4579</v>
      </c>
      <c r="H293" s="12">
        <v>20</v>
      </c>
      <c r="I293" s="7" t="s">
        <v>2911</v>
      </c>
      <c r="J293" s="7" t="str" cm="1">
        <f t="array" ref="J293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293" s="7" t="s">
        <v>4743</v>
      </c>
    </row>
    <row r="294" spans="1:11">
      <c r="A294" s="7" t="s">
        <v>2912</v>
      </c>
      <c r="B294" s="11">
        <v>43092</v>
      </c>
      <c r="C294" s="7">
        <v>2017</v>
      </c>
      <c r="D294" s="7" t="s">
        <v>2913</v>
      </c>
      <c r="E294" s="7" t="s">
        <v>17</v>
      </c>
      <c r="F294" s="7" t="s">
        <v>4599</v>
      </c>
      <c r="G294" s="7" t="s">
        <v>4578</v>
      </c>
      <c r="H294" s="12">
        <v>1.01</v>
      </c>
      <c r="I294" s="7" t="s">
        <v>2420</v>
      </c>
      <c r="J294" s="7" t="str" cm="1">
        <f t="array" ref="J29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94" s="7" t="s">
        <v>4768</v>
      </c>
    </row>
    <row r="295" spans="1:11">
      <c r="A295" s="7" t="s">
        <v>2914</v>
      </c>
      <c r="B295" s="11">
        <v>43102</v>
      </c>
      <c r="C295" s="7">
        <v>2018</v>
      </c>
      <c r="D295" s="7" t="s">
        <v>2915</v>
      </c>
      <c r="E295" s="7" t="s">
        <v>2250</v>
      </c>
      <c r="F295" s="7" t="s">
        <v>4599</v>
      </c>
      <c r="G295" s="7" t="s">
        <v>4587</v>
      </c>
      <c r="H295" s="12">
        <v>2.19</v>
      </c>
      <c r="I295" s="7" t="s">
        <v>2387</v>
      </c>
      <c r="J295" s="7" t="str" cm="1">
        <f t="array" ref="J29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95" s="7" t="s">
        <v>4768</v>
      </c>
    </row>
    <row r="296" spans="1:11">
      <c r="A296" s="7" t="s">
        <v>2916</v>
      </c>
      <c r="B296" s="11">
        <v>43117</v>
      </c>
      <c r="C296" s="7">
        <v>2018</v>
      </c>
      <c r="D296" s="7" t="s">
        <v>2917</v>
      </c>
      <c r="E296" s="7" t="s">
        <v>53</v>
      </c>
      <c r="F296" s="7" t="s">
        <v>4598</v>
      </c>
      <c r="G296" s="7" t="s">
        <v>4581</v>
      </c>
      <c r="H296" s="12">
        <v>0.03</v>
      </c>
      <c r="I296" s="7" t="s">
        <v>2586</v>
      </c>
      <c r="J296" s="7" t="str" cm="1">
        <f t="array" ref="J29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96" s="7" t="s">
        <v>4768</v>
      </c>
    </row>
    <row r="297" spans="1:11">
      <c r="A297" s="7" t="s">
        <v>2918</v>
      </c>
      <c r="B297" s="11">
        <v>43132</v>
      </c>
      <c r="C297" s="7">
        <v>2018</v>
      </c>
      <c r="D297" s="7" t="s">
        <v>2674</v>
      </c>
      <c r="E297" s="7" t="s">
        <v>1610</v>
      </c>
      <c r="F297" s="7" t="s">
        <v>4598</v>
      </c>
      <c r="G297" s="7" t="s">
        <v>4580</v>
      </c>
      <c r="H297" s="12">
        <v>1.52</v>
      </c>
      <c r="I297" s="7" t="s">
        <v>2268</v>
      </c>
      <c r="J297" s="7" t="str" cm="1">
        <f t="array" ref="J29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297" s="7" t="s">
        <v>4768</v>
      </c>
    </row>
    <row r="298" spans="1:11">
      <c r="A298" s="7" t="s">
        <v>2919</v>
      </c>
      <c r="B298" s="11">
        <v>43134</v>
      </c>
      <c r="C298" s="7">
        <v>2018</v>
      </c>
      <c r="D298" s="7" t="s">
        <v>2920</v>
      </c>
      <c r="E298" s="7" t="s">
        <v>2324</v>
      </c>
      <c r="F298" s="7" t="s">
        <v>4599</v>
      </c>
      <c r="G298" s="7" t="s">
        <v>4580</v>
      </c>
      <c r="H298" s="12">
        <v>0.04</v>
      </c>
      <c r="I298" s="7" t="s">
        <v>2261</v>
      </c>
      <c r="J298" s="7" t="str" cm="1">
        <f t="array" ref="J29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98" s="7" t="s">
        <v>4768</v>
      </c>
    </row>
    <row r="299" spans="1:11">
      <c r="A299" s="7" t="s">
        <v>2921</v>
      </c>
      <c r="B299" s="11">
        <v>43134</v>
      </c>
      <c r="C299" s="7">
        <v>2018</v>
      </c>
      <c r="D299" s="7" t="s">
        <v>2922</v>
      </c>
      <c r="E299" s="7" t="s">
        <v>1403</v>
      </c>
      <c r="F299" s="7" t="s">
        <v>4598</v>
      </c>
      <c r="G299" s="7" t="s">
        <v>4580</v>
      </c>
      <c r="H299" s="12">
        <v>0.05</v>
      </c>
      <c r="I299" s="7" t="s">
        <v>2268</v>
      </c>
      <c r="J299" s="7" t="str" cm="1">
        <f t="array" ref="J29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299" s="7" t="s">
        <v>4768</v>
      </c>
    </row>
    <row r="300" spans="1:11">
      <c r="A300" s="7" t="s">
        <v>2923</v>
      </c>
      <c r="B300" s="11">
        <v>43144</v>
      </c>
      <c r="C300" s="7">
        <v>2018</v>
      </c>
      <c r="D300" s="7" t="s">
        <v>2924</v>
      </c>
      <c r="E300" s="7" t="s">
        <v>1610</v>
      </c>
      <c r="F300" s="7" t="s">
        <v>4598</v>
      </c>
      <c r="G300" s="7" t="s">
        <v>4580</v>
      </c>
      <c r="H300" s="12">
        <v>0.08</v>
      </c>
      <c r="I300" s="7" t="s">
        <v>2268</v>
      </c>
      <c r="J300" s="7" t="str" cm="1">
        <f t="array" ref="J30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00" s="7" t="s">
        <v>4768</v>
      </c>
    </row>
    <row r="301" spans="1:11">
      <c r="A301" s="7" t="s">
        <v>2925</v>
      </c>
      <c r="B301" s="11">
        <v>43147</v>
      </c>
      <c r="C301" s="7">
        <v>2018</v>
      </c>
      <c r="D301" s="7" t="s">
        <v>2926</v>
      </c>
      <c r="E301" s="7" t="s">
        <v>2321</v>
      </c>
      <c r="F301" s="7" t="s">
        <v>4598</v>
      </c>
      <c r="G301" s="7" t="s">
        <v>4580</v>
      </c>
      <c r="H301" s="12">
        <v>1.74</v>
      </c>
      <c r="I301" s="7" t="s">
        <v>2268</v>
      </c>
      <c r="J301" s="7" t="str" cm="1">
        <f t="array" ref="J30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01" s="7" t="s">
        <v>4768</v>
      </c>
    </row>
    <row r="302" spans="1:11">
      <c r="A302" s="7" t="s">
        <v>2927</v>
      </c>
      <c r="B302" s="11">
        <v>43151</v>
      </c>
      <c r="C302" s="7">
        <v>2018</v>
      </c>
      <c r="D302" s="7" t="s">
        <v>2616</v>
      </c>
      <c r="E302" s="7" t="s">
        <v>42</v>
      </c>
      <c r="F302" s="7" t="s">
        <v>4598</v>
      </c>
      <c r="G302" s="7" t="s">
        <v>4580</v>
      </c>
      <c r="H302" s="12">
        <v>0.03</v>
      </c>
      <c r="I302" s="7" t="s">
        <v>2268</v>
      </c>
      <c r="J302" s="7" t="str" cm="1">
        <f t="array" ref="J30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02" s="7" t="s">
        <v>4768</v>
      </c>
    </row>
    <row r="303" spans="1:11">
      <c r="A303" s="7" t="s">
        <v>2928</v>
      </c>
      <c r="B303" s="11">
        <v>43158</v>
      </c>
      <c r="C303" s="7">
        <v>2018</v>
      </c>
      <c r="D303" s="7" t="s">
        <v>2929</v>
      </c>
      <c r="E303" s="7" t="s">
        <v>1610</v>
      </c>
      <c r="F303" s="7" t="s">
        <v>4599</v>
      </c>
      <c r="G303" s="7" t="s">
        <v>4580</v>
      </c>
      <c r="H303" s="12">
        <v>0.39</v>
      </c>
      <c r="I303" s="7" t="s">
        <v>2261</v>
      </c>
      <c r="J303" s="7" t="str" cm="1">
        <f t="array" ref="J30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03" s="7" t="s">
        <v>4768</v>
      </c>
    </row>
    <row r="304" spans="1:11">
      <c r="A304" s="7" t="s">
        <v>2930</v>
      </c>
      <c r="B304" s="11">
        <v>43162</v>
      </c>
      <c r="C304" s="7">
        <v>2018</v>
      </c>
      <c r="D304" s="7" t="s">
        <v>2931</v>
      </c>
      <c r="E304" s="7" t="s">
        <v>23</v>
      </c>
      <c r="F304" s="7" t="s">
        <v>4598</v>
      </c>
      <c r="G304" s="7" t="s">
        <v>4580</v>
      </c>
      <c r="H304" s="12">
        <v>0.01</v>
      </c>
      <c r="I304" s="7" t="s">
        <v>2268</v>
      </c>
      <c r="J304" s="7" t="str" cm="1">
        <f t="array" ref="J30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04" s="7" t="s">
        <v>4768</v>
      </c>
    </row>
    <row r="305" spans="1:11">
      <c r="A305" s="7" t="s">
        <v>2932</v>
      </c>
      <c r="B305" s="11">
        <v>43165</v>
      </c>
      <c r="C305" s="7">
        <v>2018</v>
      </c>
      <c r="D305" s="7" t="s">
        <v>2933</v>
      </c>
      <c r="E305" s="7" t="s">
        <v>2278</v>
      </c>
      <c r="F305" s="7" t="s">
        <v>4599</v>
      </c>
      <c r="G305" s="7" t="s">
        <v>4584</v>
      </c>
      <c r="H305" s="12">
        <v>0.02</v>
      </c>
      <c r="I305" s="7" t="s">
        <v>2799</v>
      </c>
      <c r="J305" s="7" t="str" cm="1">
        <f t="array" ref="J30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05" s="7" t="s">
        <v>4768</v>
      </c>
    </row>
    <row r="306" spans="1:11">
      <c r="A306" s="7" t="s">
        <v>2934</v>
      </c>
      <c r="B306" s="11">
        <v>43165</v>
      </c>
      <c r="C306" s="7">
        <v>2018</v>
      </c>
      <c r="D306" s="7" t="s">
        <v>2935</v>
      </c>
      <c r="E306" s="7" t="s">
        <v>2632</v>
      </c>
      <c r="F306" s="7" t="s">
        <v>4599</v>
      </c>
      <c r="G306" s="7" t="s">
        <v>4580</v>
      </c>
      <c r="H306" s="12">
        <v>1.32</v>
      </c>
      <c r="I306" s="7" t="s">
        <v>2261</v>
      </c>
      <c r="J306" s="7" t="str" cm="1">
        <f t="array" ref="J30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06" s="7" t="s">
        <v>4768</v>
      </c>
    </row>
    <row r="307" spans="1:11">
      <c r="A307" s="7" t="s">
        <v>2936</v>
      </c>
      <c r="B307" s="11">
        <v>43168</v>
      </c>
      <c r="C307" s="7">
        <v>2018</v>
      </c>
      <c r="D307" s="7" t="s">
        <v>2731</v>
      </c>
      <c r="E307" s="7" t="s">
        <v>2278</v>
      </c>
      <c r="F307" s="7" t="s">
        <v>4598</v>
      </c>
      <c r="G307" s="7" t="s">
        <v>4580</v>
      </c>
      <c r="H307" s="12">
        <v>0.21</v>
      </c>
      <c r="I307" s="7" t="s">
        <v>2268</v>
      </c>
      <c r="J307" s="7" t="str" cm="1">
        <f t="array" ref="J30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07" s="7" t="s">
        <v>4768</v>
      </c>
    </row>
    <row r="308" spans="1:11">
      <c r="A308" s="7" t="s">
        <v>2937</v>
      </c>
      <c r="B308" s="11">
        <v>43173</v>
      </c>
      <c r="C308" s="7">
        <v>2018</v>
      </c>
      <c r="D308" s="7" t="s">
        <v>2938</v>
      </c>
      <c r="E308" s="7" t="s">
        <v>1610</v>
      </c>
      <c r="F308" s="7" t="s">
        <v>4598</v>
      </c>
      <c r="G308" s="7" t="s">
        <v>4585</v>
      </c>
      <c r="H308" s="12">
        <v>0.53</v>
      </c>
      <c r="I308" s="7" t="s">
        <v>2316</v>
      </c>
      <c r="J308" s="7" t="str" cm="1">
        <f t="array" ref="J30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08" s="7" t="s">
        <v>4768</v>
      </c>
    </row>
    <row r="309" spans="1:11">
      <c r="A309" s="7" t="s">
        <v>2939</v>
      </c>
      <c r="B309" s="11">
        <v>43174</v>
      </c>
      <c r="C309" s="7">
        <v>2018</v>
      </c>
      <c r="D309" s="7" t="s">
        <v>2940</v>
      </c>
      <c r="E309" s="7" t="s">
        <v>146</v>
      </c>
      <c r="F309" s="7" t="s">
        <v>4599</v>
      </c>
      <c r="G309" s="7" t="s">
        <v>4581</v>
      </c>
      <c r="H309" s="12">
        <v>0.6</v>
      </c>
      <c r="I309" s="7" t="s">
        <v>2553</v>
      </c>
      <c r="J309" s="7" t="str" cm="1">
        <f t="array" ref="J30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09" s="7" t="s">
        <v>4768</v>
      </c>
    </row>
    <row r="310" spans="1:11">
      <c r="A310" s="7" t="s">
        <v>2941</v>
      </c>
      <c r="B310" s="11">
        <v>43176</v>
      </c>
      <c r="C310" s="7">
        <v>2018</v>
      </c>
      <c r="D310" s="7" t="s">
        <v>2942</v>
      </c>
      <c r="E310" s="7" t="s">
        <v>1608</v>
      </c>
      <c r="F310" s="7" t="s">
        <v>4599</v>
      </c>
      <c r="G310" s="7" t="s">
        <v>4587</v>
      </c>
      <c r="H310" s="12">
        <v>0.37</v>
      </c>
      <c r="I310" s="7" t="s">
        <v>2387</v>
      </c>
      <c r="J310" s="7" t="str" cm="1">
        <f t="array" ref="J31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0" s="7" t="s">
        <v>4768</v>
      </c>
    </row>
    <row r="311" spans="1:11">
      <c r="A311" s="7" t="s">
        <v>2943</v>
      </c>
      <c r="B311" s="11">
        <v>43186</v>
      </c>
      <c r="C311" s="7">
        <v>2018</v>
      </c>
      <c r="D311" s="7" t="s">
        <v>2745</v>
      </c>
      <c r="E311" s="7" t="s">
        <v>1365</v>
      </c>
      <c r="F311" s="7" t="s">
        <v>4599</v>
      </c>
      <c r="G311" s="7" t="s">
        <v>4578</v>
      </c>
      <c r="H311" s="12">
        <v>0.19</v>
      </c>
      <c r="I311" s="7" t="s">
        <v>2420</v>
      </c>
      <c r="J311" s="7" t="str" cm="1">
        <f t="array" ref="J31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1" s="7" t="s">
        <v>4768</v>
      </c>
    </row>
    <row r="312" spans="1:11">
      <c r="A312" s="7" t="s">
        <v>2944</v>
      </c>
      <c r="B312" s="11">
        <v>43192</v>
      </c>
      <c r="C312" s="7">
        <v>2018</v>
      </c>
      <c r="D312" s="7" t="s">
        <v>2945</v>
      </c>
      <c r="E312" s="7" t="s">
        <v>42</v>
      </c>
      <c r="F312" s="7" t="s">
        <v>4598</v>
      </c>
      <c r="G312" s="7" t="s">
        <v>4578</v>
      </c>
      <c r="H312" s="12">
        <v>0.26</v>
      </c>
      <c r="I312" s="7" t="s">
        <v>2251</v>
      </c>
      <c r="J312" s="7" t="str" cm="1">
        <f t="array" ref="J31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2" s="7" t="s">
        <v>4768</v>
      </c>
    </row>
    <row r="313" spans="1:11">
      <c r="A313" s="7" t="s">
        <v>2946</v>
      </c>
      <c r="B313" s="11">
        <v>43194</v>
      </c>
      <c r="C313" s="7">
        <v>2018</v>
      </c>
      <c r="D313" s="7" t="s">
        <v>2947</v>
      </c>
      <c r="E313" s="7" t="s">
        <v>2264</v>
      </c>
      <c r="F313" s="7" t="s">
        <v>4599</v>
      </c>
      <c r="G313" s="7" t="s">
        <v>4584</v>
      </c>
      <c r="H313" s="12">
        <v>0.11</v>
      </c>
      <c r="I313" s="7" t="s">
        <v>2799</v>
      </c>
      <c r="J313" s="7" t="str" cm="1">
        <f t="array" ref="J31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3" s="7" t="s">
        <v>4768</v>
      </c>
    </row>
    <row r="314" spans="1:11">
      <c r="A314" s="7" t="s">
        <v>2948</v>
      </c>
      <c r="B314" s="11">
        <v>43195</v>
      </c>
      <c r="C314" s="7">
        <v>2018</v>
      </c>
      <c r="D314" s="7" t="s">
        <v>2949</v>
      </c>
      <c r="E314" s="7" t="s">
        <v>2264</v>
      </c>
      <c r="F314" s="7" t="s">
        <v>4598</v>
      </c>
      <c r="G314" s="7" t="s">
        <v>4581</v>
      </c>
      <c r="H314" s="12">
        <v>0.4</v>
      </c>
      <c r="I314" s="7" t="s">
        <v>2586</v>
      </c>
      <c r="J314" s="7" t="str" cm="1">
        <f t="array" ref="J31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4" s="7" t="s">
        <v>4768</v>
      </c>
    </row>
    <row r="315" spans="1:11">
      <c r="A315" s="7" t="s">
        <v>2950</v>
      </c>
      <c r="B315" s="11">
        <v>43198</v>
      </c>
      <c r="C315" s="7">
        <v>2018</v>
      </c>
      <c r="D315" s="7" t="s">
        <v>2951</v>
      </c>
      <c r="E315" s="7" t="s">
        <v>2440</v>
      </c>
      <c r="F315" s="7" t="s">
        <v>4599</v>
      </c>
      <c r="G315" s="7" t="s">
        <v>4586</v>
      </c>
      <c r="H315" s="12">
        <v>0.82</v>
      </c>
      <c r="I315" s="7" t="s">
        <v>2327</v>
      </c>
      <c r="J315" s="7" t="str" cm="1">
        <f t="array" ref="J31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5" s="7" t="s">
        <v>4768</v>
      </c>
    </row>
    <row r="316" spans="1:11">
      <c r="A316" s="7" t="s">
        <v>2952</v>
      </c>
      <c r="B316" s="11">
        <v>43209</v>
      </c>
      <c r="C316" s="7">
        <v>2018</v>
      </c>
      <c r="D316" s="7" t="s">
        <v>2953</v>
      </c>
      <c r="E316" s="7" t="s">
        <v>2440</v>
      </c>
      <c r="F316" s="7" t="s">
        <v>4598</v>
      </c>
      <c r="G316" s="7" t="s">
        <v>4585</v>
      </c>
      <c r="H316" s="12">
        <v>0.56000000000000005</v>
      </c>
      <c r="I316" s="7" t="s">
        <v>2316</v>
      </c>
      <c r="J316" s="7" t="str" cm="1">
        <f t="array" ref="J31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6" s="7" t="s">
        <v>4768</v>
      </c>
    </row>
    <row r="317" spans="1:11">
      <c r="A317" s="7" t="s">
        <v>2954</v>
      </c>
      <c r="B317" s="11">
        <v>43210</v>
      </c>
      <c r="C317" s="7">
        <v>2018</v>
      </c>
      <c r="D317" s="7" t="s">
        <v>2955</v>
      </c>
      <c r="E317" s="7" t="s">
        <v>17</v>
      </c>
      <c r="F317" s="7" t="s">
        <v>4598</v>
      </c>
      <c r="G317" s="7" t="s">
        <v>4604</v>
      </c>
      <c r="H317" s="12">
        <v>0.04</v>
      </c>
      <c r="I317" s="7" t="s">
        <v>2330</v>
      </c>
      <c r="J317" s="7" t="str" cm="1">
        <f t="array" ref="J31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7" s="7" t="s">
        <v>4768</v>
      </c>
    </row>
    <row r="318" spans="1:11">
      <c r="A318" s="7" t="s">
        <v>2956</v>
      </c>
      <c r="B318" s="11">
        <v>43211</v>
      </c>
      <c r="C318" s="7">
        <v>2018</v>
      </c>
      <c r="D318" s="7" t="s">
        <v>2957</v>
      </c>
      <c r="E318" s="7" t="s">
        <v>53</v>
      </c>
      <c r="F318" s="7" t="s">
        <v>4599</v>
      </c>
      <c r="G318" s="7" t="s">
        <v>4580</v>
      </c>
      <c r="H318" s="12">
        <v>2.1800000000000002</v>
      </c>
      <c r="I318" s="7" t="s">
        <v>2261</v>
      </c>
      <c r="J318" s="7" t="str" cm="1">
        <f t="array" ref="J318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18" s="7" t="s">
        <v>4768</v>
      </c>
    </row>
    <row r="319" spans="1:11">
      <c r="A319" s="7" t="s">
        <v>2958</v>
      </c>
      <c r="B319" s="11">
        <v>43212</v>
      </c>
      <c r="C319" s="7">
        <v>2018</v>
      </c>
      <c r="D319" s="7" t="s">
        <v>2959</v>
      </c>
      <c r="E319" s="7" t="s">
        <v>125</v>
      </c>
      <c r="F319" s="7" t="s">
        <v>4598</v>
      </c>
      <c r="G319" s="7" t="s">
        <v>4580</v>
      </c>
      <c r="H319" s="12">
        <v>0.02</v>
      </c>
      <c r="I319" s="7" t="s">
        <v>2268</v>
      </c>
      <c r="J319" s="7" t="str" cm="1">
        <f t="array" ref="J31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19" s="7" t="s">
        <v>4768</v>
      </c>
    </row>
    <row r="320" spans="1:11">
      <c r="A320" s="7" t="s">
        <v>2960</v>
      </c>
      <c r="B320" s="11">
        <v>43221</v>
      </c>
      <c r="C320" s="7">
        <v>2018</v>
      </c>
      <c r="D320" s="7" t="s">
        <v>2961</v>
      </c>
      <c r="E320" s="7" t="s">
        <v>67</v>
      </c>
      <c r="F320" s="7" t="s">
        <v>4598</v>
      </c>
      <c r="G320" s="7" t="s">
        <v>4585</v>
      </c>
      <c r="H320" s="12">
        <v>0.03</v>
      </c>
      <c r="I320" s="7" t="s">
        <v>2316</v>
      </c>
      <c r="J320" s="7" t="str" cm="1">
        <f t="array" ref="J32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20" s="7" t="s">
        <v>4768</v>
      </c>
    </row>
    <row r="321" spans="1:11">
      <c r="A321" s="7" t="s">
        <v>2962</v>
      </c>
      <c r="B321" s="11">
        <v>43222</v>
      </c>
      <c r="C321" s="7">
        <v>2018</v>
      </c>
      <c r="D321" s="7" t="s">
        <v>2963</v>
      </c>
      <c r="E321" s="7" t="s">
        <v>2250</v>
      </c>
      <c r="F321" s="7" t="s">
        <v>4598</v>
      </c>
      <c r="G321" s="7" t="s">
        <v>4580</v>
      </c>
      <c r="H321" s="12">
        <v>8.64</v>
      </c>
      <c r="I321" s="7" t="s">
        <v>2268</v>
      </c>
      <c r="J321" s="7" t="str" cm="1">
        <f t="array" ref="J321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321" s="7" t="s">
        <v>4768</v>
      </c>
    </row>
    <row r="322" spans="1:11">
      <c r="A322" s="7" t="s">
        <v>2964</v>
      </c>
      <c r="B322" s="11">
        <v>43243</v>
      </c>
      <c r="C322" s="7">
        <v>2018</v>
      </c>
      <c r="D322" s="7" t="s">
        <v>2965</v>
      </c>
      <c r="E322" s="7" t="s">
        <v>2254</v>
      </c>
      <c r="F322" s="7" t="s">
        <v>4599</v>
      </c>
      <c r="G322" s="7" t="s">
        <v>4581</v>
      </c>
      <c r="H322" s="12">
        <v>0.01</v>
      </c>
      <c r="I322" s="7" t="s">
        <v>2553</v>
      </c>
      <c r="J322" s="7" t="str" cm="1">
        <f t="array" ref="J32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22" s="7" t="s">
        <v>4768</v>
      </c>
    </row>
    <row r="323" spans="1:11">
      <c r="A323" s="7" t="s">
        <v>2966</v>
      </c>
      <c r="B323" s="11">
        <v>43257</v>
      </c>
      <c r="C323" s="7">
        <v>2018</v>
      </c>
      <c r="D323" s="7" t="s">
        <v>2967</v>
      </c>
      <c r="E323" s="7" t="s">
        <v>23</v>
      </c>
      <c r="F323" s="7" t="s">
        <v>4598</v>
      </c>
      <c r="G323" s="7" t="s">
        <v>4583</v>
      </c>
      <c r="H323" s="12">
        <v>0.2</v>
      </c>
      <c r="I323" s="7" t="s">
        <v>2363</v>
      </c>
      <c r="J323" s="7" t="str" cm="1">
        <f t="array" ref="J32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23" s="7" t="s">
        <v>4768</v>
      </c>
    </row>
    <row r="324" spans="1:11">
      <c r="A324" s="7" t="s">
        <v>2968</v>
      </c>
      <c r="B324" s="11">
        <v>43257</v>
      </c>
      <c r="C324" s="7">
        <v>2018</v>
      </c>
      <c r="D324" s="7" t="s">
        <v>2969</v>
      </c>
      <c r="E324" s="7" t="s">
        <v>146</v>
      </c>
      <c r="F324" s="7" t="s">
        <v>4598</v>
      </c>
      <c r="G324" s="7" t="s">
        <v>4581</v>
      </c>
      <c r="H324" s="12">
        <v>0.14000000000000001</v>
      </c>
      <c r="I324" s="7" t="s">
        <v>2586</v>
      </c>
      <c r="J324" s="7" t="str" cm="1">
        <f t="array" ref="J32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24" s="7" t="s">
        <v>4768</v>
      </c>
    </row>
    <row r="325" spans="1:11">
      <c r="A325" s="7" t="s">
        <v>2970</v>
      </c>
      <c r="B325" s="11">
        <v>43261</v>
      </c>
      <c r="C325" s="7">
        <v>2018</v>
      </c>
      <c r="D325" s="7" t="s">
        <v>2971</v>
      </c>
      <c r="E325" s="7" t="s">
        <v>146</v>
      </c>
      <c r="F325" s="7" t="s">
        <v>4599</v>
      </c>
      <c r="G325" s="7" t="s">
        <v>4579</v>
      </c>
      <c r="H325" s="12">
        <v>2.91</v>
      </c>
      <c r="I325" s="7" t="s">
        <v>2426</v>
      </c>
      <c r="J325" s="7" t="str" cm="1">
        <f t="array" ref="J32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25" s="7" t="s">
        <v>4768</v>
      </c>
    </row>
    <row r="326" spans="1:11">
      <c r="A326" s="7" t="s">
        <v>2972</v>
      </c>
      <c r="B326" s="11">
        <v>43264</v>
      </c>
      <c r="C326" s="7">
        <v>2018</v>
      </c>
      <c r="D326" s="7" t="s">
        <v>2973</v>
      </c>
      <c r="E326" s="7" t="s">
        <v>2324</v>
      </c>
      <c r="F326" s="7" t="s">
        <v>4600</v>
      </c>
      <c r="G326" s="7" t="s">
        <v>4585</v>
      </c>
      <c r="H326" s="12">
        <v>0.01</v>
      </c>
      <c r="I326" s="7" t="s">
        <v>2820</v>
      </c>
      <c r="J326" s="7" t="str" cm="1">
        <f t="array" ref="J32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26" s="7" t="s">
        <v>4768</v>
      </c>
    </row>
    <row r="327" spans="1:11">
      <c r="A327" s="7" t="s">
        <v>2974</v>
      </c>
      <c r="B327" s="11">
        <v>43269</v>
      </c>
      <c r="C327" s="7">
        <v>2018</v>
      </c>
      <c r="D327" s="7" t="s">
        <v>2975</v>
      </c>
      <c r="E327" s="7" t="s">
        <v>304</v>
      </c>
      <c r="F327" s="7" t="s">
        <v>4599</v>
      </c>
      <c r="G327" s="7" t="s">
        <v>4580</v>
      </c>
      <c r="H327" s="12">
        <v>0.53</v>
      </c>
      <c r="I327" s="7" t="s">
        <v>2261</v>
      </c>
      <c r="J327" s="7" t="str" cm="1">
        <f t="array" ref="J32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27" s="7" t="s">
        <v>4768</v>
      </c>
    </row>
    <row r="328" spans="1:11">
      <c r="A328" s="7" t="s">
        <v>2976</v>
      </c>
      <c r="B328" s="11">
        <v>43286</v>
      </c>
      <c r="C328" s="7">
        <v>2018</v>
      </c>
      <c r="D328" s="7" t="s">
        <v>2977</v>
      </c>
      <c r="E328" s="7" t="s">
        <v>146</v>
      </c>
      <c r="F328" s="7" t="s">
        <v>4601</v>
      </c>
      <c r="G328" s="7" t="s">
        <v>4580</v>
      </c>
      <c r="H328" s="12">
        <v>7.0000000000000007E-2</v>
      </c>
      <c r="I328" s="7" t="s">
        <v>2472</v>
      </c>
      <c r="J328" s="7" t="str" cm="1">
        <f t="array" ref="J32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28" s="7" t="s">
        <v>4768</v>
      </c>
    </row>
    <row r="329" spans="1:11">
      <c r="A329" s="7" t="s">
        <v>2978</v>
      </c>
      <c r="B329" s="11">
        <v>43289</v>
      </c>
      <c r="C329" s="7">
        <v>2018</v>
      </c>
      <c r="D329" s="7" t="s">
        <v>2979</v>
      </c>
      <c r="E329" s="7" t="s">
        <v>17</v>
      </c>
      <c r="F329" s="7" t="s">
        <v>4598</v>
      </c>
      <c r="G329" s="7" t="s">
        <v>4585</v>
      </c>
      <c r="H329" s="12">
        <v>15</v>
      </c>
      <c r="I329" s="7" t="s">
        <v>2316</v>
      </c>
      <c r="J329" s="7" t="str" cm="1">
        <f t="array" ref="J329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329" s="7" t="s">
        <v>4768</v>
      </c>
    </row>
    <row r="330" spans="1:11">
      <c r="A330" s="7" t="s">
        <v>2980</v>
      </c>
      <c r="B330" s="11">
        <v>43296</v>
      </c>
      <c r="C330" s="7">
        <v>2018</v>
      </c>
      <c r="D330" s="7" t="s">
        <v>2981</v>
      </c>
      <c r="E330" s="7" t="s">
        <v>1403</v>
      </c>
      <c r="F330" s="7" t="s">
        <v>4598</v>
      </c>
      <c r="G330" s="7" t="s">
        <v>4581</v>
      </c>
      <c r="H330" s="12">
        <v>2.62</v>
      </c>
      <c r="I330" s="7" t="s">
        <v>2586</v>
      </c>
      <c r="J330" s="7" t="str" cm="1">
        <f t="array" ref="J33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30" s="7" t="s">
        <v>4768</v>
      </c>
    </row>
    <row r="331" spans="1:11">
      <c r="A331" s="7" t="s">
        <v>2982</v>
      </c>
      <c r="B331" s="11">
        <v>43301</v>
      </c>
      <c r="C331" s="7">
        <v>2018</v>
      </c>
      <c r="D331" s="7" t="s">
        <v>2983</v>
      </c>
      <c r="E331" s="7" t="s">
        <v>9</v>
      </c>
      <c r="F331" s="7" t="s">
        <v>4600</v>
      </c>
      <c r="G331" s="7" t="s">
        <v>4587</v>
      </c>
      <c r="H331" s="12">
        <v>1.5</v>
      </c>
      <c r="I331" s="7" t="s">
        <v>2593</v>
      </c>
      <c r="J331" s="7" t="str" cm="1">
        <f t="array" ref="J33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31" s="7" t="s">
        <v>4768</v>
      </c>
    </row>
    <row r="332" spans="1:11">
      <c r="A332" s="7" t="s">
        <v>2984</v>
      </c>
      <c r="B332" s="11">
        <v>43303</v>
      </c>
      <c r="C332" s="7">
        <v>2018</v>
      </c>
      <c r="D332" s="7" t="s">
        <v>2985</v>
      </c>
      <c r="E332" s="7" t="s">
        <v>215</v>
      </c>
      <c r="F332" s="7" t="s">
        <v>4602</v>
      </c>
      <c r="G332" s="7" t="s">
        <v>4584</v>
      </c>
      <c r="H332" s="12">
        <v>0.28999999999999998</v>
      </c>
      <c r="I332" s="7" t="s">
        <v>2986</v>
      </c>
      <c r="J332" s="7" t="str" cm="1">
        <f t="array" ref="J33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32" s="7" t="s">
        <v>4768</v>
      </c>
    </row>
    <row r="333" spans="1:11">
      <c r="A333" s="7" t="s">
        <v>2987</v>
      </c>
      <c r="B333" s="11">
        <v>43304</v>
      </c>
      <c r="C333" s="7">
        <v>2018</v>
      </c>
      <c r="D333" s="7" t="s">
        <v>2988</v>
      </c>
      <c r="E333" s="7" t="s">
        <v>9</v>
      </c>
      <c r="F333" s="7" t="s">
        <v>4599</v>
      </c>
      <c r="G333" s="7" t="s">
        <v>4580</v>
      </c>
      <c r="H333" s="12">
        <v>0.49</v>
      </c>
      <c r="I333" s="7" t="s">
        <v>2261</v>
      </c>
      <c r="J333" s="7" t="str" cm="1">
        <f t="array" ref="J33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33" s="7" t="s">
        <v>4768</v>
      </c>
    </row>
    <row r="334" spans="1:11">
      <c r="A334" s="7" t="s">
        <v>2989</v>
      </c>
      <c r="B334" s="11">
        <v>43307</v>
      </c>
      <c r="C334" s="7">
        <v>2018</v>
      </c>
      <c r="D334" s="7" t="s">
        <v>2990</v>
      </c>
      <c r="E334" s="7" t="s">
        <v>1365</v>
      </c>
      <c r="F334" s="7" t="s">
        <v>4600</v>
      </c>
      <c r="G334" s="7" t="s">
        <v>4579</v>
      </c>
      <c r="H334" s="12">
        <v>0.74</v>
      </c>
      <c r="I334" s="7" t="s">
        <v>2991</v>
      </c>
      <c r="J334" s="7" t="str" cm="1">
        <f t="array" ref="J33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34" s="7" t="s">
        <v>4768</v>
      </c>
    </row>
    <row r="335" spans="1:11">
      <c r="A335" s="7" t="s">
        <v>2992</v>
      </c>
      <c r="B335" s="11">
        <v>43331</v>
      </c>
      <c r="C335" s="7">
        <v>2018</v>
      </c>
      <c r="D335" s="7" t="s">
        <v>2993</v>
      </c>
      <c r="E335" s="7" t="s">
        <v>2257</v>
      </c>
      <c r="F335" s="7" t="s">
        <v>4601</v>
      </c>
      <c r="G335" s="7" t="s">
        <v>4579</v>
      </c>
      <c r="H335" s="12">
        <v>0.91</v>
      </c>
      <c r="I335" s="7" t="s">
        <v>2570</v>
      </c>
      <c r="J335" s="7" t="str" cm="1">
        <f t="array" ref="J33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35" s="7" t="s">
        <v>4768</v>
      </c>
    </row>
    <row r="336" spans="1:11">
      <c r="A336" s="7" t="s">
        <v>2994</v>
      </c>
      <c r="B336" s="11">
        <v>43336</v>
      </c>
      <c r="C336" s="7">
        <v>2018</v>
      </c>
      <c r="D336" s="7" t="s">
        <v>2995</v>
      </c>
      <c r="E336" s="7" t="s">
        <v>67</v>
      </c>
      <c r="F336" s="7" t="s">
        <v>4601</v>
      </c>
      <c r="G336" s="7" t="s">
        <v>4578</v>
      </c>
      <c r="H336" s="12">
        <v>0.69</v>
      </c>
      <c r="I336" s="7" t="s">
        <v>2302</v>
      </c>
      <c r="J336" s="7" t="str" cm="1">
        <f t="array" ref="J33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36" s="7" t="s">
        <v>4768</v>
      </c>
    </row>
    <row r="337" spans="1:11">
      <c r="A337" s="7" t="s">
        <v>2996</v>
      </c>
      <c r="B337" s="11">
        <v>43339</v>
      </c>
      <c r="C337" s="7">
        <v>2018</v>
      </c>
      <c r="D337" s="7" t="s">
        <v>2997</v>
      </c>
      <c r="E337" s="7" t="s">
        <v>1608</v>
      </c>
      <c r="F337" s="7" t="s">
        <v>4599</v>
      </c>
      <c r="G337" s="7" t="s">
        <v>4580</v>
      </c>
      <c r="H337" s="12">
        <v>0.96</v>
      </c>
      <c r="I337" s="7" t="s">
        <v>2261</v>
      </c>
      <c r="J337" s="7" t="str" cm="1">
        <f t="array" ref="J33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37" s="7" t="s">
        <v>4768</v>
      </c>
    </row>
    <row r="338" spans="1:11">
      <c r="A338" s="7" t="s">
        <v>2998</v>
      </c>
      <c r="B338" s="11">
        <v>43344</v>
      </c>
      <c r="C338" s="7">
        <v>2018</v>
      </c>
      <c r="D338" s="7" t="s">
        <v>2999</v>
      </c>
      <c r="E338" s="7" t="s">
        <v>1403</v>
      </c>
      <c r="F338" s="7" t="s">
        <v>4600</v>
      </c>
      <c r="G338" s="7" t="s">
        <v>4578</v>
      </c>
      <c r="H338" s="12">
        <v>0.05</v>
      </c>
      <c r="I338" s="7" t="s">
        <v>2294</v>
      </c>
      <c r="J338" s="7" t="str" cm="1">
        <f t="array" ref="J33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38" s="7" t="s">
        <v>4768</v>
      </c>
    </row>
    <row r="339" spans="1:11">
      <c r="A339" s="7" t="s">
        <v>3000</v>
      </c>
      <c r="B339" s="11">
        <v>43346</v>
      </c>
      <c r="C339" s="7">
        <v>2018</v>
      </c>
      <c r="D339" s="7" t="s">
        <v>2434</v>
      </c>
      <c r="E339" s="7" t="s">
        <v>42</v>
      </c>
      <c r="F339" s="7" t="s">
        <v>4598</v>
      </c>
      <c r="G339" s="7" t="s">
        <v>4585</v>
      </c>
      <c r="H339" s="12">
        <v>0.06</v>
      </c>
      <c r="I339" s="7" t="s">
        <v>2316</v>
      </c>
      <c r="J339" s="7" t="str" cm="1">
        <f t="array" ref="J33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39" s="7" t="s">
        <v>4768</v>
      </c>
    </row>
    <row r="340" spans="1:11">
      <c r="A340" s="7" t="s">
        <v>3001</v>
      </c>
      <c r="B340" s="11">
        <v>43367</v>
      </c>
      <c r="C340" s="7">
        <v>2018</v>
      </c>
      <c r="D340" s="7" t="s">
        <v>3002</v>
      </c>
      <c r="E340" s="7" t="s">
        <v>31</v>
      </c>
      <c r="F340" s="7" t="s">
        <v>4598</v>
      </c>
      <c r="G340" s="7" t="s">
        <v>4581</v>
      </c>
      <c r="H340" s="12">
        <v>0.01</v>
      </c>
      <c r="I340" s="7" t="s">
        <v>2586</v>
      </c>
      <c r="J340" s="7" t="str" cm="1">
        <f t="array" ref="J34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40" s="7" t="s">
        <v>4768</v>
      </c>
    </row>
    <row r="341" spans="1:11">
      <c r="A341" s="7" t="s">
        <v>3003</v>
      </c>
      <c r="B341" s="11">
        <v>43369</v>
      </c>
      <c r="C341" s="7">
        <v>2018</v>
      </c>
      <c r="D341" s="7" t="s">
        <v>3004</v>
      </c>
      <c r="E341" s="7" t="s">
        <v>31</v>
      </c>
      <c r="F341" s="7" t="s">
        <v>4600</v>
      </c>
      <c r="G341" s="7" t="s">
        <v>4582</v>
      </c>
      <c r="H341" s="12">
        <v>1.86</v>
      </c>
      <c r="I341" s="7" t="s">
        <v>2561</v>
      </c>
      <c r="J341" s="7" t="str" cm="1">
        <f t="array" ref="J34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41" s="7" t="s">
        <v>4768</v>
      </c>
    </row>
    <row r="342" spans="1:11">
      <c r="A342" s="7" t="s">
        <v>3005</v>
      </c>
      <c r="B342" s="11">
        <v>43382</v>
      </c>
      <c r="C342" s="7">
        <v>2018</v>
      </c>
      <c r="D342" s="7" t="s">
        <v>3006</v>
      </c>
      <c r="E342" s="7" t="s">
        <v>146</v>
      </c>
      <c r="F342" s="7" t="s">
        <v>4598</v>
      </c>
      <c r="G342" s="7" t="s">
        <v>4578</v>
      </c>
      <c r="H342" s="12">
        <v>0.19</v>
      </c>
      <c r="I342" s="7" t="s">
        <v>2251</v>
      </c>
      <c r="J342" s="7" t="str" cm="1">
        <f t="array" ref="J34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42" s="7" t="s">
        <v>4768</v>
      </c>
    </row>
    <row r="343" spans="1:11">
      <c r="A343" s="7" t="s">
        <v>3007</v>
      </c>
      <c r="B343" s="11">
        <v>43387</v>
      </c>
      <c r="C343" s="7">
        <v>2018</v>
      </c>
      <c r="D343" s="7" t="s">
        <v>3008</v>
      </c>
      <c r="E343" s="7" t="s">
        <v>38</v>
      </c>
      <c r="F343" s="7" t="s">
        <v>4598</v>
      </c>
      <c r="G343" s="7" t="s">
        <v>4580</v>
      </c>
      <c r="H343" s="12">
        <v>7.0000000000000007E-2</v>
      </c>
      <c r="I343" s="7" t="s">
        <v>2268</v>
      </c>
      <c r="J343" s="7" t="str" cm="1">
        <f t="array" ref="J34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43" s="7" t="s">
        <v>4768</v>
      </c>
    </row>
    <row r="344" spans="1:11">
      <c r="A344" s="7" t="s">
        <v>3009</v>
      </c>
      <c r="B344" s="11">
        <v>43391</v>
      </c>
      <c r="C344" s="7">
        <v>2018</v>
      </c>
      <c r="D344" s="7" t="s">
        <v>3010</v>
      </c>
      <c r="E344" s="7" t="s">
        <v>42</v>
      </c>
      <c r="F344" s="7" t="s">
        <v>4599</v>
      </c>
      <c r="G344" s="7" t="s">
        <v>4587</v>
      </c>
      <c r="H344" s="12">
        <v>0.33</v>
      </c>
      <c r="I344" s="7" t="s">
        <v>2387</v>
      </c>
      <c r="J344" s="7" t="str" cm="1">
        <f t="array" ref="J34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44" s="7" t="s">
        <v>4768</v>
      </c>
    </row>
    <row r="345" spans="1:11">
      <c r="A345" s="7" t="s">
        <v>3011</v>
      </c>
      <c r="B345" s="11">
        <v>43391</v>
      </c>
      <c r="C345" s="7">
        <v>2018</v>
      </c>
      <c r="D345" s="7" t="s">
        <v>3012</v>
      </c>
      <c r="E345" s="7" t="s">
        <v>1610</v>
      </c>
      <c r="F345" s="7" t="s">
        <v>4601</v>
      </c>
      <c r="G345" s="7" t="s">
        <v>4580</v>
      </c>
      <c r="H345" s="12">
        <v>0.06</v>
      </c>
      <c r="I345" s="7" t="s">
        <v>2472</v>
      </c>
      <c r="J345" s="7" t="str" cm="1">
        <f t="array" ref="J34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45" s="7" t="s">
        <v>4768</v>
      </c>
    </row>
    <row r="346" spans="1:11">
      <c r="A346" s="7" t="s">
        <v>3013</v>
      </c>
      <c r="B346" s="11">
        <v>43399</v>
      </c>
      <c r="C346" s="7">
        <v>2018</v>
      </c>
      <c r="D346" s="7" t="s">
        <v>3014</v>
      </c>
      <c r="E346" s="7" t="s">
        <v>42</v>
      </c>
      <c r="F346" s="7" t="s">
        <v>4599</v>
      </c>
      <c r="G346" s="7" t="s">
        <v>4585</v>
      </c>
      <c r="H346" s="12">
        <v>0.03</v>
      </c>
      <c r="I346" s="7" t="s">
        <v>2333</v>
      </c>
      <c r="J346" s="7" t="str" cm="1">
        <f t="array" ref="J34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46" s="7" t="s">
        <v>4768</v>
      </c>
    </row>
    <row r="347" spans="1:11">
      <c r="A347" s="7" t="s">
        <v>3015</v>
      </c>
      <c r="B347" s="11">
        <v>43406</v>
      </c>
      <c r="C347" s="7">
        <v>2018</v>
      </c>
      <c r="D347" s="7" t="s">
        <v>3016</v>
      </c>
      <c r="E347" s="7" t="s">
        <v>2250</v>
      </c>
      <c r="F347" s="7" t="s">
        <v>4598</v>
      </c>
      <c r="G347" s="7" t="s">
        <v>4583</v>
      </c>
      <c r="H347" s="12">
        <v>0.28999999999999998</v>
      </c>
      <c r="I347" s="7" t="s">
        <v>2363</v>
      </c>
      <c r="J347" s="7" t="str" cm="1">
        <f t="array" ref="J34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47" s="7" t="s">
        <v>4768</v>
      </c>
    </row>
    <row r="348" spans="1:11">
      <c r="A348" s="7" t="s">
        <v>3017</v>
      </c>
      <c r="B348" s="11">
        <v>43412</v>
      </c>
      <c r="C348" s="7">
        <v>2018</v>
      </c>
      <c r="D348" s="7" t="s">
        <v>3018</v>
      </c>
      <c r="E348" s="7" t="s">
        <v>2324</v>
      </c>
      <c r="F348" s="7" t="s">
        <v>4599</v>
      </c>
      <c r="G348" s="7" t="s">
        <v>4587</v>
      </c>
      <c r="H348" s="12">
        <v>0.36</v>
      </c>
      <c r="I348" s="7" t="s">
        <v>2387</v>
      </c>
      <c r="J348" s="7" t="str" cm="1">
        <f t="array" ref="J34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48" s="7" t="s">
        <v>4768</v>
      </c>
    </row>
    <row r="349" spans="1:11">
      <c r="A349" s="7" t="s">
        <v>3019</v>
      </c>
      <c r="B349" s="11">
        <v>43416</v>
      </c>
      <c r="C349" s="7">
        <v>2018</v>
      </c>
      <c r="D349" s="7" t="s">
        <v>3020</v>
      </c>
      <c r="E349" s="7" t="s">
        <v>38</v>
      </c>
      <c r="F349" s="7" t="s">
        <v>4599</v>
      </c>
      <c r="G349" s="7" t="s">
        <v>4580</v>
      </c>
      <c r="H349" s="12">
        <v>2.11</v>
      </c>
      <c r="I349" s="7" t="s">
        <v>2261</v>
      </c>
      <c r="J349" s="7" t="str" cm="1">
        <f t="array" ref="J34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49" s="7" t="s">
        <v>4768</v>
      </c>
    </row>
    <row r="350" spans="1:11">
      <c r="A350" s="7" t="s">
        <v>3021</v>
      </c>
      <c r="B350" s="11">
        <v>43437</v>
      </c>
      <c r="C350" s="7">
        <v>2018</v>
      </c>
      <c r="D350" s="7" t="s">
        <v>3022</v>
      </c>
      <c r="E350" s="7" t="s">
        <v>2301</v>
      </c>
      <c r="F350" s="7" t="s">
        <v>4602</v>
      </c>
      <c r="G350" s="7" t="s">
        <v>4579</v>
      </c>
      <c r="H350" s="12">
        <v>7.0000000000000007E-2</v>
      </c>
      <c r="I350" s="7" t="s">
        <v>3023</v>
      </c>
      <c r="J350" s="7" t="str" cm="1">
        <f t="array" ref="J35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0" s="7" t="s">
        <v>4768</v>
      </c>
    </row>
    <row r="351" spans="1:11">
      <c r="A351" s="7" t="s">
        <v>3024</v>
      </c>
      <c r="B351" s="11">
        <v>43448</v>
      </c>
      <c r="C351" s="7">
        <v>2018</v>
      </c>
      <c r="D351" s="7" t="s">
        <v>3025</v>
      </c>
      <c r="E351" s="7" t="s">
        <v>2440</v>
      </c>
      <c r="F351" s="7" t="s">
        <v>4598</v>
      </c>
      <c r="G351" s="7" t="s">
        <v>4578</v>
      </c>
      <c r="H351" s="12">
        <v>0.2</v>
      </c>
      <c r="I351" s="7" t="s">
        <v>2251</v>
      </c>
      <c r="J351" s="7" t="str" cm="1">
        <f t="array" ref="J35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1" s="7" t="s">
        <v>4768</v>
      </c>
    </row>
    <row r="352" spans="1:11">
      <c r="A352" s="7" t="s">
        <v>3026</v>
      </c>
      <c r="B352" s="11">
        <v>43450</v>
      </c>
      <c r="C352" s="7">
        <v>2018</v>
      </c>
      <c r="D352" s="7" t="s">
        <v>3027</v>
      </c>
      <c r="E352" s="7" t="s">
        <v>1676</v>
      </c>
      <c r="F352" s="7" t="s">
        <v>4598</v>
      </c>
      <c r="G352" s="7" t="s">
        <v>4583</v>
      </c>
      <c r="H352" s="12">
        <v>0.77</v>
      </c>
      <c r="I352" s="7" t="s">
        <v>2363</v>
      </c>
      <c r="J352" s="7" t="str" cm="1">
        <f t="array" ref="J35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2" s="7" t="s">
        <v>4768</v>
      </c>
    </row>
    <row r="353" spans="1:11">
      <c r="A353" s="7" t="s">
        <v>3028</v>
      </c>
      <c r="B353" s="11">
        <v>43450</v>
      </c>
      <c r="C353" s="7">
        <v>2018</v>
      </c>
      <c r="D353" s="7" t="s">
        <v>3029</v>
      </c>
      <c r="E353" s="7" t="s">
        <v>2301</v>
      </c>
      <c r="F353" s="7" t="s">
        <v>4599</v>
      </c>
      <c r="G353" s="7" t="s">
        <v>4580</v>
      </c>
      <c r="H353" s="12">
        <v>0.35</v>
      </c>
      <c r="I353" s="7" t="s">
        <v>2261</v>
      </c>
      <c r="J353" s="7" t="str" cm="1">
        <f t="array" ref="J35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3" s="7" t="s">
        <v>4768</v>
      </c>
    </row>
    <row r="354" spans="1:11">
      <c r="A354" s="7" t="s">
        <v>3030</v>
      </c>
      <c r="B354" s="11">
        <v>43466</v>
      </c>
      <c r="C354" s="7">
        <v>2019</v>
      </c>
      <c r="D354" s="7" t="s">
        <v>2753</v>
      </c>
      <c r="E354" s="7" t="s">
        <v>2257</v>
      </c>
      <c r="F354" s="7" t="s">
        <v>4598</v>
      </c>
      <c r="G354" s="7" t="s">
        <v>4587</v>
      </c>
      <c r="H354" s="12">
        <v>0.48</v>
      </c>
      <c r="I354" s="7" t="s">
        <v>2285</v>
      </c>
      <c r="J354" s="7" t="str" cm="1">
        <f t="array" ref="J35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4" s="7" t="s">
        <v>4768</v>
      </c>
    </row>
    <row r="355" spans="1:11">
      <c r="A355" s="7" t="s">
        <v>3031</v>
      </c>
      <c r="B355" s="11">
        <v>43474</v>
      </c>
      <c r="C355" s="7">
        <v>2019</v>
      </c>
      <c r="D355" s="7" t="s">
        <v>3032</v>
      </c>
      <c r="E355" s="7" t="s">
        <v>1608</v>
      </c>
      <c r="F355" s="7" t="s">
        <v>4598</v>
      </c>
      <c r="G355" s="7" t="s">
        <v>4578</v>
      </c>
      <c r="H355" s="12">
        <v>0.89</v>
      </c>
      <c r="I355" s="7" t="s">
        <v>2251</v>
      </c>
      <c r="J355" s="7" t="str" cm="1">
        <f t="array" ref="J35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5" s="7" t="s">
        <v>4768</v>
      </c>
    </row>
    <row r="356" spans="1:11">
      <c r="A356" s="7" t="s">
        <v>3033</v>
      </c>
      <c r="B356" s="11">
        <v>43474</v>
      </c>
      <c r="C356" s="7">
        <v>2019</v>
      </c>
      <c r="D356" s="7" t="s">
        <v>3034</v>
      </c>
      <c r="E356" s="7" t="s">
        <v>42</v>
      </c>
      <c r="F356" s="7" t="s">
        <v>4598</v>
      </c>
      <c r="G356" s="7" t="s">
        <v>4587</v>
      </c>
      <c r="H356" s="12">
        <v>0.42</v>
      </c>
      <c r="I356" s="7" t="s">
        <v>2285</v>
      </c>
      <c r="J356" s="7" t="str" cm="1">
        <f t="array" ref="J35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6" s="7" t="s">
        <v>4768</v>
      </c>
    </row>
    <row r="357" spans="1:11">
      <c r="A357" s="7" t="s">
        <v>3035</v>
      </c>
      <c r="B357" s="11">
        <v>43507</v>
      </c>
      <c r="C357" s="7">
        <v>2019</v>
      </c>
      <c r="D357" s="7" t="s">
        <v>3036</v>
      </c>
      <c r="E357" s="7" t="s">
        <v>1676</v>
      </c>
      <c r="F357" s="7" t="s">
        <v>4598</v>
      </c>
      <c r="G357" s="7" t="s">
        <v>4580</v>
      </c>
      <c r="H357" s="12">
        <v>0.48</v>
      </c>
      <c r="I357" s="7" t="s">
        <v>2268</v>
      </c>
      <c r="J357" s="7" t="str" cm="1">
        <f t="array" ref="J35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7" s="7" t="s">
        <v>4768</v>
      </c>
    </row>
    <row r="358" spans="1:11">
      <c r="A358" s="7" t="s">
        <v>3037</v>
      </c>
      <c r="B358" s="11">
        <v>43518</v>
      </c>
      <c r="C358" s="7">
        <v>2019</v>
      </c>
      <c r="D358" s="7" t="s">
        <v>3038</v>
      </c>
      <c r="E358" s="7" t="s">
        <v>1403</v>
      </c>
      <c r="F358" s="7" t="s">
        <v>4598</v>
      </c>
      <c r="G358" s="7" t="s">
        <v>4585</v>
      </c>
      <c r="H358" s="12">
        <v>0.05</v>
      </c>
      <c r="I358" s="7" t="s">
        <v>2316</v>
      </c>
      <c r="J358" s="7" t="str" cm="1">
        <f t="array" ref="J35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8" s="7" t="s">
        <v>4768</v>
      </c>
    </row>
    <row r="359" spans="1:11">
      <c r="A359" s="7" t="s">
        <v>3039</v>
      </c>
      <c r="B359" s="11">
        <v>43519</v>
      </c>
      <c r="C359" s="7">
        <v>2019</v>
      </c>
      <c r="D359" s="7" t="s">
        <v>3040</v>
      </c>
      <c r="E359" s="7" t="s">
        <v>2293</v>
      </c>
      <c r="F359" s="7" t="s">
        <v>4598</v>
      </c>
      <c r="G359" s="7" t="s">
        <v>4580</v>
      </c>
      <c r="H359" s="12">
        <v>0.16</v>
      </c>
      <c r="I359" s="7" t="s">
        <v>2268</v>
      </c>
      <c r="J359" s="7" t="str" cm="1">
        <f t="array" ref="J35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59" s="7" t="s">
        <v>4768</v>
      </c>
    </row>
    <row r="360" spans="1:11">
      <c r="A360" s="7" t="s">
        <v>3041</v>
      </c>
      <c r="B360" s="11">
        <v>43520</v>
      </c>
      <c r="C360" s="7">
        <v>2019</v>
      </c>
      <c r="D360" s="7" t="s">
        <v>3042</v>
      </c>
      <c r="E360" s="7" t="s">
        <v>2301</v>
      </c>
      <c r="F360" s="7" t="s">
        <v>4599</v>
      </c>
      <c r="G360" s="7" t="s">
        <v>4583</v>
      </c>
      <c r="H360" s="12">
        <v>0.1</v>
      </c>
      <c r="I360" s="7" t="s">
        <v>2279</v>
      </c>
      <c r="J360" s="7" t="str" cm="1">
        <f t="array" ref="J36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60" s="7" t="s">
        <v>4768</v>
      </c>
    </row>
    <row r="361" spans="1:11">
      <c r="A361" s="7" t="s">
        <v>3043</v>
      </c>
      <c r="B361" s="11">
        <v>43520</v>
      </c>
      <c r="C361" s="7">
        <v>2019</v>
      </c>
      <c r="D361" s="7" t="s">
        <v>3044</v>
      </c>
      <c r="E361" s="7" t="s">
        <v>2321</v>
      </c>
      <c r="F361" s="7" t="s">
        <v>4599</v>
      </c>
      <c r="G361" s="7" t="s">
        <v>4580</v>
      </c>
      <c r="H361" s="12">
        <v>0.01</v>
      </c>
      <c r="I361" s="7" t="s">
        <v>2261</v>
      </c>
      <c r="J361" s="7" t="str" cm="1">
        <f t="array" ref="J36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61" s="7" t="s">
        <v>4768</v>
      </c>
    </row>
    <row r="362" spans="1:11">
      <c r="A362" s="7" t="s">
        <v>3045</v>
      </c>
      <c r="B362" s="11">
        <v>43531</v>
      </c>
      <c r="C362" s="7">
        <v>2019</v>
      </c>
      <c r="D362" s="7" t="s">
        <v>3046</v>
      </c>
      <c r="E362" s="7" t="s">
        <v>2257</v>
      </c>
      <c r="F362" s="7" t="s">
        <v>4598</v>
      </c>
      <c r="G362" s="7" t="s">
        <v>4580</v>
      </c>
      <c r="H362" s="12">
        <v>0.01</v>
      </c>
      <c r="I362" s="7" t="s">
        <v>2268</v>
      </c>
      <c r="J362" s="7" t="str" cm="1">
        <f t="array" ref="J36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62" s="7" t="s">
        <v>4768</v>
      </c>
    </row>
    <row r="363" spans="1:11">
      <c r="A363" s="7" t="s">
        <v>3047</v>
      </c>
      <c r="B363" s="11">
        <v>43532</v>
      </c>
      <c r="C363" s="7">
        <v>2019</v>
      </c>
      <c r="D363" s="7" t="s">
        <v>3048</v>
      </c>
      <c r="E363" s="7" t="s">
        <v>2257</v>
      </c>
      <c r="F363" s="7" t="s">
        <v>4599</v>
      </c>
      <c r="G363" s="7" t="s">
        <v>4578</v>
      </c>
      <c r="H363" s="12">
        <v>0.17</v>
      </c>
      <c r="I363" s="7" t="s">
        <v>2420</v>
      </c>
      <c r="J363" s="7" t="str" cm="1">
        <f t="array" ref="J36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63" s="7" t="s">
        <v>4768</v>
      </c>
    </row>
    <row r="364" spans="1:11">
      <c r="A364" s="7" t="s">
        <v>3049</v>
      </c>
      <c r="B364" s="11">
        <v>43543</v>
      </c>
      <c r="C364" s="7">
        <v>2019</v>
      </c>
      <c r="D364" s="7" t="s">
        <v>3050</v>
      </c>
      <c r="E364" s="7" t="s">
        <v>38</v>
      </c>
      <c r="F364" s="7" t="s">
        <v>4598</v>
      </c>
      <c r="G364" s="7" t="s">
        <v>4579</v>
      </c>
      <c r="H364" s="12">
        <v>0.21</v>
      </c>
      <c r="I364" s="7" t="s">
        <v>2374</v>
      </c>
      <c r="J364" s="7" t="str" cm="1">
        <f t="array" ref="J36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64" s="7" t="s">
        <v>4768</v>
      </c>
    </row>
    <row r="365" spans="1:11">
      <c r="A365" s="7" t="s">
        <v>3051</v>
      </c>
      <c r="B365" s="11">
        <v>43545</v>
      </c>
      <c r="C365" s="7">
        <v>2019</v>
      </c>
      <c r="D365" s="7" t="s">
        <v>3052</v>
      </c>
      <c r="E365" s="7" t="s">
        <v>38</v>
      </c>
      <c r="F365" s="7" t="s">
        <v>4598</v>
      </c>
      <c r="G365" s="7" t="s">
        <v>4580</v>
      </c>
      <c r="H365" s="12">
        <v>0.34</v>
      </c>
      <c r="I365" s="7" t="s">
        <v>2268</v>
      </c>
      <c r="J365" s="7" t="str" cm="1">
        <f t="array" ref="J36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65" s="7" t="s">
        <v>4768</v>
      </c>
    </row>
    <row r="366" spans="1:11">
      <c r="A366" s="7" t="s">
        <v>3053</v>
      </c>
      <c r="B366" s="11">
        <v>43547</v>
      </c>
      <c r="C366" s="7">
        <v>2019</v>
      </c>
      <c r="D366" s="7" t="s">
        <v>3054</v>
      </c>
      <c r="E366" s="7" t="s">
        <v>2301</v>
      </c>
      <c r="F366" s="7" t="s">
        <v>4599</v>
      </c>
      <c r="G366" s="7" t="s">
        <v>4582</v>
      </c>
      <c r="H366" s="12">
        <v>1.27</v>
      </c>
      <c r="I366" s="7" t="s">
        <v>2288</v>
      </c>
      <c r="J366" s="7" t="str" cm="1">
        <f t="array" ref="J36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66" s="7" t="s">
        <v>4768</v>
      </c>
    </row>
    <row r="367" spans="1:11">
      <c r="A367" s="7" t="s">
        <v>3055</v>
      </c>
      <c r="B367" s="11">
        <v>43548</v>
      </c>
      <c r="C367" s="7">
        <v>2019</v>
      </c>
      <c r="D367" s="7" t="s">
        <v>3056</v>
      </c>
      <c r="E367" s="7" t="s">
        <v>17</v>
      </c>
      <c r="F367" s="7" t="s">
        <v>4599</v>
      </c>
      <c r="G367" s="7" t="s">
        <v>4587</v>
      </c>
      <c r="H367" s="12">
        <v>1.6</v>
      </c>
      <c r="I367" s="7" t="s">
        <v>2387</v>
      </c>
      <c r="J367" s="7" t="str" cm="1">
        <f t="array" ref="J36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67" s="7" t="s">
        <v>4768</v>
      </c>
    </row>
    <row r="368" spans="1:11">
      <c r="A368" s="7" t="s">
        <v>3057</v>
      </c>
      <c r="B368" s="11">
        <v>43557</v>
      </c>
      <c r="C368" s="7">
        <v>2019</v>
      </c>
      <c r="D368" s="7" t="s">
        <v>3058</v>
      </c>
      <c r="E368" s="7" t="s">
        <v>2440</v>
      </c>
      <c r="F368" s="7" t="s">
        <v>4598</v>
      </c>
      <c r="G368" s="7" t="s">
        <v>4587</v>
      </c>
      <c r="H368" s="12">
        <v>0.15</v>
      </c>
      <c r="I368" s="7" t="s">
        <v>2285</v>
      </c>
      <c r="J368" s="7" t="str" cm="1">
        <f t="array" ref="J36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68" s="7" t="s">
        <v>4768</v>
      </c>
    </row>
    <row r="369" spans="1:11">
      <c r="A369" s="7" t="s">
        <v>3059</v>
      </c>
      <c r="B369" s="11">
        <v>43571</v>
      </c>
      <c r="C369" s="7">
        <v>2019</v>
      </c>
      <c r="D369" s="7" t="s">
        <v>3060</v>
      </c>
      <c r="E369" s="7" t="s">
        <v>2267</v>
      </c>
      <c r="F369" s="7" t="s">
        <v>4599</v>
      </c>
      <c r="G369" s="7" t="s">
        <v>4578</v>
      </c>
      <c r="H369" s="12">
        <v>0.8</v>
      </c>
      <c r="I369" s="7" t="s">
        <v>2420</v>
      </c>
      <c r="J369" s="7" t="str" cm="1">
        <f t="array" ref="J36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69" s="7" t="s">
        <v>4768</v>
      </c>
    </row>
    <row r="370" spans="1:11">
      <c r="A370" s="7" t="s">
        <v>3061</v>
      </c>
      <c r="B370" s="11">
        <v>43573</v>
      </c>
      <c r="C370" s="7">
        <v>2019</v>
      </c>
      <c r="D370" s="7" t="s">
        <v>3062</v>
      </c>
      <c r="E370" s="7" t="s">
        <v>2440</v>
      </c>
      <c r="F370" s="7" t="s">
        <v>4598</v>
      </c>
      <c r="G370" s="7" t="s">
        <v>4580</v>
      </c>
      <c r="H370" s="12">
        <v>0.68</v>
      </c>
      <c r="I370" s="7" t="s">
        <v>2268</v>
      </c>
      <c r="J370" s="7" t="str" cm="1">
        <f t="array" ref="J37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70" s="7" t="s">
        <v>4768</v>
      </c>
    </row>
    <row r="371" spans="1:11">
      <c r="A371" s="7" t="s">
        <v>3063</v>
      </c>
      <c r="B371" s="11">
        <v>43577</v>
      </c>
      <c r="C371" s="7">
        <v>2019</v>
      </c>
      <c r="D371" s="7" t="s">
        <v>3064</v>
      </c>
      <c r="E371" s="7" t="s">
        <v>146</v>
      </c>
      <c r="F371" s="7" t="s">
        <v>4599</v>
      </c>
      <c r="G371" s="7" t="s">
        <v>4580</v>
      </c>
      <c r="H371" s="12">
        <v>0.15</v>
      </c>
      <c r="I371" s="7" t="s">
        <v>2261</v>
      </c>
      <c r="J371" s="7" t="str" cm="1">
        <f t="array" ref="J37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71" s="7" t="s">
        <v>4768</v>
      </c>
    </row>
    <row r="372" spans="1:11">
      <c r="A372" s="7" t="s">
        <v>3065</v>
      </c>
      <c r="B372" s="11">
        <v>43599</v>
      </c>
      <c r="C372" s="7">
        <v>2019</v>
      </c>
      <c r="D372" s="7" t="s">
        <v>3066</v>
      </c>
      <c r="E372" s="7" t="s">
        <v>2440</v>
      </c>
      <c r="F372" s="7" t="s">
        <v>4598</v>
      </c>
      <c r="G372" s="7" t="s">
        <v>4582</v>
      </c>
      <c r="H372" s="12">
        <v>1.21</v>
      </c>
      <c r="I372" s="7" t="s">
        <v>2356</v>
      </c>
      <c r="J372" s="7" t="str" cm="1">
        <f t="array" ref="J37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72" s="7" t="s">
        <v>4768</v>
      </c>
    </row>
    <row r="373" spans="1:11">
      <c r="A373" s="7" t="s">
        <v>3067</v>
      </c>
      <c r="B373" s="11">
        <v>43608</v>
      </c>
      <c r="C373" s="7">
        <v>2019</v>
      </c>
      <c r="D373" s="7" t="s">
        <v>3068</v>
      </c>
      <c r="E373" s="7" t="s">
        <v>9</v>
      </c>
      <c r="F373" s="7" t="s">
        <v>4598</v>
      </c>
      <c r="G373" s="7" t="s">
        <v>4578</v>
      </c>
      <c r="H373" s="12">
        <v>0.79</v>
      </c>
      <c r="I373" s="7" t="s">
        <v>2251</v>
      </c>
      <c r="J373" s="7" t="str" cm="1">
        <f t="array" ref="J37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73" s="7" t="s">
        <v>4768</v>
      </c>
    </row>
    <row r="374" spans="1:11">
      <c r="A374" s="7" t="s">
        <v>3069</v>
      </c>
      <c r="B374" s="11">
        <v>43609</v>
      </c>
      <c r="C374" s="7">
        <v>2019</v>
      </c>
      <c r="D374" s="7" t="s">
        <v>3070</v>
      </c>
      <c r="E374" s="7" t="s">
        <v>125</v>
      </c>
      <c r="F374" s="7" t="s">
        <v>4601</v>
      </c>
      <c r="G374" s="7" t="s">
        <v>4587</v>
      </c>
      <c r="H374" s="12">
        <v>1.5</v>
      </c>
      <c r="I374" s="7" t="s">
        <v>3071</v>
      </c>
      <c r="J374" s="7" t="str" cm="1">
        <f t="array" ref="J37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74" s="7" t="s">
        <v>4743</v>
      </c>
    </row>
    <row r="375" spans="1:11">
      <c r="A375" s="7" t="s">
        <v>3072</v>
      </c>
      <c r="B375" s="11">
        <v>43610</v>
      </c>
      <c r="C375" s="7">
        <v>2019</v>
      </c>
      <c r="D375" s="7" t="s">
        <v>3073</v>
      </c>
      <c r="E375" s="7" t="s">
        <v>130</v>
      </c>
      <c r="F375" s="7" t="s">
        <v>4598</v>
      </c>
      <c r="G375" s="7" t="s">
        <v>4587</v>
      </c>
      <c r="H375" s="12">
        <v>0.5</v>
      </c>
      <c r="I375" s="7" t="s">
        <v>2285</v>
      </c>
      <c r="J375" s="7" t="str" cm="1">
        <f t="array" ref="J37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75" s="7" t="s">
        <v>4768</v>
      </c>
    </row>
    <row r="376" spans="1:11">
      <c r="A376" s="7" t="s">
        <v>3074</v>
      </c>
      <c r="B376" s="11">
        <v>43623</v>
      </c>
      <c r="C376" s="7">
        <v>2019</v>
      </c>
      <c r="D376" s="7" t="s">
        <v>3075</v>
      </c>
      <c r="E376" s="7" t="s">
        <v>2254</v>
      </c>
      <c r="F376" s="7" t="s">
        <v>4598</v>
      </c>
      <c r="G376" s="7" t="s">
        <v>4579</v>
      </c>
      <c r="H376" s="12">
        <v>0.14000000000000001</v>
      </c>
      <c r="I376" s="7" t="s">
        <v>2374</v>
      </c>
      <c r="J376" s="7" t="str" cm="1">
        <f t="array" ref="J37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76" s="7" t="s">
        <v>4768</v>
      </c>
    </row>
    <row r="377" spans="1:11">
      <c r="A377" s="7" t="s">
        <v>3076</v>
      </c>
      <c r="B377" s="11">
        <v>43625</v>
      </c>
      <c r="C377" s="7">
        <v>2019</v>
      </c>
      <c r="D377" s="7" t="s">
        <v>3077</v>
      </c>
      <c r="E377" s="7" t="s">
        <v>130</v>
      </c>
      <c r="F377" s="7" t="s">
        <v>4599</v>
      </c>
      <c r="G377" s="7" t="s">
        <v>4580</v>
      </c>
      <c r="H377" s="12">
        <v>0.53</v>
      </c>
      <c r="I377" s="7" t="s">
        <v>2261</v>
      </c>
      <c r="J377" s="7" t="str" cm="1">
        <f t="array" ref="J37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77" s="7" t="s">
        <v>4768</v>
      </c>
    </row>
    <row r="378" spans="1:11">
      <c r="A378" s="7" t="s">
        <v>3078</v>
      </c>
      <c r="B378" s="11">
        <v>43631</v>
      </c>
      <c r="C378" s="7">
        <v>2019</v>
      </c>
      <c r="D378" s="7" t="s">
        <v>3079</v>
      </c>
      <c r="E378" s="7" t="s">
        <v>2297</v>
      </c>
      <c r="F378" s="7" t="s">
        <v>4602</v>
      </c>
      <c r="G378" s="7" t="s">
        <v>4586</v>
      </c>
      <c r="H378" s="12">
        <v>0.23</v>
      </c>
      <c r="I378" s="7" t="s">
        <v>2476</v>
      </c>
      <c r="J378" s="7" t="str" cm="1">
        <f t="array" ref="J37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78" s="7" t="s">
        <v>4768</v>
      </c>
    </row>
    <row r="379" spans="1:11">
      <c r="A379" s="7" t="s">
        <v>3080</v>
      </c>
      <c r="B379" s="11">
        <v>43633</v>
      </c>
      <c r="C379" s="7">
        <v>2019</v>
      </c>
      <c r="D379" s="7" t="s">
        <v>3081</v>
      </c>
      <c r="E379" s="7" t="s">
        <v>2293</v>
      </c>
      <c r="F379" s="7" t="s">
        <v>4598</v>
      </c>
      <c r="G379" s="7" t="s">
        <v>4587</v>
      </c>
      <c r="H379" s="12">
        <v>0.02</v>
      </c>
      <c r="I379" s="7" t="s">
        <v>2285</v>
      </c>
      <c r="J379" s="7" t="str" cm="1">
        <f t="array" ref="J37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79" s="7" t="s">
        <v>4768</v>
      </c>
    </row>
    <row r="380" spans="1:11">
      <c r="A380" s="7" t="s">
        <v>3082</v>
      </c>
      <c r="B380" s="11">
        <v>43638</v>
      </c>
      <c r="C380" s="7">
        <v>2019</v>
      </c>
      <c r="D380" s="7" t="s">
        <v>3083</v>
      </c>
      <c r="E380" s="7" t="s">
        <v>2254</v>
      </c>
      <c r="F380" s="7" t="s">
        <v>4598</v>
      </c>
      <c r="G380" s="7" t="s">
        <v>4581</v>
      </c>
      <c r="H380" s="12">
        <v>0.01</v>
      </c>
      <c r="I380" s="7" t="s">
        <v>2586</v>
      </c>
      <c r="J380" s="7" t="str" cm="1">
        <f t="array" ref="J38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80" s="7" t="s">
        <v>4768</v>
      </c>
    </row>
    <row r="381" spans="1:11">
      <c r="A381" s="7" t="s">
        <v>3084</v>
      </c>
      <c r="B381" s="11">
        <v>43640</v>
      </c>
      <c r="C381" s="7">
        <v>2019</v>
      </c>
      <c r="D381" s="7" t="s">
        <v>3085</v>
      </c>
      <c r="E381" s="7" t="s">
        <v>53</v>
      </c>
      <c r="F381" s="7" t="s">
        <v>4598</v>
      </c>
      <c r="G381" s="7" t="s">
        <v>4580</v>
      </c>
      <c r="H381" s="12">
        <v>0.82</v>
      </c>
      <c r="I381" s="7" t="s">
        <v>2268</v>
      </c>
      <c r="J381" s="7" t="str" cm="1">
        <f t="array" ref="J38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81" s="7" t="s">
        <v>4768</v>
      </c>
    </row>
    <row r="382" spans="1:11">
      <c r="A382" s="7" t="s">
        <v>3086</v>
      </c>
      <c r="B382" s="11">
        <v>43641</v>
      </c>
      <c r="C382" s="7">
        <v>2019</v>
      </c>
      <c r="D382" s="7" t="s">
        <v>3087</v>
      </c>
      <c r="E382" s="7" t="s">
        <v>215</v>
      </c>
      <c r="F382" s="7" t="s">
        <v>4599</v>
      </c>
      <c r="G382" s="7" t="s">
        <v>4579</v>
      </c>
      <c r="H382" s="12">
        <v>0.27</v>
      </c>
      <c r="I382" s="7" t="s">
        <v>2426</v>
      </c>
      <c r="J382" s="7" t="str" cm="1">
        <f t="array" ref="J38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82" s="7" t="s">
        <v>4768</v>
      </c>
    </row>
    <row r="383" spans="1:11">
      <c r="A383" s="7" t="s">
        <v>3088</v>
      </c>
      <c r="B383" s="11">
        <v>43651</v>
      </c>
      <c r="C383" s="7">
        <v>2019</v>
      </c>
      <c r="D383" s="7" t="s">
        <v>3089</v>
      </c>
      <c r="E383" s="7" t="s">
        <v>125</v>
      </c>
      <c r="F383" s="7" t="s">
        <v>4602</v>
      </c>
      <c r="G383" s="7" t="s">
        <v>4582</v>
      </c>
      <c r="H383" s="12">
        <v>0.41</v>
      </c>
      <c r="I383" s="7" t="s">
        <v>3090</v>
      </c>
      <c r="J383" s="7" t="str" cm="1">
        <f t="array" ref="J38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83" s="7" t="s">
        <v>4768</v>
      </c>
    </row>
    <row r="384" spans="1:11">
      <c r="A384" s="7" t="s">
        <v>3091</v>
      </c>
      <c r="B384" s="11">
        <v>43658</v>
      </c>
      <c r="C384" s="7">
        <v>2019</v>
      </c>
      <c r="D384" s="7" t="s">
        <v>3092</v>
      </c>
      <c r="E384" s="7" t="s">
        <v>2321</v>
      </c>
      <c r="F384" s="7" t="s">
        <v>4598</v>
      </c>
      <c r="G384" s="7" t="s">
        <v>4580</v>
      </c>
      <c r="H384" s="12">
        <v>0.17</v>
      </c>
      <c r="I384" s="7" t="s">
        <v>2268</v>
      </c>
      <c r="J384" s="7" t="str" cm="1">
        <f t="array" ref="J38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84" s="7" t="s">
        <v>4768</v>
      </c>
    </row>
    <row r="385" spans="1:11">
      <c r="A385" s="7" t="s">
        <v>3093</v>
      </c>
      <c r="B385" s="11">
        <v>43663</v>
      </c>
      <c r="C385" s="7">
        <v>2019</v>
      </c>
      <c r="D385" s="7" t="s">
        <v>3094</v>
      </c>
      <c r="E385" s="7" t="s">
        <v>1365</v>
      </c>
      <c r="F385" s="7" t="s">
        <v>4599</v>
      </c>
      <c r="G385" s="7" t="s">
        <v>4580</v>
      </c>
      <c r="H385" s="12">
        <v>0.27</v>
      </c>
      <c r="I385" s="7" t="s">
        <v>2261</v>
      </c>
      <c r="J385" s="7" t="str" cm="1">
        <f t="array" ref="J38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85" s="7" t="s">
        <v>4768</v>
      </c>
    </row>
    <row r="386" spans="1:11">
      <c r="A386" s="7" t="s">
        <v>3095</v>
      </c>
      <c r="B386" s="11">
        <v>43670</v>
      </c>
      <c r="C386" s="7">
        <v>2019</v>
      </c>
      <c r="D386" s="7" t="s">
        <v>3096</v>
      </c>
      <c r="E386" s="7" t="s">
        <v>67</v>
      </c>
      <c r="F386" s="7" t="s">
        <v>4598</v>
      </c>
      <c r="G386" s="7" t="s">
        <v>4580</v>
      </c>
      <c r="H386" s="12">
        <v>9.16</v>
      </c>
      <c r="I386" s="7" t="s">
        <v>2268</v>
      </c>
      <c r="J386" s="7" t="str" cm="1">
        <f t="array" ref="J386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386" s="7" t="s">
        <v>4768</v>
      </c>
    </row>
    <row r="387" spans="1:11">
      <c r="A387" s="7" t="s">
        <v>3097</v>
      </c>
      <c r="B387" s="11">
        <v>43701</v>
      </c>
      <c r="C387" s="7">
        <v>2019</v>
      </c>
      <c r="D387" s="7" t="s">
        <v>3098</v>
      </c>
      <c r="E387" s="7" t="s">
        <v>304</v>
      </c>
      <c r="F387" s="7" t="s">
        <v>4598</v>
      </c>
      <c r="G387" s="7" t="s">
        <v>4580</v>
      </c>
      <c r="H387" s="12">
        <v>1.63</v>
      </c>
      <c r="I387" s="7" t="s">
        <v>2268</v>
      </c>
      <c r="J387" s="7" t="str" cm="1">
        <f t="array" ref="J38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387" s="7" t="s">
        <v>4768</v>
      </c>
    </row>
    <row r="388" spans="1:11">
      <c r="A388" s="7" t="s">
        <v>3099</v>
      </c>
      <c r="B388" s="11">
        <v>43709</v>
      </c>
      <c r="C388" s="7">
        <v>2019</v>
      </c>
      <c r="D388" s="7" t="s">
        <v>2997</v>
      </c>
      <c r="E388" s="7" t="s">
        <v>23</v>
      </c>
      <c r="F388" s="7" t="s">
        <v>4598</v>
      </c>
      <c r="G388" s="7" t="s">
        <v>4580</v>
      </c>
      <c r="H388" s="12">
        <v>0.27</v>
      </c>
      <c r="I388" s="7" t="s">
        <v>2268</v>
      </c>
      <c r="J388" s="7" t="str" cm="1">
        <f t="array" ref="J38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88" s="7" t="s">
        <v>4768</v>
      </c>
    </row>
    <row r="389" spans="1:11">
      <c r="A389" s="7" t="s">
        <v>3100</v>
      </c>
      <c r="B389" s="11">
        <v>43711</v>
      </c>
      <c r="C389" s="7">
        <v>2019</v>
      </c>
      <c r="D389" s="7" t="s">
        <v>3101</v>
      </c>
      <c r="E389" s="7" t="s">
        <v>53</v>
      </c>
      <c r="F389" s="7" t="s">
        <v>4598</v>
      </c>
      <c r="G389" s="7" t="s">
        <v>4581</v>
      </c>
      <c r="H389" s="12">
        <v>0.54</v>
      </c>
      <c r="I389" s="7" t="s">
        <v>2586</v>
      </c>
      <c r="J389" s="7" t="str" cm="1">
        <f t="array" ref="J38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89" s="7" t="s">
        <v>4768</v>
      </c>
    </row>
    <row r="390" spans="1:11">
      <c r="A390" s="7" t="s">
        <v>3102</v>
      </c>
      <c r="B390" s="11">
        <v>43716</v>
      </c>
      <c r="C390" s="7">
        <v>2019</v>
      </c>
      <c r="D390" s="7" t="s">
        <v>3103</v>
      </c>
      <c r="E390" s="7" t="s">
        <v>67</v>
      </c>
      <c r="F390" s="7" t="s">
        <v>4598</v>
      </c>
      <c r="G390" s="7" t="s">
        <v>4580</v>
      </c>
      <c r="H390" s="12">
        <v>0.24</v>
      </c>
      <c r="I390" s="7" t="s">
        <v>2268</v>
      </c>
      <c r="J390" s="7" t="str" cm="1">
        <f t="array" ref="J39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0" s="7" t="s">
        <v>4768</v>
      </c>
    </row>
    <row r="391" spans="1:11">
      <c r="A391" s="7" t="s">
        <v>3104</v>
      </c>
      <c r="B391" s="11">
        <v>43724</v>
      </c>
      <c r="C391" s="7">
        <v>2019</v>
      </c>
      <c r="D391" s="7" t="s">
        <v>3105</v>
      </c>
      <c r="E391" s="7" t="s">
        <v>130</v>
      </c>
      <c r="F391" s="7" t="s">
        <v>4601</v>
      </c>
      <c r="G391" s="7" t="s">
        <v>4585</v>
      </c>
      <c r="H391" s="12">
        <v>0.09</v>
      </c>
      <c r="I391" s="7" t="s">
        <v>2659</v>
      </c>
      <c r="J391" s="7" t="str" cm="1">
        <f t="array" ref="J39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1" s="7" t="s">
        <v>4768</v>
      </c>
    </row>
    <row r="392" spans="1:11">
      <c r="A392" s="7" t="s">
        <v>3106</v>
      </c>
      <c r="B392" s="11">
        <v>43753</v>
      </c>
      <c r="C392" s="7">
        <v>2019</v>
      </c>
      <c r="D392" s="7" t="s">
        <v>3107</v>
      </c>
      <c r="E392" s="7" t="s">
        <v>1403</v>
      </c>
      <c r="F392" s="7" t="s">
        <v>4599</v>
      </c>
      <c r="G392" s="7" t="s">
        <v>4582</v>
      </c>
      <c r="H392" s="12">
        <v>0.09</v>
      </c>
      <c r="I392" s="7" t="s">
        <v>2288</v>
      </c>
      <c r="J392" s="7" t="str" cm="1">
        <f t="array" ref="J39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2" s="7" t="s">
        <v>4768</v>
      </c>
    </row>
    <row r="393" spans="1:11">
      <c r="A393" s="7" t="s">
        <v>3108</v>
      </c>
      <c r="B393" s="11">
        <v>43754</v>
      </c>
      <c r="C393" s="7">
        <v>2019</v>
      </c>
      <c r="D393" s="7" t="s">
        <v>2432</v>
      </c>
      <c r="E393" s="7" t="s">
        <v>2254</v>
      </c>
      <c r="F393" s="7" t="s">
        <v>4598</v>
      </c>
      <c r="G393" s="7" t="s">
        <v>4580</v>
      </c>
      <c r="H393" s="12">
        <v>0.04</v>
      </c>
      <c r="I393" s="7" t="s">
        <v>2268</v>
      </c>
      <c r="J393" s="7" t="str" cm="1">
        <f t="array" ref="J39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3" s="7" t="s">
        <v>4768</v>
      </c>
    </row>
    <row r="394" spans="1:11">
      <c r="A394" s="7" t="s">
        <v>3109</v>
      </c>
      <c r="B394" s="11">
        <v>43759</v>
      </c>
      <c r="C394" s="7">
        <v>2019</v>
      </c>
      <c r="D394" s="7" t="s">
        <v>3110</v>
      </c>
      <c r="E394" s="7" t="s">
        <v>1403</v>
      </c>
      <c r="F394" s="7" t="s">
        <v>4598</v>
      </c>
      <c r="G394" s="7" t="s">
        <v>4587</v>
      </c>
      <c r="H394" s="12">
        <v>10</v>
      </c>
      <c r="I394" s="7" t="s">
        <v>3111</v>
      </c>
      <c r="J394" s="7" t="str" cm="1">
        <f t="array" ref="J394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394" s="7" t="s">
        <v>4743</v>
      </c>
    </row>
    <row r="395" spans="1:11">
      <c r="A395" s="7" t="s">
        <v>3112</v>
      </c>
      <c r="B395" s="11">
        <v>43760</v>
      </c>
      <c r="C395" s="7">
        <v>2019</v>
      </c>
      <c r="D395" s="7" t="s">
        <v>3113</v>
      </c>
      <c r="E395" s="7" t="s">
        <v>1608</v>
      </c>
      <c r="F395" s="7" t="s">
        <v>4599</v>
      </c>
      <c r="G395" s="7" t="s">
        <v>4585</v>
      </c>
      <c r="H395" s="12">
        <v>0.01</v>
      </c>
      <c r="I395" s="7" t="s">
        <v>2333</v>
      </c>
      <c r="J395" s="7" t="str" cm="1">
        <f t="array" ref="J39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5" s="7" t="s">
        <v>4768</v>
      </c>
    </row>
    <row r="396" spans="1:11">
      <c r="A396" s="7" t="s">
        <v>3114</v>
      </c>
      <c r="B396" s="11">
        <v>43774</v>
      </c>
      <c r="C396" s="7">
        <v>2019</v>
      </c>
      <c r="D396" s="7" t="s">
        <v>3115</v>
      </c>
      <c r="E396" s="7" t="s">
        <v>2278</v>
      </c>
      <c r="F396" s="7" t="s">
        <v>4599</v>
      </c>
      <c r="G396" s="7" t="s">
        <v>4605</v>
      </c>
      <c r="H396" s="12">
        <v>0.83</v>
      </c>
      <c r="I396" s="7" t="s">
        <v>2458</v>
      </c>
      <c r="J396" s="7" t="str" cm="1">
        <f t="array" ref="J39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6" s="7" t="s">
        <v>4768</v>
      </c>
    </row>
    <row r="397" spans="1:11">
      <c r="A397" s="7" t="s">
        <v>3116</v>
      </c>
      <c r="B397" s="11">
        <v>43778</v>
      </c>
      <c r="C397" s="7">
        <v>2019</v>
      </c>
      <c r="D397" s="7" t="s">
        <v>3117</v>
      </c>
      <c r="E397" s="7" t="s">
        <v>17</v>
      </c>
      <c r="F397" s="7" t="s">
        <v>4599</v>
      </c>
      <c r="G397" s="7" t="s">
        <v>4580</v>
      </c>
      <c r="H397" s="12">
        <v>0.11</v>
      </c>
      <c r="I397" s="7" t="s">
        <v>2261</v>
      </c>
      <c r="J397" s="7" t="str" cm="1">
        <f t="array" ref="J39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7" s="7" t="s">
        <v>4768</v>
      </c>
    </row>
    <row r="398" spans="1:11">
      <c r="A398" s="7" t="s">
        <v>3118</v>
      </c>
      <c r="B398" s="11">
        <v>43781</v>
      </c>
      <c r="C398" s="7">
        <v>2019</v>
      </c>
      <c r="D398" s="7" t="s">
        <v>3119</v>
      </c>
      <c r="E398" s="7" t="s">
        <v>2282</v>
      </c>
      <c r="F398" s="7" t="s">
        <v>4598</v>
      </c>
      <c r="G398" s="7" t="s">
        <v>4585</v>
      </c>
      <c r="H398" s="12">
        <v>0.04</v>
      </c>
      <c r="I398" s="7" t="s">
        <v>2316</v>
      </c>
      <c r="J398" s="7" t="str" cm="1">
        <f t="array" ref="J39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8" s="7" t="s">
        <v>4768</v>
      </c>
    </row>
    <row r="399" spans="1:11">
      <c r="A399" s="7" t="s">
        <v>3120</v>
      </c>
      <c r="B399" s="11">
        <v>43784</v>
      </c>
      <c r="C399" s="7">
        <v>2019</v>
      </c>
      <c r="D399" s="7" t="s">
        <v>3121</v>
      </c>
      <c r="E399" s="7" t="s">
        <v>125</v>
      </c>
      <c r="F399" s="7" t="s">
        <v>4599</v>
      </c>
      <c r="G399" s="7" t="s">
        <v>4580</v>
      </c>
      <c r="H399" s="12">
        <v>0.21</v>
      </c>
      <c r="I399" s="7" t="s">
        <v>2261</v>
      </c>
      <c r="J399" s="7" t="str" cm="1">
        <f t="array" ref="J39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399" s="7" t="s">
        <v>4768</v>
      </c>
    </row>
    <row r="400" spans="1:11">
      <c r="A400" s="7" t="s">
        <v>3122</v>
      </c>
      <c r="B400" s="11">
        <v>43786</v>
      </c>
      <c r="C400" s="7">
        <v>2019</v>
      </c>
      <c r="D400" s="7" t="s">
        <v>3123</v>
      </c>
      <c r="E400" s="7" t="s">
        <v>1676</v>
      </c>
      <c r="F400" s="7" t="s">
        <v>4598</v>
      </c>
      <c r="G400" s="7" t="s">
        <v>4581</v>
      </c>
      <c r="H400" s="12">
        <v>0.02</v>
      </c>
      <c r="I400" s="7" t="s">
        <v>2586</v>
      </c>
      <c r="J400" s="7" t="str" cm="1">
        <f t="array" ref="J40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0" s="7" t="s">
        <v>4768</v>
      </c>
    </row>
    <row r="401" spans="1:11">
      <c r="A401" s="7" t="s">
        <v>3124</v>
      </c>
      <c r="B401" s="11">
        <v>43787</v>
      </c>
      <c r="C401" s="7">
        <v>2019</v>
      </c>
      <c r="D401" s="7" t="s">
        <v>3125</v>
      </c>
      <c r="E401" s="7" t="s">
        <v>2440</v>
      </c>
      <c r="F401" s="7" t="s">
        <v>4598</v>
      </c>
      <c r="G401" s="7" t="s">
        <v>4580</v>
      </c>
      <c r="H401" s="12">
        <v>0.62</v>
      </c>
      <c r="I401" s="7" t="s">
        <v>2268</v>
      </c>
      <c r="J401" s="7" t="str" cm="1">
        <f t="array" ref="J40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1" s="7" t="s">
        <v>4768</v>
      </c>
    </row>
    <row r="402" spans="1:11">
      <c r="A402" s="7" t="s">
        <v>3126</v>
      </c>
      <c r="B402" s="11">
        <v>43795</v>
      </c>
      <c r="C402" s="7">
        <v>2019</v>
      </c>
      <c r="D402" s="7" t="s">
        <v>3127</v>
      </c>
      <c r="E402" s="7" t="s">
        <v>2440</v>
      </c>
      <c r="F402" s="7" t="s">
        <v>4598</v>
      </c>
      <c r="G402" s="7" t="s">
        <v>4580</v>
      </c>
      <c r="H402" s="12">
        <v>0.91</v>
      </c>
      <c r="I402" s="7" t="s">
        <v>2268</v>
      </c>
      <c r="J402" s="7" t="str" cm="1">
        <f t="array" ref="J40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2" s="7" t="s">
        <v>4768</v>
      </c>
    </row>
    <row r="403" spans="1:11">
      <c r="A403" s="7" t="s">
        <v>3128</v>
      </c>
      <c r="B403" s="11">
        <v>43813</v>
      </c>
      <c r="C403" s="7">
        <v>2019</v>
      </c>
      <c r="D403" s="7" t="s">
        <v>3129</v>
      </c>
      <c r="E403" s="7" t="s">
        <v>53</v>
      </c>
      <c r="F403" s="7" t="s">
        <v>4599</v>
      </c>
      <c r="G403" s="7" t="s">
        <v>4583</v>
      </c>
      <c r="H403" s="12">
        <v>0.23</v>
      </c>
      <c r="I403" s="7" t="s">
        <v>2279</v>
      </c>
      <c r="J403" s="7" t="str" cm="1">
        <f t="array" ref="J40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3" s="7" t="s">
        <v>4768</v>
      </c>
    </row>
    <row r="404" spans="1:11">
      <c r="A404" s="7" t="s">
        <v>3130</v>
      </c>
      <c r="B404" s="11">
        <v>43835</v>
      </c>
      <c r="C404" s="7">
        <v>2020</v>
      </c>
      <c r="D404" s="7" t="s">
        <v>2500</v>
      </c>
      <c r="E404" s="7" t="s">
        <v>1676</v>
      </c>
      <c r="F404" s="7" t="s">
        <v>4599</v>
      </c>
      <c r="G404" s="7" t="s">
        <v>4580</v>
      </c>
      <c r="H404" s="12">
        <v>1.48</v>
      </c>
      <c r="I404" s="7" t="s">
        <v>2261</v>
      </c>
      <c r="J404" s="7" t="str" cm="1">
        <f t="array" ref="J40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04" s="7" t="s">
        <v>4768</v>
      </c>
    </row>
    <row r="405" spans="1:11">
      <c r="A405" s="7" t="s">
        <v>3131</v>
      </c>
      <c r="B405" s="11">
        <v>43836</v>
      </c>
      <c r="C405" s="7">
        <v>2020</v>
      </c>
      <c r="D405" s="7" t="s">
        <v>3132</v>
      </c>
      <c r="E405" s="7" t="s">
        <v>2250</v>
      </c>
      <c r="F405" s="7" t="s">
        <v>4598</v>
      </c>
      <c r="G405" s="7" t="s">
        <v>4585</v>
      </c>
      <c r="H405" s="12">
        <v>0.13</v>
      </c>
      <c r="I405" s="7" t="s">
        <v>2316</v>
      </c>
      <c r="J405" s="7" t="str" cm="1">
        <f t="array" ref="J40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5" s="7" t="s">
        <v>4768</v>
      </c>
    </row>
    <row r="406" spans="1:11">
      <c r="A406" s="7" t="s">
        <v>3133</v>
      </c>
      <c r="B406" s="11">
        <v>43837</v>
      </c>
      <c r="C406" s="7">
        <v>2020</v>
      </c>
      <c r="D406" s="7" t="s">
        <v>3134</v>
      </c>
      <c r="E406" s="7" t="s">
        <v>31</v>
      </c>
      <c r="F406" s="7" t="s">
        <v>4598</v>
      </c>
      <c r="G406" s="7" t="s">
        <v>4580</v>
      </c>
      <c r="H406" s="12">
        <v>0.03</v>
      </c>
      <c r="I406" s="7" t="s">
        <v>2268</v>
      </c>
      <c r="J406" s="7" t="str" cm="1">
        <f t="array" ref="J40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6" s="7" t="s">
        <v>4768</v>
      </c>
    </row>
    <row r="407" spans="1:11">
      <c r="A407" s="7" t="s">
        <v>3135</v>
      </c>
      <c r="B407" s="11">
        <v>43838</v>
      </c>
      <c r="C407" s="7">
        <v>2020</v>
      </c>
      <c r="D407" s="7" t="s">
        <v>2757</v>
      </c>
      <c r="E407" s="7" t="s">
        <v>2297</v>
      </c>
      <c r="F407" s="7" t="s">
        <v>4599</v>
      </c>
      <c r="G407" s="7" t="s">
        <v>4581</v>
      </c>
      <c r="H407" s="12">
        <v>0.1</v>
      </c>
      <c r="I407" s="7" t="s">
        <v>2553</v>
      </c>
      <c r="J407" s="7" t="str" cm="1">
        <f t="array" ref="J40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7" s="7" t="s">
        <v>4768</v>
      </c>
    </row>
    <row r="408" spans="1:11">
      <c r="A408" s="7" t="s">
        <v>3136</v>
      </c>
      <c r="B408" s="11">
        <v>43841</v>
      </c>
      <c r="C408" s="7">
        <v>2020</v>
      </c>
      <c r="D408" s="7" t="s">
        <v>3137</v>
      </c>
      <c r="E408" s="7" t="s">
        <v>2282</v>
      </c>
      <c r="F408" s="7" t="s">
        <v>4598</v>
      </c>
      <c r="G408" s="7" t="s">
        <v>4580</v>
      </c>
      <c r="H408" s="12">
        <v>0.03</v>
      </c>
      <c r="I408" s="7" t="s">
        <v>2268</v>
      </c>
      <c r="J408" s="7" t="str" cm="1">
        <f t="array" ref="J40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8" s="7" t="s">
        <v>4768</v>
      </c>
    </row>
    <row r="409" spans="1:11">
      <c r="A409" s="7" t="s">
        <v>3138</v>
      </c>
      <c r="B409" s="11">
        <v>43866</v>
      </c>
      <c r="C409" s="7">
        <v>2020</v>
      </c>
      <c r="D409" s="7" t="s">
        <v>3139</v>
      </c>
      <c r="E409" s="7" t="s">
        <v>2254</v>
      </c>
      <c r="F409" s="7" t="s">
        <v>4598</v>
      </c>
      <c r="G409" s="7" t="s">
        <v>4580</v>
      </c>
      <c r="H409" s="12">
        <v>0.25</v>
      </c>
      <c r="I409" s="7" t="s">
        <v>2268</v>
      </c>
      <c r="J409" s="7" t="str" cm="1">
        <f t="array" ref="J40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09" s="7" t="s">
        <v>4768</v>
      </c>
    </row>
    <row r="410" spans="1:11">
      <c r="A410" s="7" t="s">
        <v>3140</v>
      </c>
      <c r="B410" s="11">
        <v>43874</v>
      </c>
      <c r="C410" s="7">
        <v>2020</v>
      </c>
      <c r="D410" s="7" t="s">
        <v>3141</v>
      </c>
      <c r="E410" s="7" t="s">
        <v>2275</v>
      </c>
      <c r="F410" s="7" t="s">
        <v>4601</v>
      </c>
      <c r="G410" s="7" t="s">
        <v>4604</v>
      </c>
      <c r="H410" s="12">
        <v>0.71</v>
      </c>
      <c r="I410" s="7" t="s">
        <v>2423</v>
      </c>
      <c r="J410" s="7" t="str" cm="1">
        <f t="array" ref="J41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10" s="7" t="s">
        <v>4768</v>
      </c>
    </row>
    <row r="411" spans="1:11">
      <c r="A411" s="7" t="s">
        <v>3142</v>
      </c>
      <c r="B411" s="11">
        <v>43875</v>
      </c>
      <c r="C411" s="7">
        <v>2020</v>
      </c>
      <c r="D411" s="7" t="s">
        <v>3143</v>
      </c>
      <c r="E411" s="7" t="s">
        <v>53</v>
      </c>
      <c r="F411" s="7" t="s">
        <v>4602</v>
      </c>
      <c r="G411" s="7" t="s">
        <v>4578</v>
      </c>
      <c r="H411" s="12">
        <v>0.12</v>
      </c>
      <c r="I411" s="7" t="s">
        <v>2501</v>
      </c>
      <c r="J411" s="7" t="str" cm="1">
        <f t="array" ref="J41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11" s="7" t="s">
        <v>4768</v>
      </c>
    </row>
    <row r="412" spans="1:11">
      <c r="A412" s="7" t="s">
        <v>3144</v>
      </c>
      <c r="B412" s="11">
        <v>43878</v>
      </c>
      <c r="C412" s="7">
        <v>2020</v>
      </c>
      <c r="D412" s="7" t="s">
        <v>3145</v>
      </c>
      <c r="E412" s="7" t="s">
        <v>17</v>
      </c>
      <c r="F412" s="7" t="s">
        <v>4598</v>
      </c>
      <c r="G412" s="7" t="s">
        <v>4578</v>
      </c>
      <c r="H412" s="12">
        <v>5.96</v>
      </c>
      <c r="I412" s="7" t="s">
        <v>2251</v>
      </c>
      <c r="J412" s="7" t="str" cm="1">
        <f t="array" ref="J412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412" s="7" t="s">
        <v>4768</v>
      </c>
    </row>
    <row r="413" spans="1:11">
      <c r="A413" s="7" t="s">
        <v>3146</v>
      </c>
      <c r="B413" s="11">
        <v>43905</v>
      </c>
      <c r="C413" s="7">
        <v>2020</v>
      </c>
      <c r="D413" s="7" t="s">
        <v>3147</v>
      </c>
      <c r="E413" s="7" t="s">
        <v>2297</v>
      </c>
      <c r="F413" s="7" t="s">
        <v>4599</v>
      </c>
      <c r="G413" s="7" t="s">
        <v>4582</v>
      </c>
      <c r="H413" s="12">
        <v>0.31</v>
      </c>
      <c r="I413" s="7" t="s">
        <v>2288</v>
      </c>
      <c r="J413" s="7" t="str" cm="1">
        <f t="array" ref="J41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13" s="7" t="s">
        <v>4768</v>
      </c>
    </row>
    <row r="414" spans="1:11">
      <c r="A414" s="7" t="s">
        <v>3148</v>
      </c>
      <c r="B414" s="11">
        <v>43907</v>
      </c>
      <c r="C414" s="7">
        <v>2020</v>
      </c>
      <c r="D414" s="7" t="s">
        <v>3149</v>
      </c>
      <c r="E414" s="7" t="s">
        <v>2282</v>
      </c>
      <c r="F414" s="7" t="s">
        <v>4598</v>
      </c>
      <c r="G414" s="7" t="s">
        <v>4580</v>
      </c>
      <c r="H414" s="12">
        <v>0.06</v>
      </c>
      <c r="I414" s="7" t="s">
        <v>2268</v>
      </c>
      <c r="J414" s="7" t="str" cm="1">
        <f t="array" ref="J41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14" s="7" t="s">
        <v>4768</v>
      </c>
    </row>
    <row r="415" spans="1:11">
      <c r="A415" s="7" t="s">
        <v>3150</v>
      </c>
      <c r="B415" s="11">
        <v>43908</v>
      </c>
      <c r="C415" s="7">
        <v>2020</v>
      </c>
      <c r="D415" s="7" t="s">
        <v>3151</v>
      </c>
      <c r="E415" s="7" t="s">
        <v>2297</v>
      </c>
      <c r="F415" s="7" t="s">
        <v>4600</v>
      </c>
      <c r="G415" s="7" t="s">
        <v>4581</v>
      </c>
      <c r="H415" s="12">
        <v>0.03</v>
      </c>
      <c r="I415" s="7" t="s">
        <v>3152</v>
      </c>
      <c r="J415" s="7" t="str" cm="1">
        <f t="array" ref="J41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15" s="7" t="s">
        <v>4768</v>
      </c>
    </row>
    <row r="416" spans="1:11">
      <c r="A416" s="7" t="s">
        <v>3153</v>
      </c>
      <c r="B416" s="11">
        <v>43909</v>
      </c>
      <c r="C416" s="7">
        <v>2020</v>
      </c>
      <c r="D416" s="7" t="s">
        <v>3154</v>
      </c>
      <c r="E416" s="7" t="s">
        <v>23</v>
      </c>
      <c r="F416" s="7" t="s">
        <v>4598</v>
      </c>
      <c r="G416" s="7" t="s">
        <v>4580</v>
      </c>
      <c r="H416" s="12">
        <v>0.2</v>
      </c>
      <c r="I416" s="7" t="s">
        <v>2268</v>
      </c>
      <c r="J416" s="7" t="str" cm="1">
        <f t="array" ref="J41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16" s="7" t="s">
        <v>4768</v>
      </c>
    </row>
    <row r="417" spans="1:11">
      <c r="A417" s="7" t="s">
        <v>3155</v>
      </c>
      <c r="B417" s="11">
        <v>43914</v>
      </c>
      <c r="C417" s="7">
        <v>2020</v>
      </c>
      <c r="D417" s="7" t="s">
        <v>3156</v>
      </c>
      <c r="E417" s="7" t="s">
        <v>2632</v>
      </c>
      <c r="F417" s="7" t="s">
        <v>4598</v>
      </c>
      <c r="G417" s="7" t="s">
        <v>4580</v>
      </c>
      <c r="H417" s="12">
        <v>0.45</v>
      </c>
      <c r="I417" s="7" t="s">
        <v>2268</v>
      </c>
      <c r="J417" s="7" t="str" cm="1">
        <f t="array" ref="J41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17" s="7" t="s">
        <v>4768</v>
      </c>
    </row>
    <row r="418" spans="1:11">
      <c r="A418" s="7" t="s">
        <v>3157</v>
      </c>
      <c r="B418" s="11">
        <v>43931</v>
      </c>
      <c r="C418" s="7">
        <v>2020</v>
      </c>
      <c r="D418" s="7" t="s">
        <v>3158</v>
      </c>
      <c r="E418" s="7" t="s">
        <v>2301</v>
      </c>
      <c r="F418" s="7" t="s">
        <v>4598</v>
      </c>
      <c r="G418" s="7" t="s">
        <v>4587</v>
      </c>
      <c r="H418" s="12">
        <v>0.01</v>
      </c>
      <c r="I418" s="7" t="s">
        <v>2285</v>
      </c>
      <c r="J418" s="7" t="str" cm="1">
        <f t="array" ref="J41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18" s="7" t="s">
        <v>4768</v>
      </c>
    </row>
    <row r="419" spans="1:11">
      <c r="A419" s="7" t="s">
        <v>3159</v>
      </c>
      <c r="B419" s="11">
        <v>43936</v>
      </c>
      <c r="C419" s="7">
        <v>2020</v>
      </c>
      <c r="D419" s="7" t="s">
        <v>3160</v>
      </c>
      <c r="E419" s="7" t="s">
        <v>38</v>
      </c>
      <c r="F419" s="7" t="s">
        <v>4598</v>
      </c>
      <c r="G419" s="7" t="s">
        <v>4580</v>
      </c>
      <c r="H419" s="12">
        <v>0.02</v>
      </c>
      <c r="I419" s="7" t="s">
        <v>2268</v>
      </c>
      <c r="J419" s="7" t="str" cm="1">
        <f t="array" ref="J41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19" s="7" t="s">
        <v>4768</v>
      </c>
    </row>
    <row r="420" spans="1:11">
      <c r="A420" s="7" t="s">
        <v>3161</v>
      </c>
      <c r="B420" s="11">
        <v>43947</v>
      </c>
      <c r="C420" s="7">
        <v>2020</v>
      </c>
      <c r="D420" s="7" t="s">
        <v>3162</v>
      </c>
      <c r="E420" s="7" t="s">
        <v>2324</v>
      </c>
      <c r="F420" s="7" t="s">
        <v>4598</v>
      </c>
      <c r="G420" s="7" t="s">
        <v>4580</v>
      </c>
      <c r="H420" s="12">
        <v>0.2</v>
      </c>
      <c r="I420" s="7" t="s">
        <v>2268</v>
      </c>
      <c r="J420" s="7" t="str" cm="1">
        <f t="array" ref="J42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20" s="7" t="s">
        <v>4768</v>
      </c>
    </row>
    <row r="421" spans="1:11">
      <c r="A421" s="7" t="s">
        <v>3163</v>
      </c>
      <c r="B421" s="11">
        <v>43954</v>
      </c>
      <c r="C421" s="7">
        <v>2020</v>
      </c>
      <c r="D421" s="7" t="s">
        <v>3164</v>
      </c>
      <c r="E421" s="7" t="s">
        <v>9</v>
      </c>
      <c r="F421" s="7" t="s">
        <v>4599</v>
      </c>
      <c r="G421" s="7" t="s">
        <v>4578</v>
      </c>
      <c r="H421" s="12">
        <v>0.03</v>
      </c>
      <c r="I421" s="7" t="s">
        <v>2420</v>
      </c>
      <c r="J421" s="7" t="str" cm="1">
        <f t="array" ref="J42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21" s="7" t="s">
        <v>4768</v>
      </c>
    </row>
    <row r="422" spans="1:11">
      <c r="A422" s="7" t="s">
        <v>3165</v>
      </c>
      <c r="B422" s="11">
        <v>43956</v>
      </c>
      <c r="C422" s="7">
        <v>2020</v>
      </c>
      <c r="D422" s="7" t="s">
        <v>3166</v>
      </c>
      <c r="E422" s="7" t="s">
        <v>125</v>
      </c>
      <c r="F422" s="7" t="s">
        <v>4598</v>
      </c>
      <c r="G422" s="7" t="s">
        <v>4585</v>
      </c>
      <c r="H422" s="12">
        <v>0.13</v>
      </c>
      <c r="I422" s="7" t="s">
        <v>2316</v>
      </c>
      <c r="J422" s="7" t="str" cm="1">
        <f t="array" ref="J42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22" s="7" t="s">
        <v>4768</v>
      </c>
    </row>
    <row r="423" spans="1:11">
      <c r="A423" s="7" t="s">
        <v>3167</v>
      </c>
      <c r="B423" s="11">
        <v>43960</v>
      </c>
      <c r="C423" s="7">
        <v>2020</v>
      </c>
      <c r="D423" s="7" t="s">
        <v>3168</v>
      </c>
      <c r="E423" s="7" t="s">
        <v>2297</v>
      </c>
      <c r="F423" s="7" t="s">
        <v>4599</v>
      </c>
      <c r="G423" s="7" t="s">
        <v>4586</v>
      </c>
      <c r="H423" s="12">
        <v>0.32</v>
      </c>
      <c r="I423" s="7" t="s">
        <v>2327</v>
      </c>
      <c r="J423" s="7" t="str" cm="1">
        <f t="array" ref="J42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23" s="7" t="s">
        <v>4768</v>
      </c>
    </row>
    <row r="424" spans="1:11">
      <c r="A424" s="7" t="s">
        <v>3169</v>
      </c>
      <c r="B424" s="11">
        <v>43965</v>
      </c>
      <c r="C424" s="7">
        <v>2020</v>
      </c>
      <c r="D424" s="7" t="s">
        <v>3170</v>
      </c>
      <c r="E424" s="7" t="s">
        <v>1403</v>
      </c>
      <c r="F424" s="7" t="s">
        <v>4598</v>
      </c>
      <c r="G424" s="7" t="s">
        <v>4580</v>
      </c>
      <c r="H424" s="12">
        <v>0.02</v>
      </c>
      <c r="I424" s="7" t="s">
        <v>2268</v>
      </c>
      <c r="J424" s="7" t="str" cm="1">
        <f t="array" ref="J42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24" s="7" t="s">
        <v>4768</v>
      </c>
    </row>
    <row r="425" spans="1:11">
      <c r="A425" s="7" t="s">
        <v>3171</v>
      </c>
      <c r="B425" s="11">
        <v>43965</v>
      </c>
      <c r="C425" s="7">
        <v>2020</v>
      </c>
      <c r="D425" s="7" t="s">
        <v>3172</v>
      </c>
      <c r="E425" s="7" t="s">
        <v>2250</v>
      </c>
      <c r="F425" s="7" t="s">
        <v>4598</v>
      </c>
      <c r="G425" s="7" t="s">
        <v>4581</v>
      </c>
      <c r="H425" s="12">
        <v>0.02</v>
      </c>
      <c r="I425" s="7" t="s">
        <v>2586</v>
      </c>
      <c r="J425" s="7" t="str" cm="1">
        <f t="array" ref="J42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25" s="7" t="s">
        <v>4768</v>
      </c>
    </row>
    <row r="426" spans="1:11">
      <c r="A426" s="7" t="s">
        <v>3173</v>
      </c>
      <c r="B426" s="11">
        <v>43983</v>
      </c>
      <c r="C426" s="7">
        <v>2020</v>
      </c>
      <c r="D426" s="7" t="s">
        <v>3174</v>
      </c>
      <c r="E426" s="7" t="s">
        <v>67</v>
      </c>
      <c r="F426" s="7" t="s">
        <v>4602</v>
      </c>
      <c r="G426" s="7" t="s">
        <v>4578</v>
      </c>
      <c r="H426" s="12">
        <v>1.91</v>
      </c>
      <c r="I426" s="7" t="s">
        <v>2501</v>
      </c>
      <c r="J426" s="7" t="str" cm="1">
        <f t="array" ref="J42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26" s="7" t="s">
        <v>4768</v>
      </c>
    </row>
    <row r="427" spans="1:11">
      <c r="A427" s="7" t="s">
        <v>3175</v>
      </c>
      <c r="B427" s="11">
        <v>43989</v>
      </c>
      <c r="C427" s="7">
        <v>2020</v>
      </c>
      <c r="D427" s="7" t="s">
        <v>3176</v>
      </c>
      <c r="E427" s="7" t="s">
        <v>31</v>
      </c>
      <c r="F427" s="7" t="s">
        <v>4599</v>
      </c>
      <c r="G427" s="7" t="s">
        <v>4580</v>
      </c>
      <c r="H427" s="12">
        <v>1.31</v>
      </c>
      <c r="I427" s="7" t="s">
        <v>2261</v>
      </c>
      <c r="J427" s="7" t="str" cm="1">
        <f t="array" ref="J42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27" s="7" t="s">
        <v>4768</v>
      </c>
    </row>
    <row r="428" spans="1:11">
      <c r="A428" s="7" t="s">
        <v>3177</v>
      </c>
      <c r="B428" s="11">
        <v>43991</v>
      </c>
      <c r="C428" s="7">
        <v>2020</v>
      </c>
      <c r="D428" s="7" t="s">
        <v>3178</v>
      </c>
      <c r="E428" s="7" t="s">
        <v>67</v>
      </c>
      <c r="F428" s="7" t="s">
        <v>4598</v>
      </c>
      <c r="G428" s="7" t="s">
        <v>4580</v>
      </c>
      <c r="H428" s="12">
        <v>0.26</v>
      </c>
      <c r="I428" s="7" t="s">
        <v>2268</v>
      </c>
      <c r="J428" s="7" t="str" cm="1">
        <f t="array" ref="J42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28" s="7" t="s">
        <v>4768</v>
      </c>
    </row>
    <row r="429" spans="1:11">
      <c r="A429" s="7" t="s">
        <v>3179</v>
      </c>
      <c r="B429" s="11">
        <v>43996</v>
      </c>
      <c r="C429" s="7">
        <v>2020</v>
      </c>
      <c r="D429" s="7" t="s">
        <v>3180</v>
      </c>
      <c r="E429" s="7" t="s">
        <v>1610</v>
      </c>
      <c r="F429" s="7" t="s">
        <v>4598</v>
      </c>
      <c r="G429" s="7" t="s">
        <v>4580</v>
      </c>
      <c r="H429" s="12">
        <v>0.38</v>
      </c>
      <c r="I429" s="7" t="s">
        <v>2268</v>
      </c>
      <c r="J429" s="7" t="str" cm="1">
        <f t="array" ref="J42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29" s="7" t="s">
        <v>4768</v>
      </c>
    </row>
    <row r="430" spans="1:11">
      <c r="A430" s="7" t="s">
        <v>3181</v>
      </c>
      <c r="B430" s="11">
        <v>43999</v>
      </c>
      <c r="C430" s="7">
        <v>2020</v>
      </c>
      <c r="D430" s="7" t="s">
        <v>3182</v>
      </c>
      <c r="E430" s="7" t="s">
        <v>215</v>
      </c>
      <c r="F430" s="7" t="s">
        <v>4598</v>
      </c>
      <c r="G430" s="7" t="s">
        <v>4582</v>
      </c>
      <c r="H430" s="12">
        <v>2.31</v>
      </c>
      <c r="I430" s="7" t="s">
        <v>2356</v>
      </c>
      <c r="J430" s="7" t="str" cm="1">
        <f t="array" ref="J43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30" s="7" t="s">
        <v>4768</v>
      </c>
    </row>
    <row r="431" spans="1:11">
      <c r="A431" s="7" t="s">
        <v>3183</v>
      </c>
      <c r="B431" s="11">
        <v>43999</v>
      </c>
      <c r="C431" s="7">
        <v>2020</v>
      </c>
      <c r="D431" s="7" t="s">
        <v>3184</v>
      </c>
      <c r="E431" s="7" t="s">
        <v>31</v>
      </c>
      <c r="F431" s="7" t="s">
        <v>4599</v>
      </c>
      <c r="G431" s="7" t="s">
        <v>4580</v>
      </c>
      <c r="H431" s="12">
        <v>0.1</v>
      </c>
      <c r="I431" s="7" t="s">
        <v>2261</v>
      </c>
      <c r="J431" s="7" t="str" cm="1">
        <f t="array" ref="J43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31" s="7" t="s">
        <v>4768</v>
      </c>
    </row>
    <row r="432" spans="1:11">
      <c r="A432" s="7" t="s">
        <v>3185</v>
      </c>
      <c r="B432" s="11">
        <v>44002</v>
      </c>
      <c r="C432" s="7">
        <v>2020</v>
      </c>
      <c r="D432" s="7" t="s">
        <v>3186</v>
      </c>
      <c r="E432" s="7" t="s">
        <v>2301</v>
      </c>
      <c r="F432" s="7" t="s">
        <v>4601</v>
      </c>
      <c r="G432" s="7" t="s">
        <v>4578</v>
      </c>
      <c r="H432" s="12">
        <v>0.03</v>
      </c>
      <c r="I432" s="7" t="s">
        <v>2302</v>
      </c>
      <c r="J432" s="7" t="str" cm="1">
        <f t="array" ref="J43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32" s="7" t="s">
        <v>4768</v>
      </c>
    </row>
    <row r="433" spans="1:11">
      <c r="A433" s="7" t="s">
        <v>3187</v>
      </c>
      <c r="B433" s="11">
        <v>44017</v>
      </c>
      <c r="C433" s="7">
        <v>2020</v>
      </c>
      <c r="D433" s="7" t="s">
        <v>3188</v>
      </c>
      <c r="E433" s="7" t="s">
        <v>1365</v>
      </c>
      <c r="F433" s="7" t="s">
        <v>4598</v>
      </c>
      <c r="G433" s="7" t="s">
        <v>4580</v>
      </c>
      <c r="H433" s="12">
        <v>0.78</v>
      </c>
      <c r="I433" s="7" t="s">
        <v>2268</v>
      </c>
      <c r="J433" s="7" t="str" cm="1">
        <f t="array" ref="J43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33" s="7" t="s">
        <v>4768</v>
      </c>
    </row>
    <row r="434" spans="1:11">
      <c r="A434" s="7" t="s">
        <v>3189</v>
      </c>
      <c r="B434" s="11">
        <v>44030</v>
      </c>
      <c r="C434" s="7">
        <v>2020</v>
      </c>
      <c r="D434" s="7" t="s">
        <v>3029</v>
      </c>
      <c r="E434" s="7" t="s">
        <v>17</v>
      </c>
      <c r="F434" s="7" t="s">
        <v>4598</v>
      </c>
      <c r="G434" s="7" t="s">
        <v>4587</v>
      </c>
      <c r="H434" s="12">
        <v>0.05</v>
      </c>
      <c r="I434" s="7" t="s">
        <v>2285</v>
      </c>
      <c r="J434" s="7" t="str" cm="1">
        <f t="array" ref="J43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34" s="7" t="s">
        <v>4768</v>
      </c>
    </row>
    <row r="435" spans="1:11">
      <c r="A435" s="7" t="s">
        <v>3190</v>
      </c>
      <c r="B435" s="11">
        <v>44032</v>
      </c>
      <c r="C435" s="7">
        <v>2020</v>
      </c>
      <c r="D435" s="7" t="s">
        <v>3191</v>
      </c>
      <c r="E435" s="7" t="s">
        <v>1403</v>
      </c>
      <c r="F435" s="7" t="s">
        <v>4598</v>
      </c>
      <c r="G435" s="7" t="s">
        <v>4585</v>
      </c>
      <c r="H435" s="12">
        <v>0.01</v>
      </c>
      <c r="I435" s="7" t="s">
        <v>2316</v>
      </c>
      <c r="J435" s="7" t="str" cm="1">
        <f t="array" ref="J43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35" s="7" t="s">
        <v>4768</v>
      </c>
    </row>
    <row r="436" spans="1:11">
      <c r="A436" s="7" t="s">
        <v>3192</v>
      </c>
      <c r="B436" s="11">
        <v>44049</v>
      </c>
      <c r="C436" s="7">
        <v>2020</v>
      </c>
      <c r="D436" s="7" t="s">
        <v>3193</v>
      </c>
      <c r="E436" s="7" t="s">
        <v>9</v>
      </c>
      <c r="F436" s="7" t="s">
        <v>4602</v>
      </c>
      <c r="G436" s="7" t="s">
        <v>4580</v>
      </c>
      <c r="H436" s="12">
        <v>0.04</v>
      </c>
      <c r="I436" s="7" t="s">
        <v>2510</v>
      </c>
      <c r="J436" s="7" t="str" cm="1">
        <f t="array" ref="J43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36" s="7" t="s">
        <v>4768</v>
      </c>
    </row>
    <row r="437" spans="1:11">
      <c r="A437" s="7" t="s">
        <v>3194</v>
      </c>
      <c r="B437" s="11">
        <v>44055</v>
      </c>
      <c r="C437" s="7">
        <v>2020</v>
      </c>
      <c r="D437" s="7" t="s">
        <v>3195</v>
      </c>
      <c r="E437" s="7" t="s">
        <v>1403</v>
      </c>
      <c r="F437" s="7" t="s">
        <v>4601</v>
      </c>
      <c r="G437" s="7" t="s">
        <v>4580</v>
      </c>
      <c r="H437" s="12">
        <v>3.62</v>
      </c>
      <c r="I437" s="7" t="s">
        <v>2472</v>
      </c>
      <c r="J437" s="7" t="str" cm="1">
        <f t="array" ref="J43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37" s="7" t="s">
        <v>4768</v>
      </c>
    </row>
    <row r="438" spans="1:11">
      <c r="A438" s="7" t="s">
        <v>3196</v>
      </c>
      <c r="B438" s="11">
        <v>44056</v>
      </c>
      <c r="C438" s="7">
        <v>2020</v>
      </c>
      <c r="D438" s="7" t="s">
        <v>3197</v>
      </c>
      <c r="E438" s="7" t="s">
        <v>9</v>
      </c>
      <c r="F438" s="7" t="s">
        <v>4598</v>
      </c>
      <c r="G438" s="7" t="s">
        <v>4580</v>
      </c>
      <c r="H438" s="12">
        <v>0.62</v>
      </c>
      <c r="I438" s="7" t="s">
        <v>2268</v>
      </c>
      <c r="J438" s="7" t="str" cm="1">
        <f t="array" ref="J43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38" s="7" t="s">
        <v>4768</v>
      </c>
    </row>
    <row r="439" spans="1:11">
      <c r="A439" s="7" t="s">
        <v>3198</v>
      </c>
      <c r="B439" s="11">
        <v>44056</v>
      </c>
      <c r="C439" s="7">
        <v>2020</v>
      </c>
      <c r="D439" s="7" t="s">
        <v>3199</v>
      </c>
      <c r="E439" s="7" t="s">
        <v>2324</v>
      </c>
      <c r="F439" s="7" t="s">
        <v>4598</v>
      </c>
      <c r="G439" s="7" t="s">
        <v>4581</v>
      </c>
      <c r="H439" s="12">
        <v>2.4700000000000002</v>
      </c>
      <c r="I439" s="7" t="s">
        <v>2586</v>
      </c>
      <c r="J439" s="7" t="str" cm="1">
        <f t="array" ref="J43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39" s="7" t="s">
        <v>4768</v>
      </c>
    </row>
    <row r="440" spans="1:11">
      <c r="A440" s="7" t="s">
        <v>3200</v>
      </c>
      <c r="B440" s="11">
        <v>44059</v>
      </c>
      <c r="C440" s="7">
        <v>2020</v>
      </c>
      <c r="D440" s="7" t="s">
        <v>3201</v>
      </c>
      <c r="E440" s="7" t="s">
        <v>42</v>
      </c>
      <c r="F440" s="7" t="s">
        <v>4601</v>
      </c>
      <c r="G440" s="7" t="s">
        <v>4580</v>
      </c>
      <c r="H440" s="12">
        <v>0.35</v>
      </c>
      <c r="I440" s="7" t="s">
        <v>2472</v>
      </c>
      <c r="J440" s="7" t="str" cm="1">
        <f t="array" ref="J44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0" s="7" t="s">
        <v>4768</v>
      </c>
    </row>
    <row r="441" spans="1:11">
      <c r="A441" s="7" t="s">
        <v>3202</v>
      </c>
      <c r="B441" s="11">
        <v>44062</v>
      </c>
      <c r="C441" s="7">
        <v>2020</v>
      </c>
      <c r="D441" s="7" t="s">
        <v>3203</v>
      </c>
      <c r="E441" s="7" t="s">
        <v>1403</v>
      </c>
      <c r="F441" s="7" t="s">
        <v>4598</v>
      </c>
      <c r="G441" s="7" t="s">
        <v>4580</v>
      </c>
      <c r="H441" s="12">
        <v>0.65</v>
      </c>
      <c r="I441" s="7" t="s">
        <v>2268</v>
      </c>
      <c r="J441" s="7" t="str" cm="1">
        <f t="array" ref="J44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1" s="7" t="s">
        <v>4768</v>
      </c>
    </row>
    <row r="442" spans="1:11">
      <c r="A442" s="7" t="s">
        <v>3204</v>
      </c>
      <c r="B442" s="11">
        <v>44063</v>
      </c>
      <c r="C442" s="7">
        <v>2020</v>
      </c>
      <c r="D442" s="7" t="s">
        <v>3205</v>
      </c>
      <c r="E442" s="7" t="s">
        <v>53</v>
      </c>
      <c r="F442" s="7" t="s">
        <v>4598</v>
      </c>
      <c r="G442" s="7" t="s">
        <v>4580</v>
      </c>
      <c r="H442" s="12">
        <v>0.65</v>
      </c>
      <c r="I442" s="7" t="s">
        <v>2268</v>
      </c>
      <c r="J442" s="7" t="str" cm="1">
        <f t="array" ref="J44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2" s="7" t="s">
        <v>4768</v>
      </c>
    </row>
    <row r="443" spans="1:11">
      <c r="A443" s="7" t="s">
        <v>3206</v>
      </c>
      <c r="B443" s="11">
        <v>44068</v>
      </c>
      <c r="C443" s="7">
        <v>2020</v>
      </c>
      <c r="D443" s="7" t="s">
        <v>3207</v>
      </c>
      <c r="E443" s="7" t="s">
        <v>2321</v>
      </c>
      <c r="F443" s="7" t="s">
        <v>4598</v>
      </c>
      <c r="G443" s="7" t="s">
        <v>4578</v>
      </c>
      <c r="H443" s="12">
        <v>0.05</v>
      </c>
      <c r="I443" s="7" t="s">
        <v>2251</v>
      </c>
      <c r="J443" s="7" t="str" cm="1">
        <f t="array" ref="J44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3" s="7" t="s">
        <v>4768</v>
      </c>
    </row>
    <row r="444" spans="1:11">
      <c r="A444" s="7" t="s">
        <v>3208</v>
      </c>
      <c r="B444" s="11">
        <v>44069</v>
      </c>
      <c r="C444" s="7">
        <v>2020</v>
      </c>
      <c r="D444" s="7" t="s">
        <v>3209</v>
      </c>
      <c r="E444" s="7" t="s">
        <v>125</v>
      </c>
      <c r="F444" s="7" t="s">
        <v>4598</v>
      </c>
      <c r="G444" s="7" t="s">
        <v>4579</v>
      </c>
      <c r="H444" s="12">
        <v>0.47</v>
      </c>
      <c r="I444" s="7" t="s">
        <v>2374</v>
      </c>
      <c r="J444" s="7" t="str" cm="1">
        <f t="array" ref="J44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4" s="7" t="s">
        <v>4768</v>
      </c>
    </row>
    <row r="445" spans="1:11">
      <c r="A445" s="7" t="s">
        <v>3210</v>
      </c>
      <c r="B445" s="11">
        <v>44080</v>
      </c>
      <c r="C445" s="7">
        <v>2020</v>
      </c>
      <c r="D445" s="7" t="s">
        <v>3211</v>
      </c>
      <c r="E445" s="7" t="s">
        <v>1610</v>
      </c>
      <c r="F445" s="7" t="s">
        <v>4598</v>
      </c>
      <c r="G445" s="7" t="s">
        <v>4580</v>
      </c>
      <c r="H445" s="12">
        <v>0.04</v>
      </c>
      <c r="I445" s="7" t="s">
        <v>2268</v>
      </c>
      <c r="J445" s="7" t="str" cm="1">
        <f t="array" ref="J44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5" s="7" t="s">
        <v>4768</v>
      </c>
    </row>
    <row r="446" spans="1:11">
      <c r="A446" s="7" t="s">
        <v>3212</v>
      </c>
      <c r="B446" s="11">
        <v>44083</v>
      </c>
      <c r="C446" s="7">
        <v>2020</v>
      </c>
      <c r="D446" s="7" t="s">
        <v>3213</v>
      </c>
      <c r="E446" s="7" t="s">
        <v>67</v>
      </c>
      <c r="F446" s="7" t="s">
        <v>4598</v>
      </c>
      <c r="G446" s="7" t="s">
        <v>4582</v>
      </c>
      <c r="H446" s="12">
        <v>0.13</v>
      </c>
      <c r="I446" s="7" t="s">
        <v>2356</v>
      </c>
      <c r="J446" s="7" t="str" cm="1">
        <f t="array" ref="J44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6" s="7" t="s">
        <v>4768</v>
      </c>
    </row>
    <row r="447" spans="1:11">
      <c r="A447" s="7" t="s">
        <v>3214</v>
      </c>
      <c r="B447" s="11">
        <v>44105</v>
      </c>
      <c r="C447" s="7">
        <v>2020</v>
      </c>
      <c r="D447" s="7" t="s">
        <v>3215</v>
      </c>
      <c r="E447" s="7" t="s">
        <v>2275</v>
      </c>
      <c r="F447" s="7" t="s">
        <v>4598</v>
      </c>
      <c r="G447" s="7" t="s">
        <v>4581</v>
      </c>
      <c r="H447" s="12">
        <v>0.51</v>
      </c>
      <c r="I447" s="7" t="s">
        <v>2586</v>
      </c>
      <c r="J447" s="7" t="str" cm="1">
        <f t="array" ref="J44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7" s="7" t="s">
        <v>4768</v>
      </c>
    </row>
    <row r="448" spans="1:11">
      <c r="A448" s="7" t="s">
        <v>3216</v>
      </c>
      <c r="B448" s="11">
        <v>44120</v>
      </c>
      <c r="C448" s="7">
        <v>2020</v>
      </c>
      <c r="D448" s="7" t="s">
        <v>3217</v>
      </c>
      <c r="E448" s="7" t="s">
        <v>215</v>
      </c>
      <c r="F448" s="7" t="s">
        <v>4598</v>
      </c>
      <c r="G448" s="7" t="s">
        <v>4578</v>
      </c>
      <c r="H448" s="12">
        <v>0.01</v>
      </c>
      <c r="I448" s="7" t="s">
        <v>2251</v>
      </c>
      <c r="J448" s="7" t="str" cm="1">
        <f t="array" ref="J44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48" s="7" t="s">
        <v>4768</v>
      </c>
    </row>
    <row r="449" spans="1:11">
      <c r="A449" s="7" t="s">
        <v>3218</v>
      </c>
      <c r="B449" s="11">
        <v>44126</v>
      </c>
      <c r="C449" s="7">
        <v>2020</v>
      </c>
      <c r="D449" s="7" t="s">
        <v>3219</v>
      </c>
      <c r="E449" s="7" t="s">
        <v>130</v>
      </c>
      <c r="F449" s="7" t="s">
        <v>4598</v>
      </c>
      <c r="G449" s="7" t="s">
        <v>4581</v>
      </c>
      <c r="H449" s="12">
        <v>5.6</v>
      </c>
      <c r="I449" s="7" t="s">
        <v>3220</v>
      </c>
      <c r="J449" s="7" t="str" cm="1">
        <f t="array" ref="J449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449" s="7" t="s">
        <v>4743</v>
      </c>
    </row>
    <row r="450" spans="1:11">
      <c r="A450" s="7" t="s">
        <v>3221</v>
      </c>
      <c r="B450" s="11">
        <v>44126</v>
      </c>
      <c r="C450" s="7">
        <v>2020</v>
      </c>
      <c r="D450" s="7" t="s">
        <v>3222</v>
      </c>
      <c r="E450" s="7" t="s">
        <v>2440</v>
      </c>
      <c r="F450" s="7" t="s">
        <v>4599</v>
      </c>
      <c r="G450" s="7" t="s">
        <v>4580</v>
      </c>
      <c r="H450" s="12">
        <v>0.16</v>
      </c>
      <c r="I450" s="7" t="s">
        <v>2261</v>
      </c>
      <c r="J450" s="7" t="str" cm="1">
        <f t="array" ref="J45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50" s="7" t="s">
        <v>4768</v>
      </c>
    </row>
    <row r="451" spans="1:11">
      <c r="A451" s="7" t="s">
        <v>3223</v>
      </c>
      <c r="B451" s="11">
        <v>44145</v>
      </c>
      <c r="C451" s="7">
        <v>2020</v>
      </c>
      <c r="D451" s="7" t="s">
        <v>3224</v>
      </c>
      <c r="E451" s="7" t="s">
        <v>1608</v>
      </c>
      <c r="F451" s="7" t="s">
        <v>4598</v>
      </c>
      <c r="G451" s="7" t="s">
        <v>4585</v>
      </c>
      <c r="H451" s="12">
        <v>0.2</v>
      </c>
      <c r="I451" s="7" t="s">
        <v>2316</v>
      </c>
      <c r="J451" s="7" t="str" cm="1">
        <f t="array" ref="J45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51" s="7" t="s">
        <v>4768</v>
      </c>
    </row>
    <row r="452" spans="1:11">
      <c r="A452" s="7" t="s">
        <v>3225</v>
      </c>
      <c r="B452" s="11">
        <v>44159</v>
      </c>
      <c r="C452" s="7">
        <v>2020</v>
      </c>
      <c r="D452" s="7" t="s">
        <v>3226</v>
      </c>
      <c r="E452" s="7" t="s">
        <v>130</v>
      </c>
      <c r="F452" s="7" t="s">
        <v>4598</v>
      </c>
      <c r="G452" s="7" t="s">
        <v>4580</v>
      </c>
      <c r="H452" s="12">
        <v>0.01</v>
      </c>
      <c r="I452" s="7" t="s">
        <v>2268</v>
      </c>
      <c r="J452" s="7" t="str" cm="1">
        <f t="array" ref="J45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52" s="7" t="s">
        <v>4768</v>
      </c>
    </row>
    <row r="453" spans="1:11">
      <c r="A453" s="7" t="s">
        <v>3227</v>
      </c>
      <c r="B453" s="11">
        <v>44161</v>
      </c>
      <c r="C453" s="7">
        <v>2020</v>
      </c>
      <c r="D453" s="7" t="s">
        <v>3228</v>
      </c>
      <c r="E453" s="7" t="s">
        <v>2275</v>
      </c>
      <c r="F453" s="7" t="s">
        <v>4599</v>
      </c>
      <c r="G453" s="7" t="s">
        <v>4580</v>
      </c>
      <c r="H453" s="12">
        <v>0.14000000000000001</v>
      </c>
      <c r="I453" s="7" t="s">
        <v>2261</v>
      </c>
      <c r="J453" s="7" t="str" cm="1">
        <f t="array" ref="J45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53" s="7" t="s">
        <v>4768</v>
      </c>
    </row>
    <row r="454" spans="1:11">
      <c r="A454" s="7" t="s">
        <v>3229</v>
      </c>
      <c r="B454" s="11">
        <v>44176</v>
      </c>
      <c r="C454" s="7">
        <v>2020</v>
      </c>
      <c r="D454" s="7" t="s">
        <v>3230</v>
      </c>
      <c r="E454" s="7" t="s">
        <v>3231</v>
      </c>
      <c r="F454" s="7" t="s">
        <v>4602</v>
      </c>
      <c r="G454" s="7" t="s">
        <v>4581</v>
      </c>
      <c r="H454" s="12">
        <v>37</v>
      </c>
      <c r="I454" s="7" t="s">
        <v>3232</v>
      </c>
      <c r="J454" s="7" t="str" cm="1">
        <f t="array" ref="J454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454" s="7" t="s">
        <v>4743</v>
      </c>
    </row>
    <row r="455" spans="1:11">
      <c r="A455" s="7" t="s">
        <v>3233</v>
      </c>
      <c r="B455" s="11">
        <v>44180</v>
      </c>
      <c r="C455" s="7">
        <v>2020</v>
      </c>
      <c r="D455" s="7" t="s">
        <v>3234</v>
      </c>
      <c r="E455" s="7" t="s">
        <v>1676</v>
      </c>
      <c r="F455" s="7" t="s">
        <v>4598</v>
      </c>
      <c r="G455" s="7" t="s">
        <v>4581</v>
      </c>
      <c r="H455" s="12">
        <v>10.57</v>
      </c>
      <c r="I455" s="7" t="s">
        <v>2586</v>
      </c>
      <c r="J455" s="7" t="str" cm="1">
        <f t="array" ref="J455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455" s="7" t="s">
        <v>4768</v>
      </c>
    </row>
    <row r="456" spans="1:11">
      <c r="A456" s="7" t="s">
        <v>3235</v>
      </c>
      <c r="B456" s="11">
        <v>44181</v>
      </c>
      <c r="C456" s="7">
        <v>2020</v>
      </c>
      <c r="D456" s="7" t="s">
        <v>3236</v>
      </c>
      <c r="E456" s="7" t="s">
        <v>31</v>
      </c>
      <c r="F456" s="7" t="s">
        <v>4599</v>
      </c>
      <c r="G456" s="7" t="s">
        <v>4580</v>
      </c>
      <c r="H456" s="12">
        <v>0.37</v>
      </c>
      <c r="I456" s="7" t="s">
        <v>2261</v>
      </c>
      <c r="J456" s="7" t="str" cm="1">
        <f t="array" ref="J45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56" s="7" t="s">
        <v>4768</v>
      </c>
    </row>
    <row r="457" spans="1:11">
      <c r="A457" s="7" t="s">
        <v>3237</v>
      </c>
      <c r="B457" s="11">
        <v>44181</v>
      </c>
      <c r="C457" s="7">
        <v>2020</v>
      </c>
      <c r="D457" s="7" t="s">
        <v>3238</v>
      </c>
      <c r="E457" s="7" t="s">
        <v>2278</v>
      </c>
      <c r="F457" s="7" t="s">
        <v>4598</v>
      </c>
      <c r="G457" s="7" t="s">
        <v>4580</v>
      </c>
      <c r="H457" s="12">
        <v>0.08</v>
      </c>
      <c r="I457" s="7" t="s">
        <v>2268</v>
      </c>
      <c r="J457" s="7" t="str" cm="1">
        <f t="array" ref="J45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57" s="7" t="s">
        <v>4768</v>
      </c>
    </row>
    <row r="458" spans="1:11">
      <c r="A458" s="7" t="s">
        <v>3239</v>
      </c>
      <c r="B458" s="11">
        <v>44183</v>
      </c>
      <c r="C458" s="7">
        <v>2020</v>
      </c>
      <c r="D458" s="7" t="s">
        <v>3240</v>
      </c>
      <c r="E458" s="7" t="s">
        <v>1640</v>
      </c>
      <c r="F458" s="7" t="s">
        <v>4602</v>
      </c>
      <c r="G458" s="7" t="s">
        <v>4581</v>
      </c>
      <c r="H458" s="12">
        <v>18.5</v>
      </c>
      <c r="I458" s="7" t="s">
        <v>3241</v>
      </c>
      <c r="J458" s="7" t="str" cm="1">
        <f t="array" ref="J458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458" s="7" t="s">
        <v>4743</v>
      </c>
    </row>
    <row r="459" spans="1:11">
      <c r="A459" s="7" t="s">
        <v>3242</v>
      </c>
      <c r="B459" s="11">
        <v>44192</v>
      </c>
      <c r="C459" s="7">
        <v>2020</v>
      </c>
      <c r="D459" s="7" t="s">
        <v>3243</v>
      </c>
      <c r="E459" s="7" t="s">
        <v>2257</v>
      </c>
      <c r="F459" s="7" t="s">
        <v>4602</v>
      </c>
      <c r="G459" s="7" t="s">
        <v>4579</v>
      </c>
      <c r="H459" s="12">
        <v>0.83</v>
      </c>
      <c r="I459" s="7" t="s">
        <v>3023</v>
      </c>
      <c r="J459" s="7" t="str" cm="1">
        <f t="array" ref="J45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59" s="7" t="s">
        <v>4768</v>
      </c>
    </row>
    <row r="460" spans="1:11">
      <c r="A460" s="7" t="s">
        <v>3244</v>
      </c>
      <c r="B460" s="11">
        <v>44208</v>
      </c>
      <c r="C460" s="7">
        <v>2021</v>
      </c>
      <c r="D460" s="7" t="s">
        <v>3245</v>
      </c>
      <c r="E460" s="7" t="s">
        <v>42</v>
      </c>
      <c r="F460" s="7" t="s">
        <v>4598</v>
      </c>
      <c r="G460" s="7" t="s">
        <v>4580</v>
      </c>
      <c r="H460" s="12">
        <v>0.64</v>
      </c>
      <c r="I460" s="7" t="s">
        <v>2268</v>
      </c>
      <c r="J460" s="7" t="str" cm="1">
        <f t="array" ref="J46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0" s="7" t="s">
        <v>4768</v>
      </c>
    </row>
    <row r="461" spans="1:11">
      <c r="A461" s="7" t="s">
        <v>3246</v>
      </c>
      <c r="B461" s="11">
        <v>44209</v>
      </c>
      <c r="C461" s="7">
        <v>2021</v>
      </c>
      <c r="D461" s="7" t="s">
        <v>3247</v>
      </c>
      <c r="E461" s="7" t="s">
        <v>215</v>
      </c>
      <c r="F461" s="7" t="s">
        <v>4599</v>
      </c>
      <c r="G461" s="7" t="s">
        <v>4580</v>
      </c>
      <c r="H461" s="12">
        <v>0.83</v>
      </c>
      <c r="I461" s="7" t="s">
        <v>2261</v>
      </c>
      <c r="J461" s="7" t="str" cm="1">
        <f t="array" ref="J46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1" s="7" t="s">
        <v>4768</v>
      </c>
    </row>
    <row r="462" spans="1:11">
      <c r="A462" s="7" t="s">
        <v>3248</v>
      </c>
      <c r="B462" s="11">
        <v>44211</v>
      </c>
      <c r="C462" s="7">
        <v>2021</v>
      </c>
      <c r="D462" s="7" t="s">
        <v>3249</v>
      </c>
      <c r="E462" s="7" t="s">
        <v>2293</v>
      </c>
      <c r="F462" s="7" t="s">
        <v>4598</v>
      </c>
      <c r="G462" s="7" t="s">
        <v>4587</v>
      </c>
      <c r="H462" s="12">
        <v>2.67</v>
      </c>
      <c r="I462" s="7" t="s">
        <v>2285</v>
      </c>
      <c r="J462" s="7" t="str" cm="1">
        <f t="array" ref="J46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62" s="7" t="s">
        <v>4768</v>
      </c>
    </row>
    <row r="463" spans="1:11">
      <c r="A463" s="7" t="s">
        <v>3250</v>
      </c>
      <c r="B463" s="11">
        <v>44216</v>
      </c>
      <c r="C463" s="7">
        <v>2021</v>
      </c>
      <c r="D463" s="7" t="s">
        <v>3251</v>
      </c>
      <c r="E463" s="7" t="s">
        <v>1610</v>
      </c>
      <c r="F463" s="7" t="s">
        <v>4598</v>
      </c>
      <c r="G463" s="7" t="s">
        <v>4583</v>
      </c>
      <c r="H463" s="12">
        <v>0.13</v>
      </c>
      <c r="I463" s="7" t="s">
        <v>2363</v>
      </c>
      <c r="J463" s="7" t="str" cm="1">
        <f t="array" ref="J46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3" s="7" t="s">
        <v>4768</v>
      </c>
    </row>
    <row r="464" spans="1:11">
      <c r="A464" s="7" t="s">
        <v>3252</v>
      </c>
      <c r="B464" s="11">
        <v>44219</v>
      </c>
      <c r="C464" s="7">
        <v>2021</v>
      </c>
      <c r="D464" s="7" t="s">
        <v>3253</v>
      </c>
      <c r="E464" s="7" t="s">
        <v>53</v>
      </c>
      <c r="F464" s="7" t="s">
        <v>4598</v>
      </c>
      <c r="G464" s="7" t="s">
        <v>4580</v>
      </c>
      <c r="H464" s="12">
        <v>0.57999999999999996</v>
      </c>
      <c r="I464" s="7" t="s">
        <v>2268</v>
      </c>
      <c r="J464" s="7" t="str" cm="1">
        <f t="array" ref="J46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4" s="7" t="s">
        <v>4768</v>
      </c>
    </row>
    <row r="465" spans="1:11">
      <c r="A465" s="7" t="s">
        <v>3254</v>
      </c>
      <c r="B465" s="11">
        <v>44238</v>
      </c>
      <c r="C465" s="7">
        <v>2021</v>
      </c>
      <c r="D465" s="7" t="s">
        <v>3255</v>
      </c>
      <c r="E465" s="7" t="s">
        <v>1365</v>
      </c>
      <c r="F465" s="7" t="s">
        <v>4601</v>
      </c>
      <c r="G465" s="7" t="s">
        <v>4587</v>
      </c>
      <c r="H465" s="12">
        <v>0.03</v>
      </c>
      <c r="I465" s="7" t="s">
        <v>3256</v>
      </c>
      <c r="J465" s="7" t="str" cm="1">
        <f t="array" ref="J46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5" s="7" t="s">
        <v>4768</v>
      </c>
    </row>
    <row r="466" spans="1:11">
      <c r="A466" s="7" t="s">
        <v>3257</v>
      </c>
      <c r="B466" s="11">
        <v>44244</v>
      </c>
      <c r="C466" s="7">
        <v>2021</v>
      </c>
      <c r="D466" s="7" t="s">
        <v>3258</v>
      </c>
      <c r="E466" s="7" t="s">
        <v>1608</v>
      </c>
      <c r="F466" s="7" t="s">
        <v>4600</v>
      </c>
      <c r="G466" s="7" t="s">
        <v>4580</v>
      </c>
      <c r="H466" s="12">
        <v>0.06</v>
      </c>
      <c r="I466" s="7" t="s">
        <v>2525</v>
      </c>
      <c r="J466" s="7" t="str" cm="1">
        <f t="array" ref="J46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6" s="7" t="s">
        <v>4768</v>
      </c>
    </row>
    <row r="467" spans="1:11">
      <c r="A467" s="7" t="s">
        <v>3259</v>
      </c>
      <c r="B467" s="11">
        <v>44249</v>
      </c>
      <c r="C467" s="7">
        <v>2021</v>
      </c>
      <c r="D467" s="7" t="s">
        <v>3260</v>
      </c>
      <c r="E467" s="7" t="s">
        <v>2267</v>
      </c>
      <c r="F467" s="7" t="s">
        <v>4599</v>
      </c>
      <c r="G467" s="7" t="s">
        <v>4580</v>
      </c>
      <c r="H467" s="12">
        <v>0.39</v>
      </c>
      <c r="I467" s="7" t="s">
        <v>2261</v>
      </c>
      <c r="J467" s="7" t="str" cm="1">
        <f t="array" ref="J46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7" s="7" t="s">
        <v>4768</v>
      </c>
    </row>
    <row r="468" spans="1:11">
      <c r="A468" s="7" t="s">
        <v>3261</v>
      </c>
      <c r="B468" s="11">
        <v>44268</v>
      </c>
      <c r="C468" s="7">
        <v>2021</v>
      </c>
      <c r="D468" s="7" t="s">
        <v>2474</v>
      </c>
      <c r="E468" s="7" t="s">
        <v>2632</v>
      </c>
      <c r="F468" s="7" t="s">
        <v>4598</v>
      </c>
      <c r="G468" s="7" t="s">
        <v>4585</v>
      </c>
      <c r="H468" s="12">
        <v>0.59</v>
      </c>
      <c r="I468" s="7" t="s">
        <v>2316</v>
      </c>
      <c r="J468" s="7" t="str" cm="1">
        <f t="array" ref="J46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8" s="7" t="s">
        <v>4768</v>
      </c>
    </row>
    <row r="469" spans="1:11">
      <c r="A469" s="7" t="s">
        <v>3262</v>
      </c>
      <c r="B469" s="11">
        <v>44274</v>
      </c>
      <c r="C469" s="7">
        <v>2021</v>
      </c>
      <c r="D469" s="7" t="s">
        <v>3263</v>
      </c>
      <c r="E469" s="7" t="s">
        <v>2293</v>
      </c>
      <c r="F469" s="7" t="s">
        <v>4598</v>
      </c>
      <c r="G469" s="7" t="s">
        <v>4585</v>
      </c>
      <c r="H469" s="12">
        <v>0.56999999999999995</v>
      </c>
      <c r="I469" s="7" t="s">
        <v>2316</v>
      </c>
      <c r="J469" s="7" t="str" cm="1">
        <f t="array" ref="J46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69" s="7" t="s">
        <v>4768</v>
      </c>
    </row>
    <row r="470" spans="1:11">
      <c r="A470" s="7" t="s">
        <v>3264</v>
      </c>
      <c r="B470" s="11">
        <v>44287</v>
      </c>
      <c r="C470" s="7">
        <v>2021</v>
      </c>
      <c r="D470" s="7" t="s">
        <v>3265</v>
      </c>
      <c r="E470" s="7" t="s">
        <v>38</v>
      </c>
      <c r="F470" s="7" t="s">
        <v>4599</v>
      </c>
      <c r="G470" s="7" t="s">
        <v>4580</v>
      </c>
      <c r="H470" s="12">
        <v>0.08</v>
      </c>
      <c r="I470" s="7" t="s">
        <v>2261</v>
      </c>
      <c r="J470" s="7" t="str" cm="1">
        <f t="array" ref="J47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0" s="7" t="s">
        <v>4768</v>
      </c>
    </row>
    <row r="471" spans="1:11">
      <c r="A471" s="7" t="s">
        <v>3266</v>
      </c>
      <c r="B471" s="11">
        <v>44296</v>
      </c>
      <c r="C471" s="7">
        <v>2021</v>
      </c>
      <c r="D471" s="7" t="s">
        <v>3267</v>
      </c>
      <c r="E471" s="7" t="s">
        <v>125</v>
      </c>
      <c r="F471" s="7" t="s">
        <v>4598</v>
      </c>
      <c r="G471" s="7" t="s">
        <v>4580</v>
      </c>
      <c r="H471" s="12">
        <v>0.12</v>
      </c>
      <c r="I471" s="7" t="s">
        <v>2268</v>
      </c>
      <c r="J471" s="7" t="str" cm="1">
        <f t="array" ref="J47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1" s="7" t="s">
        <v>4768</v>
      </c>
    </row>
    <row r="472" spans="1:11">
      <c r="A472" s="7" t="s">
        <v>3268</v>
      </c>
      <c r="B472" s="11">
        <v>44297</v>
      </c>
      <c r="C472" s="7">
        <v>2021</v>
      </c>
      <c r="D472" s="7" t="s">
        <v>3269</v>
      </c>
      <c r="E472" s="7" t="s">
        <v>304</v>
      </c>
      <c r="F472" s="7" t="s">
        <v>4598</v>
      </c>
      <c r="G472" s="7" t="s">
        <v>4581</v>
      </c>
      <c r="H472" s="12">
        <v>0.17</v>
      </c>
      <c r="I472" s="7" t="s">
        <v>2586</v>
      </c>
      <c r="J472" s="7" t="str" cm="1">
        <f t="array" ref="J47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2" s="7" t="s">
        <v>4768</v>
      </c>
    </row>
    <row r="473" spans="1:11">
      <c r="A473" s="7" t="s">
        <v>3270</v>
      </c>
      <c r="B473" s="11">
        <v>44301</v>
      </c>
      <c r="C473" s="7">
        <v>2021</v>
      </c>
      <c r="D473" s="7" t="s">
        <v>3271</v>
      </c>
      <c r="E473" s="7" t="s">
        <v>42</v>
      </c>
      <c r="F473" s="7" t="s">
        <v>4598</v>
      </c>
      <c r="G473" s="7" t="s">
        <v>4585</v>
      </c>
      <c r="H473" s="12">
        <v>0.14000000000000001</v>
      </c>
      <c r="I473" s="7" t="s">
        <v>2316</v>
      </c>
      <c r="J473" s="7" t="str" cm="1">
        <f t="array" ref="J47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3" s="7" t="s">
        <v>4768</v>
      </c>
    </row>
    <row r="474" spans="1:11">
      <c r="A474" s="7" t="s">
        <v>3272</v>
      </c>
      <c r="B474" s="11">
        <v>44305</v>
      </c>
      <c r="C474" s="7">
        <v>2021</v>
      </c>
      <c r="D474" s="7" t="s">
        <v>3273</v>
      </c>
      <c r="E474" s="7" t="s">
        <v>42</v>
      </c>
      <c r="F474" s="7" t="s">
        <v>4598</v>
      </c>
      <c r="G474" s="7" t="s">
        <v>4580</v>
      </c>
      <c r="H474" s="12">
        <v>0.15</v>
      </c>
      <c r="I474" s="7" t="s">
        <v>2268</v>
      </c>
      <c r="J474" s="7" t="str" cm="1">
        <f t="array" ref="J47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4" s="7" t="s">
        <v>4768</v>
      </c>
    </row>
    <row r="475" spans="1:11">
      <c r="A475" s="7" t="s">
        <v>3274</v>
      </c>
      <c r="B475" s="11">
        <v>44317</v>
      </c>
      <c r="C475" s="7">
        <v>2021</v>
      </c>
      <c r="D475" s="7" t="s">
        <v>3275</v>
      </c>
      <c r="E475" s="7" t="s">
        <v>2324</v>
      </c>
      <c r="F475" s="7" t="s">
        <v>4602</v>
      </c>
      <c r="G475" s="7" t="s">
        <v>4578</v>
      </c>
      <c r="H475" s="12">
        <v>0.17</v>
      </c>
      <c r="I475" s="7" t="s">
        <v>2501</v>
      </c>
      <c r="J475" s="7" t="str" cm="1">
        <f t="array" ref="J47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5" s="7" t="s">
        <v>4768</v>
      </c>
    </row>
    <row r="476" spans="1:11">
      <c r="A476" s="7" t="s">
        <v>3276</v>
      </c>
      <c r="B476" s="11">
        <v>44336</v>
      </c>
      <c r="C476" s="7">
        <v>2021</v>
      </c>
      <c r="D476" s="7" t="s">
        <v>3277</v>
      </c>
      <c r="E476" s="7" t="s">
        <v>304</v>
      </c>
      <c r="F476" s="7" t="s">
        <v>4599</v>
      </c>
      <c r="G476" s="7" t="s">
        <v>4585</v>
      </c>
      <c r="H476" s="12">
        <v>0.62</v>
      </c>
      <c r="I476" s="7" t="s">
        <v>2333</v>
      </c>
      <c r="J476" s="7" t="str" cm="1">
        <f t="array" ref="J47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6" s="7" t="s">
        <v>4768</v>
      </c>
    </row>
    <row r="477" spans="1:11">
      <c r="A477" s="7" t="s">
        <v>3278</v>
      </c>
      <c r="B477" s="11">
        <v>44337</v>
      </c>
      <c r="C477" s="7">
        <v>2021</v>
      </c>
      <c r="D477" s="7" t="s">
        <v>3279</v>
      </c>
      <c r="E477" s="7" t="s">
        <v>1403</v>
      </c>
      <c r="F477" s="7" t="s">
        <v>4598</v>
      </c>
      <c r="G477" s="7" t="s">
        <v>4580</v>
      </c>
      <c r="H477" s="12">
        <v>0.15</v>
      </c>
      <c r="I477" s="7" t="s">
        <v>2268</v>
      </c>
      <c r="J477" s="7" t="str" cm="1">
        <f t="array" ref="J47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7" s="7" t="s">
        <v>4768</v>
      </c>
    </row>
    <row r="478" spans="1:11">
      <c r="A478" s="7" t="s">
        <v>3280</v>
      </c>
      <c r="B478" s="11">
        <v>44337</v>
      </c>
      <c r="C478" s="7">
        <v>2021</v>
      </c>
      <c r="D478" s="7" t="s">
        <v>3281</v>
      </c>
      <c r="E478" s="7" t="s">
        <v>2282</v>
      </c>
      <c r="F478" s="7" t="s">
        <v>4599</v>
      </c>
      <c r="G478" s="7" t="s">
        <v>4580</v>
      </c>
      <c r="H478" s="12">
        <v>0.04</v>
      </c>
      <c r="I478" s="7" t="s">
        <v>2261</v>
      </c>
      <c r="J478" s="7" t="str" cm="1">
        <f t="array" ref="J47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8" s="7" t="s">
        <v>4768</v>
      </c>
    </row>
    <row r="479" spans="1:11">
      <c r="A479" s="7" t="s">
        <v>3282</v>
      </c>
      <c r="B479" s="11">
        <v>44341</v>
      </c>
      <c r="C479" s="7">
        <v>2021</v>
      </c>
      <c r="D479" s="7" t="s">
        <v>3283</v>
      </c>
      <c r="E479" s="7" t="s">
        <v>1610</v>
      </c>
      <c r="F479" s="7" t="s">
        <v>4598</v>
      </c>
      <c r="G479" s="7" t="s">
        <v>4580</v>
      </c>
      <c r="H479" s="12">
        <v>0.47</v>
      </c>
      <c r="I479" s="7" t="s">
        <v>2268</v>
      </c>
      <c r="J479" s="7" t="str" cm="1">
        <f t="array" ref="J47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79" s="7" t="s">
        <v>4768</v>
      </c>
    </row>
    <row r="480" spans="1:11">
      <c r="A480" s="7" t="s">
        <v>3284</v>
      </c>
      <c r="B480" s="11">
        <v>44342</v>
      </c>
      <c r="C480" s="7">
        <v>2021</v>
      </c>
      <c r="D480" s="7" t="s">
        <v>3285</v>
      </c>
      <c r="E480" s="7" t="s">
        <v>67</v>
      </c>
      <c r="F480" s="7" t="s">
        <v>4602</v>
      </c>
      <c r="G480" s="7" t="s">
        <v>4579</v>
      </c>
      <c r="H480" s="12">
        <v>7.0000000000000007E-2</v>
      </c>
      <c r="I480" s="7" t="s">
        <v>3023</v>
      </c>
      <c r="J480" s="7" t="str" cm="1">
        <f t="array" ref="J48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80" s="7" t="s">
        <v>4768</v>
      </c>
    </row>
    <row r="481" spans="1:11">
      <c r="A481" s="7" t="s">
        <v>3286</v>
      </c>
      <c r="B481" s="11">
        <v>44351</v>
      </c>
      <c r="C481" s="7">
        <v>2021</v>
      </c>
      <c r="D481" s="7" t="s">
        <v>3287</v>
      </c>
      <c r="E481" s="7" t="s">
        <v>1610</v>
      </c>
      <c r="F481" s="7" t="s">
        <v>4599</v>
      </c>
      <c r="G481" s="7" t="s">
        <v>4579</v>
      </c>
      <c r="H481" s="12">
        <v>15</v>
      </c>
      <c r="I481" s="7" t="s">
        <v>3288</v>
      </c>
      <c r="J481" s="7" t="str" cm="1">
        <f t="array" ref="J481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481" s="7" t="s">
        <v>4743</v>
      </c>
    </row>
    <row r="482" spans="1:11">
      <c r="A482" s="7" t="s">
        <v>3289</v>
      </c>
      <c r="B482" s="11">
        <v>44353</v>
      </c>
      <c r="C482" s="7">
        <v>2021</v>
      </c>
      <c r="D482" s="7" t="s">
        <v>3290</v>
      </c>
      <c r="E482" s="7" t="s">
        <v>17</v>
      </c>
      <c r="F482" s="7" t="s">
        <v>4598</v>
      </c>
      <c r="G482" s="7" t="s">
        <v>4580</v>
      </c>
      <c r="H482" s="12">
        <v>2.93</v>
      </c>
      <c r="I482" s="7" t="s">
        <v>2268</v>
      </c>
      <c r="J482" s="7" t="str" cm="1">
        <f t="array" ref="J48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82" s="7" t="s">
        <v>4768</v>
      </c>
    </row>
    <row r="483" spans="1:11">
      <c r="A483" s="7" t="s">
        <v>3291</v>
      </c>
      <c r="B483" s="11">
        <v>44354</v>
      </c>
      <c r="C483" s="7">
        <v>2021</v>
      </c>
      <c r="D483" s="7" t="s">
        <v>3292</v>
      </c>
      <c r="E483" s="7" t="s">
        <v>2802</v>
      </c>
      <c r="F483" s="7" t="s">
        <v>4599</v>
      </c>
      <c r="G483" s="7" t="s">
        <v>4578</v>
      </c>
      <c r="H483" s="12">
        <v>0.05</v>
      </c>
      <c r="I483" s="7" t="s">
        <v>3293</v>
      </c>
      <c r="J483" s="7" t="str" cm="1">
        <f t="array" ref="J48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83" s="7" t="s">
        <v>4743</v>
      </c>
    </row>
    <row r="484" spans="1:11">
      <c r="A484" s="7" t="s">
        <v>3294</v>
      </c>
      <c r="B484" s="11">
        <v>44355</v>
      </c>
      <c r="C484" s="7">
        <v>2021</v>
      </c>
      <c r="D484" s="7" t="s">
        <v>3295</v>
      </c>
      <c r="E484" s="7" t="s">
        <v>38</v>
      </c>
      <c r="F484" s="7" t="s">
        <v>4599</v>
      </c>
      <c r="G484" s="7" t="s">
        <v>4581</v>
      </c>
      <c r="H484" s="12">
        <v>0.35</v>
      </c>
      <c r="I484" s="7" t="s">
        <v>2553</v>
      </c>
      <c r="J484" s="7" t="str" cm="1">
        <f t="array" ref="J48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84" s="7" t="s">
        <v>4768</v>
      </c>
    </row>
    <row r="485" spans="1:11">
      <c r="A485" s="7" t="s">
        <v>3296</v>
      </c>
      <c r="B485" s="11">
        <v>44372</v>
      </c>
      <c r="C485" s="7">
        <v>2021</v>
      </c>
      <c r="D485" s="7" t="s">
        <v>3297</v>
      </c>
      <c r="E485" s="7" t="s">
        <v>125</v>
      </c>
      <c r="F485" s="7" t="s">
        <v>4598</v>
      </c>
      <c r="G485" s="7" t="s">
        <v>4587</v>
      </c>
      <c r="H485" s="12">
        <v>0.03</v>
      </c>
      <c r="I485" s="7" t="s">
        <v>2285</v>
      </c>
      <c r="J485" s="7" t="str" cm="1">
        <f t="array" ref="J48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85" s="7" t="s">
        <v>4768</v>
      </c>
    </row>
    <row r="486" spans="1:11">
      <c r="A486" s="7" t="s">
        <v>3298</v>
      </c>
      <c r="B486" s="11">
        <v>44399</v>
      </c>
      <c r="C486" s="7">
        <v>2021</v>
      </c>
      <c r="D486" s="7" t="s">
        <v>3299</v>
      </c>
      <c r="E486" s="7" t="s">
        <v>2254</v>
      </c>
      <c r="F486" s="7" t="s">
        <v>4598</v>
      </c>
      <c r="G486" s="7" t="s">
        <v>4586</v>
      </c>
      <c r="H486" s="12">
        <v>0.64</v>
      </c>
      <c r="I486" s="7" t="s">
        <v>2298</v>
      </c>
      <c r="J486" s="7" t="str" cm="1">
        <f t="array" ref="J48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86" s="7" t="s">
        <v>4768</v>
      </c>
    </row>
    <row r="487" spans="1:11">
      <c r="A487" s="7" t="s">
        <v>3300</v>
      </c>
      <c r="B487" s="11">
        <v>44399</v>
      </c>
      <c r="C487" s="7">
        <v>2021</v>
      </c>
      <c r="D487" s="7" t="s">
        <v>3301</v>
      </c>
      <c r="E487" s="7" t="s">
        <v>2278</v>
      </c>
      <c r="F487" s="7" t="s">
        <v>4599</v>
      </c>
      <c r="G487" s="7" t="s">
        <v>4586</v>
      </c>
      <c r="H487" s="12">
        <v>0.16</v>
      </c>
      <c r="I487" s="7" t="s">
        <v>2327</v>
      </c>
      <c r="J487" s="7" t="str" cm="1">
        <f t="array" ref="J48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87" s="7" t="s">
        <v>4768</v>
      </c>
    </row>
    <row r="488" spans="1:11">
      <c r="A488" s="7" t="s">
        <v>3302</v>
      </c>
      <c r="B488" s="11">
        <v>44399</v>
      </c>
      <c r="C488" s="7">
        <v>2021</v>
      </c>
      <c r="D488" s="7" t="s">
        <v>3303</v>
      </c>
      <c r="E488" s="7" t="s">
        <v>17</v>
      </c>
      <c r="F488" s="7" t="s">
        <v>4601</v>
      </c>
      <c r="G488" s="7" t="s">
        <v>4579</v>
      </c>
      <c r="H488" s="12">
        <v>0.03</v>
      </c>
      <c r="I488" s="7" t="s">
        <v>2570</v>
      </c>
      <c r="J488" s="7" t="str" cm="1">
        <f t="array" ref="J48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88" s="7" t="s">
        <v>4768</v>
      </c>
    </row>
    <row r="489" spans="1:11">
      <c r="A489" s="7" t="s">
        <v>3304</v>
      </c>
      <c r="B489" s="11">
        <v>44404</v>
      </c>
      <c r="C489" s="7">
        <v>2021</v>
      </c>
      <c r="D489" s="7" t="s">
        <v>3305</v>
      </c>
      <c r="E489" s="7" t="s">
        <v>1365</v>
      </c>
      <c r="F489" s="7" t="s">
        <v>4600</v>
      </c>
      <c r="G489" s="7" t="s">
        <v>4581</v>
      </c>
      <c r="H489" s="12">
        <v>0.05</v>
      </c>
      <c r="I489" s="7" t="s">
        <v>3152</v>
      </c>
      <c r="J489" s="7" t="str" cm="1">
        <f t="array" ref="J48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89" s="7" t="s">
        <v>4768</v>
      </c>
    </row>
    <row r="490" spans="1:11">
      <c r="A490" s="7" t="s">
        <v>3306</v>
      </c>
      <c r="B490" s="11">
        <v>44420</v>
      </c>
      <c r="C490" s="7">
        <v>2021</v>
      </c>
      <c r="D490" s="7" t="s">
        <v>3307</v>
      </c>
      <c r="E490" s="7" t="s">
        <v>67</v>
      </c>
      <c r="F490" s="7" t="s">
        <v>4598</v>
      </c>
      <c r="G490" s="7" t="s">
        <v>4580</v>
      </c>
      <c r="H490" s="12">
        <v>0.02</v>
      </c>
      <c r="I490" s="7" t="s">
        <v>2268</v>
      </c>
      <c r="J490" s="7" t="str" cm="1">
        <f t="array" ref="J49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90" s="7" t="s">
        <v>4768</v>
      </c>
    </row>
    <row r="491" spans="1:11">
      <c r="A491" s="7" t="s">
        <v>3308</v>
      </c>
      <c r="B491" s="11">
        <v>44429</v>
      </c>
      <c r="C491" s="7">
        <v>2021</v>
      </c>
      <c r="D491" s="7" t="s">
        <v>2482</v>
      </c>
      <c r="E491" s="7" t="s">
        <v>2267</v>
      </c>
      <c r="F491" s="7" t="s">
        <v>4598</v>
      </c>
      <c r="G491" s="7" t="s">
        <v>4580</v>
      </c>
      <c r="H491" s="12">
        <v>0.1</v>
      </c>
      <c r="I491" s="7" t="s">
        <v>2268</v>
      </c>
      <c r="J491" s="7" t="str" cm="1">
        <f t="array" ref="J49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91" s="7" t="s">
        <v>4768</v>
      </c>
    </row>
    <row r="492" spans="1:11">
      <c r="A492" s="7" t="s">
        <v>3309</v>
      </c>
      <c r="B492" s="11">
        <v>44430</v>
      </c>
      <c r="C492" s="7">
        <v>2021</v>
      </c>
      <c r="D492" s="7" t="s">
        <v>3310</v>
      </c>
      <c r="E492" s="7" t="s">
        <v>53</v>
      </c>
      <c r="F492" s="7" t="s">
        <v>4598</v>
      </c>
      <c r="G492" s="7" t="s">
        <v>4587</v>
      </c>
      <c r="H492" s="12">
        <v>0.18</v>
      </c>
      <c r="I492" s="7" t="s">
        <v>2285</v>
      </c>
      <c r="J492" s="7" t="str" cm="1">
        <f t="array" ref="J49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92" s="7" t="s">
        <v>4768</v>
      </c>
    </row>
    <row r="493" spans="1:11">
      <c r="A493" s="7" t="s">
        <v>3311</v>
      </c>
      <c r="B493" s="11">
        <v>44434</v>
      </c>
      <c r="C493" s="7">
        <v>2021</v>
      </c>
      <c r="D493" s="7" t="s">
        <v>3312</v>
      </c>
      <c r="E493" s="7" t="s">
        <v>2264</v>
      </c>
      <c r="F493" s="7" t="s">
        <v>4598</v>
      </c>
      <c r="G493" s="7" t="s">
        <v>4580</v>
      </c>
      <c r="H493" s="12">
        <v>0.32</v>
      </c>
      <c r="I493" s="7" t="s">
        <v>2268</v>
      </c>
      <c r="J493" s="7" t="str" cm="1">
        <f t="array" ref="J49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93" s="7" t="s">
        <v>4768</v>
      </c>
    </row>
    <row r="494" spans="1:11">
      <c r="A494" s="7" t="s">
        <v>3313</v>
      </c>
      <c r="B494" s="11">
        <v>44444</v>
      </c>
      <c r="C494" s="7">
        <v>2021</v>
      </c>
      <c r="D494" s="7" t="s">
        <v>3314</v>
      </c>
      <c r="E494" s="7" t="s">
        <v>2632</v>
      </c>
      <c r="F494" s="7" t="s">
        <v>4598</v>
      </c>
      <c r="G494" s="7" t="s">
        <v>4580</v>
      </c>
      <c r="H494" s="12">
        <v>2.2200000000000002</v>
      </c>
      <c r="I494" s="7" t="s">
        <v>2268</v>
      </c>
      <c r="J494" s="7" t="str" cm="1">
        <f t="array" ref="J49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94" s="7" t="s">
        <v>4768</v>
      </c>
    </row>
    <row r="495" spans="1:11">
      <c r="A495" s="7" t="s">
        <v>3315</v>
      </c>
      <c r="B495" s="11">
        <v>44456</v>
      </c>
      <c r="C495" s="7">
        <v>2021</v>
      </c>
      <c r="D495" s="7" t="s">
        <v>3316</v>
      </c>
      <c r="E495" s="7" t="s">
        <v>130</v>
      </c>
      <c r="F495" s="7" t="s">
        <v>4599</v>
      </c>
      <c r="G495" s="7" t="s">
        <v>4580</v>
      </c>
      <c r="H495" s="12">
        <v>7.0000000000000007E-2</v>
      </c>
      <c r="I495" s="7" t="s">
        <v>2261</v>
      </c>
      <c r="J495" s="7" t="str" cm="1">
        <f t="array" ref="J49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95" s="7" t="s">
        <v>4768</v>
      </c>
    </row>
    <row r="496" spans="1:11">
      <c r="A496" s="7" t="s">
        <v>3317</v>
      </c>
      <c r="B496" s="11">
        <v>44457</v>
      </c>
      <c r="C496" s="7">
        <v>2021</v>
      </c>
      <c r="D496" s="7" t="s">
        <v>3318</v>
      </c>
      <c r="E496" s="7" t="s">
        <v>2632</v>
      </c>
      <c r="F496" s="7" t="s">
        <v>4600</v>
      </c>
      <c r="G496" s="7" t="s">
        <v>4580</v>
      </c>
      <c r="H496" s="12">
        <v>1.3</v>
      </c>
      <c r="I496" s="7" t="s">
        <v>2525</v>
      </c>
      <c r="J496" s="7" t="str" cm="1">
        <f t="array" ref="J49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96" s="7" t="s">
        <v>4768</v>
      </c>
    </row>
    <row r="497" spans="1:11">
      <c r="A497" s="7" t="s">
        <v>3319</v>
      </c>
      <c r="B497" s="11">
        <v>44463</v>
      </c>
      <c r="C497" s="7">
        <v>2021</v>
      </c>
      <c r="D497" s="7" t="s">
        <v>3320</v>
      </c>
      <c r="E497" s="7" t="s">
        <v>2264</v>
      </c>
      <c r="F497" s="7" t="s">
        <v>4599</v>
      </c>
      <c r="G497" s="7" t="s">
        <v>4580</v>
      </c>
      <c r="H497" s="12">
        <v>0.55000000000000004</v>
      </c>
      <c r="I497" s="7" t="s">
        <v>2261</v>
      </c>
      <c r="J497" s="7" t="str" cm="1">
        <f t="array" ref="J49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97" s="7" t="s">
        <v>4768</v>
      </c>
    </row>
    <row r="498" spans="1:11">
      <c r="A498" s="7" t="s">
        <v>3321</v>
      </c>
      <c r="B498" s="11">
        <v>44470</v>
      </c>
      <c r="C498" s="7">
        <v>2021</v>
      </c>
      <c r="D498" s="7" t="s">
        <v>3322</v>
      </c>
      <c r="E498" s="7" t="s">
        <v>215</v>
      </c>
      <c r="F498" s="7" t="s">
        <v>4598</v>
      </c>
      <c r="G498" s="7" t="s">
        <v>4582</v>
      </c>
      <c r="H498" s="12">
        <v>0.08</v>
      </c>
      <c r="I498" s="7" t="s">
        <v>2356</v>
      </c>
      <c r="J498" s="7" t="str" cm="1">
        <f t="array" ref="J49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498" s="7" t="s">
        <v>4768</v>
      </c>
    </row>
    <row r="499" spans="1:11">
      <c r="A499" s="7" t="s">
        <v>3323</v>
      </c>
      <c r="B499" s="11">
        <v>44475</v>
      </c>
      <c r="C499" s="7">
        <v>2021</v>
      </c>
      <c r="D499" s="7" t="s">
        <v>3324</v>
      </c>
      <c r="E499" s="7" t="s">
        <v>2257</v>
      </c>
      <c r="F499" s="7" t="s">
        <v>4598</v>
      </c>
      <c r="G499" s="7" t="s">
        <v>4585</v>
      </c>
      <c r="H499" s="12">
        <v>1.1399999999999999</v>
      </c>
      <c r="I499" s="7" t="s">
        <v>2316</v>
      </c>
      <c r="J499" s="7" t="str" cm="1">
        <f t="array" ref="J49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499" s="7" t="s">
        <v>4768</v>
      </c>
    </row>
    <row r="500" spans="1:11">
      <c r="A500" s="7" t="s">
        <v>3325</v>
      </c>
      <c r="B500" s="11">
        <v>44478</v>
      </c>
      <c r="C500" s="7">
        <v>2021</v>
      </c>
      <c r="D500" s="7" t="s">
        <v>3326</v>
      </c>
      <c r="E500" s="7" t="s">
        <v>2440</v>
      </c>
      <c r="F500" s="7" t="s">
        <v>4598</v>
      </c>
      <c r="G500" s="7" t="s">
        <v>4580</v>
      </c>
      <c r="H500" s="12">
        <v>0.1</v>
      </c>
      <c r="I500" s="7" t="s">
        <v>2268</v>
      </c>
      <c r="J500" s="7" t="str" cm="1">
        <f t="array" ref="J50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0" s="7" t="s">
        <v>4768</v>
      </c>
    </row>
    <row r="501" spans="1:11">
      <c r="A501" s="7" t="s">
        <v>3327</v>
      </c>
      <c r="B501" s="11">
        <v>44482</v>
      </c>
      <c r="C501" s="7">
        <v>2021</v>
      </c>
      <c r="D501" s="7" t="s">
        <v>3328</v>
      </c>
      <c r="E501" s="7" t="s">
        <v>23</v>
      </c>
      <c r="F501" s="7" t="s">
        <v>4598</v>
      </c>
      <c r="G501" s="7" t="s">
        <v>4580</v>
      </c>
      <c r="H501" s="12">
        <v>0.01</v>
      </c>
      <c r="I501" s="7" t="s">
        <v>2268</v>
      </c>
      <c r="J501" s="7" t="str" cm="1">
        <f t="array" ref="J50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1" s="7" t="s">
        <v>4768</v>
      </c>
    </row>
    <row r="502" spans="1:11">
      <c r="A502" s="7" t="s">
        <v>3329</v>
      </c>
      <c r="B502" s="11">
        <v>44483</v>
      </c>
      <c r="C502" s="7">
        <v>2021</v>
      </c>
      <c r="D502" s="7" t="s">
        <v>3330</v>
      </c>
      <c r="E502" s="7" t="s">
        <v>31</v>
      </c>
      <c r="F502" s="7" t="s">
        <v>4598</v>
      </c>
      <c r="G502" s="7" t="s">
        <v>4587</v>
      </c>
      <c r="H502" s="12">
        <v>0.05</v>
      </c>
      <c r="I502" s="7" t="s">
        <v>2285</v>
      </c>
      <c r="J502" s="7" t="str" cm="1">
        <f t="array" ref="J50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2" s="7" t="s">
        <v>4768</v>
      </c>
    </row>
    <row r="503" spans="1:11">
      <c r="A503" s="7" t="s">
        <v>3331</v>
      </c>
      <c r="B503" s="11">
        <v>44485</v>
      </c>
      <c r="C503" s="7">
        <v>2021</v>
      </c>
      <c r="D503" s="7" t="s">
        <v>3332</v>
      </c>
      <c r="E503" s="7" t="s">
        <v>1676</v>
      </c>
      <c r="F503" s="7" t="s">
        <v>4598</v>
      </c>
      <c r="G503" s="7" t="s">
        <v>4580</v>
      </c>
      <c r="H503" s="12">
        <v>0.16</v>
      </c>
      <c r="I503" s="7" t="s">
        <v>2268</v>
      </c>
      <c r="J503" s="7" t="str" cm="1">
        <f t="array" ref="J50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3" s="7" t="s">
        <v>4768</v>
      </c>
    </row>
    <row r="504" spans="1:11">
      <c r="A504" s="7" t="s">
        <v>3333</v>
      </c>
      <c r="B504" s="11">
        <v>44491</v>
      </c>
      <c r="C504" s="7">
        <v>2021</v>
      </c>
      <c r="D504" s="7" t="s">
        <v>3058</v>
      </c>
      <c r="E504" s="7" t="s">
        <v>2267</v>
      </c>
      <c r="F504" s="7" t="s">
        <v>4598</v>
      </c>
      <c r="G504" s="7" t="s">
        <v>4587</v>
      </c>
      <c r="H504" s="12">
        <v>15</v>
      </c>
      <c r="I504" s="7" t="s">
        <v>2285</v>
      </c>
      <c r="J504" s="7" t="str" cm="1">
        <f t="array" ref="J504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504" s="7" t="s">
        <v>4768</v>
      </c>
    </row>
    <row r="505" spans="1:11">
      <c r="A505" s="7" t="s">
        <v>3334</v>
      </c>
      <c r="B505" s="11">
        <v>44492</v>
      </c>
      <c r="C505" s="7">
        <v>2021</v>
      </c>
      <c r="D505" s="7" t="s">
        <v>3335</v>
      </c>
      <c r="E505" s="7" t="s">
        <v>53</v>
      </c>
      <c r="F505" s="7" t="s">
        <v>4599</v>
      </c>
      <c r="G505" s="7" t="s">
        <v>4582</v>
      </c>
      <c r="H505" s="12">
        <v>0.21</v>
      </c>
      <c r="I505" s="7" t="s">
        <v>2288</v>
      </c>
      <c r="J505" s="7" t="str" cm="1">
        <f t="array" ref="J50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5" s="7" t="s">
        <v>4768</v>
      </c>
    </row>
    <row r="506" spans="1:11">
      <c r="A506" s="7" t="s">
        <v>3336</v>
      </c>
      <c r="B506" s="11">
        <v>44502</v>
      </c>
      <c r="C506" s="7">
        <v>2021</v>
      </c>
      <c r="D506" s="7" t="s">
        <v>3337</v>
      </c>
      <c r="E506" s="7" t="s">
        <v>2301</v>
      </c>
      <c r="F506" s="7" t="s">
        <v>4602</v>
      </c>
      <c r="G506" s="7" t="s">
        <v>4582</v>
      </c>
      <c r="H506" s="12">
        <v>0.26</v>
      </c>
      <c r="I506" s="7" t="s">
        <v>3090</v>
      </c>
      <c r="J506" s="7" t="str" cm="1">
        <f t="array" ref="J50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6" s="7" t="s">
        <v>4768</v>
      </c>
    </row>
    <row r="507" spans="1:11">
      <c r="A507" s="7" t="s">
        <v>3338</v>
      </c>
      <c r="B507" s="11">
        <v>44517</v>
      </c>
      <c r="C507" s="7">
        <v>2021</v>
      </c>
      <c r="D507" s="7" t="s">
        <v>3339</v>
      </c>
      <c r="E507" s="7" t="s">
        <v>130</v>
      </c>
      <c r="F507" s="7" t="s">
        <v>4598</v>
      </c>
      <c r="G507" s="7" t="s">
        <v>4580</v>
      </c>
      <c r="H507" s="12">
        <v>0.05</v>
      </c>
      <c r="I507" s="7" t="s">
        <v>2268</v>
      </c>
      <c r="J507" s="7" t="str" cm="1">
        <f t="array" ref="J50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7" s="7" t="s">
        <v>4768</v>
      </c>
    </row>
    <row r="508" spans="1:11">
      <c r="A508" s="7" t="s">
        <v>3340</v>
      </c>
      <c r="B508" s="11">
        <v>44521</v>
      </c>
      <c r="C508" s="7">
        <v>2021</v>
      </c>
      <c r="D508" s="7" t="s">
        <v>3341</v>
      </c>
      <c r="E508" s="7" t="s">
        <v>130</v>
      </c>
      <c r="F508" s="7" t="s">
        <v>4598</v>
      </c>
      <c r="G508" s="7" t="s">
        <v>4580</v>
      </c>
      <c r="H508" s="12">
        <v>0.05</v>
      </c>
      <c r="I508" s="7" t="s">
        <v>2268</v>
      </c>
      <c r="J508" s="7" t="str" cm="1">
        <f t="array" ref="J50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8" s="7" t="s">
        <v>4768</v>
      </c>
    </row>
    <row r="509" spans="1:11">
      <c r="A509" s="7" t="s">
        <v>3342</v>
      </c>
      <c r="B509" s="11">
        <v>44526</v>
      </c>
      <c r="C509" s="7">
        <v>2021</v>
      </c>
      <c r="D509" s="7" t="s">
        <v>3343</v>
      </c>
      <c r="E509" s="7" t="s">
        <v>31</v>
      </c>
      <c r="F509" s="7" t="s">
        <v>4601</v>
      </c>
      <c r="G509" s="7" t="s">
        <v>4581</v>
      </c>
      <c r="H509" s="12">
        <v>0.09</v>
      </c>
      <c r="I509" s="7" t="s">
        <v>2727</v>
      </c>
      <c r="J509" s="7" t="str" cm="1">
        <f t="array" ref="J50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09" s="7" t="s">
        <v>4768</v>
      </c>
    </row>
    <row r="510" spans="1:11">
      <c r="A510" s="7" t="s">
        <v>3344</v>
      </c>
      <c r="B510" s="11">
        <v>44543</v>
      </c>
      <c r="C510" s="7">
        <v>2021</v>
      </c>
      <c r="D510" s="7" t="s">
        <v>3345</v>
      </c>
      <c r="E510" s="7" t="s">
        <v>2250</v>
      </c>
      <c r="F510" s="7" t="s">
        <v>4598</v>
      </c>
      <c r="G510" s="7" t="s">
        <v>4582</v>
      </c>
      <c r="H510" s="12">
        <v>0.37</v>
      </c>
      <c r="I510" s="7" t="s">
        <v>2356</v>
      </c>
      <c r="J510" s="7" t="str" cm="1">
        <f t="array" ref="J51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10" s="7" t="s">
        <v>4768</v>
      </c>
    </row>
    <row r="511" spans="1:11">
      <c r="A511" s="7" t="s">
        <v>3346</v>
      </c>
      <c r="B511" s="11">
        <v>44546</v>
      </c>
      <c r="C511" s="7">
        <v>2021</v>
      </c>
      <c r="D511" s="7" t="s">
        <v>3347</v>
      </c>
      <c r="E511" s="7" t="s">
        <v>130</v>
      </c>
      <c r="F511" s="7" t="s">
        <v>4599</v>
      </c>
      <c r="G511" s="7" t="s">
        <v>4580</v>
      </c>
      <c r="H511" s="12">
        <v>0.89</v>
      </c>
      <c r="I511" s="7" t="s">
        <v>2261</v>
      </c>
      <c r="J511" s="7" t="str" cm="1">
        <f t="array" ref="J51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11" s="7" t="s">
        <v>4768</v>
      </c>
    </row>
    <row r="512" spans="1:11">
      <c r="A512" s="7" t="s">
        <v>3348</v>
      </c>
      <c r="B512" s="11">
        <v>44552</v>
      </c>
      <c r="C512" s="7">
        <v>2021</v>
      </c>
      <c r="D512" s="7" t="s">
        <v>3349</v>
      </c>
      <c r="E512" s="7" t="s">
        <v>9</v>
      </c>
      <c r="F512" s="7" t="s">
        <v>4598</v>
      </c>
      <c r="G512" s="7" t="s">
        <v>4581</v>
      </c>
      <c r="H512" s="12">
        <v>19</v>
      </c>
      <c r="I512" s="7" t="s">
        <v>3350</v>
      </c>
      <c r="J512" s="7" t="str" cm="1">
        <f t="array" ref="J512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512" s="7" t="s">
        <v>4743</v>
      </c>
    </row>
    <row r="513" spans="1:11">
      <c r="A513" s="7" t="s">
        <v>3351</v>
      </c>
      <c r="B513" s="11">
        <v>44579</v>
      </c>
      <c r="C513" s="7">
        <v>2022</v>
      </c>
      <c r="D513" s="7" t="s">
        <v>3352</v>
      </c>
      <c r="E513" s="7" t="s">
        <v>2257</v>
      </c>
      <c r="F513" s="7" t="s">
        <v>4598</v>
      </c>
      <c r="G513" s="7" t="s">
        <v>4580</v>
      </c>
      <c r="H513" s="12">
        <v>5.41</v>
      </c>
      <c r="I513" s="7" t="s">
        <v>2268</v>
      </c>
      <c r="J513" s="7" t="str" cm="1">
        <f t="array" ref="J513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513" s="7" t="s">
        <v>4768</v>
      </c>
    </row>
    <row r="514" spans="1:11">
      <c r="A514" s="7" t="s">
        <v>3353</v>
      </c>
      <c r="B514" s="11">
        <v>44580</v>
      </c>
      <c r="C514" s="7">
        <v>2022</v>
      </c>
      <c r="D514" s="7" t="s">
        <v>3354</v>
      </c>
      <c r="E514" s="7" t="s">
        <v>2301</v>
      </c>
      <c r="F514" s="7" t="s">
        <v>4598</v>
      </c>
      <c r="G514" s="7" t="s">
        <v>4578</v>
      </c>
      <c r="H514" s="12">
        <v>2.2000000000000002</v>
      </c>
      <c r="I514" s="7" t="s">
        <v>2251</v>
      </c>
      <c r="J514" s="7" t="str" cm="1">
        <f t="array" ref="J51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14" s="7" t="s">
        <v>4768</v>
      </c>
    </row>
    <row r="515" spans="1:11">
      <c r="A515" s="7" t="s">
        <v>3355</v>
      </c>
      <c r="B515" s="11">
        <v>44595</v>
      </c>
      <c r="C515" s="7">
        <v>2022</v>
      </c>
      <c r="D515" s="7" t="s">
        <v>3356</v>
      </c>
      <c r="E515" s="7" t="s">
        <v>215</v>
      </c>
      <c r="F515" s="7" t="s">
        <v>4602</v>
      </c>
      <c r="G515" s="7" t="s">
        <v>4581</v>
      </c>
      <c r="H515" s="12">
        <v>1.03</v>
      </c>
      <c r="I515" s="7" t="s">
        <v>2413</v>
      </c>
      <c r="J515" s="7" t="str" cm="1">
        <f t="array" ref="J515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15" s="7" t="s">
        <v>4768</v>
      </c>
    </row>
    <row r="516" spans="1:11">
      <c r="A516" s="7" t="s">
        <v>3357</v>
      </c>
      <c r="B516" s="11">
        <v>44627</v>
      </c>
      <c r="C516" s="7">
        <v>2022</v>
      </c>
      <c r="D516" s="7" t="s">
        <v>3358</v>
      </c>
      <c r="E516" s="7" t="s">
        <v>2301</v>
      </c>
      <c r="F516" s="7" t="s">
        <v>4598</v>
      </c>
      <c r="G516" s="7" t="s">
        <v>4585</v>
      </c>
      <c r="H516" s="12">
        <v>0.04</v>
      </c>
      <c r="I516" s="7" t="s">
        <v>2316</v>
      </c>
      <c r="J516" s="7" t="str" cm="1">
        <f t="array" ref="J51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16" s="7" t="s">
        <v>4768</v>
      </c>
    </row>
    <row r="517" spans="1:11">
      <c r="A517" s="7" t="s">
        <v>3359</v>
      </c>
      <c r="B517" s="11">
        <v>44653</v>
      </c>
      <c r="C517" s="7">
        <v>2022</v>
      </c>
      <c r="D517" s="7" t="s">
        <v>3360</v>
      </c>
      <c r="E517" s="7" t="s">
        <v>23</v>
      </c>
      <c r="F517" s="7" t="s">
        <v>4598</v>
      </c>
      <c r="G517" s="7" t="s">
        <v>4587</v>
      </c>
      <c r="H517" s="12">
        <v>7.53</v>
      </c>
      <c r="I517" s="7" t="s">
        <v>2285</v>
      </c>
      <c r="J517" s="7" t="str" cm="1">
        <f t="array" ref="J517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517" s="7" t="s">
        <v>4768</v>
      </c>
    </row>
    <row r="518" spans="1:11">
      <c r="A518" s="7" t="s">
        <v>3361</v>
      </c>
      <c r="B518" s="11">
        <v>44672</v>
      </c>
      <c r="C518" s="7">
        <v>2022</v>
      </c>
      <c r="D518" s="7" t="s">
        <v>3362</v>
      </c>
      <c r="E518" s="7" t="s">
        <v>304</v>
      </c>
      <c r="F518" s="7" t="s">
        <v>4598</v>
      </c>
      <c r="G518" s="7" t="s">
        <v>4580</v>
      </c>
      <c r="H518" s="12">
        <v>0.67</v>
      </c>
      <c r="I518" s="7" t="s">
        <v>2268</v>
      </c>
      <c r="J518" s="7" t="str" cm="1">
        <f t="array" ref="J51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18" s="7" t="s">
        <v>4768</v>
      </c>
    </row>
    <row r="519" spans="1:11">
      <c r="A519" s="7" t="s">
        <v>3363</v>
      </c>
      <c r="B519" s="11">
        <v>44674</v>
      </c>
      <c r="C519" s="7">
        <v>2022</v>
      </c>
      <c r="D519" s="7" t="s">
        <v>3364</v>
      </c>
      <c r="E519" s="7" t="s">
        <v>23</v>
      </c>
      <c r="F519" s="7" t="s">
        <v>4598</v>
      </c>
      <c r="G519" s="7" t="s">
        <v>4580</v>
      </c>
      <c r="H519" s="12">
        <v>1.45</v>
      </c>
      <c r="I519" s="7" t="s">
        <v>2268</v>
      </c>
      <c r="J519" s="7" t="str" cm="1">
        <f t="array" ref="J51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19" s="7" t="s">
        <v>4768</v>
      </c>
    </row>
    <row r="520" spans="1:11">
      <c r="A520" s="7" t="s">
        <v>3365</v>
      </c>
      <c r="B520" s="11">
        <v>44688</v>
      </c>
      <c r="C520" s="7">
        <v>2022</v>
      </c>
      <c r="D520" s="7" t="s">
        <v>3366</v>
      </c>
      <c r="E520" s="7" t="s">
        <v>146</v>
      </c>
      <c r="F520" s="7" t="s">
        <v>4598</v>
      </c>
      <c r="G520" s="7" t="s">
        <v>4580</v>
      </c>
      <c r="H520" s="12">
        <v>0.24</v>
      </c>
      <c r="I520" s="7" t="s">
        <v>2268</v>
      </c>
      <c r="J520" s="7" t="str" cm="1">
        <f t="array" ref="J52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20" s="7" t="s">
        <v>4768</v>
      </c>
    </row>
    <row r="521" spans="1:11">
      <c r="A521" s="7" t="s">
        <v>3367</v>
      </c>
      <c r="B521" s="11">
        <v>44694</v>
      </c>
      <c r="C521" s="7">
        <v>2022</v>
      </c>
      <c r="D521" s="7" t="s">
        <v>3368</v>
      </c>
      <c r="E521" s="7" t="s">
        <v>376</v>
      </c>
      <c r="F521" s="7" t="s">
        <v>4599</v>
      </c>
      <c r="G521" s="7" t="s">
        <v>4579</v>
      </c>
      <c r="H521" s="12">
        <v>18</v>
      </c>
      <c r="I521" s="7" t="s">
        <v>3369</v>
      </c>
      <c r="J521" s="7" t="str" cm="1">
        <f t="array" ref="J521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521" s="7" t="s">
        <v>4743</v>
      </c>
    </row>
    <row r="522" spans="1:11">
      <c r="A522" s="7" t="s">
        <v>3370</v>
      </c>
      <c r="B522" s="11">
        <v>44708</v>
      </c>
      <c r="C522" s="7">
        <v>2022</v>
      </c>
      <c r="D522" s="7" t="s">
        <v>3371</v>
      </c>
      <c r="E522" s="7" t="s">
        <v>31</v>
      </c>
      <c r="F522" s="7" t="s">
        <v>4598</v>
      </c>
      <c r="G522" s="7" t="s">
        <v>4578</v>
      </c>
      <c r="H522" s="12">
        <v>0.21</v>
      </c>
      <c r="I522" s="7" t="s">
        <v>2251</v>
      </c>
      <c r="J522" s="7" t="str" cm="1">
        <f t="array" ref="J52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22" s="7" t="s">
        <v>4768</v>
      </c>
    </row>
    <row r="523" spans="1:11">
      <c r="A523" s="7" t="s">
        <v>3372</v>
      </c>
      <c r="B523" s="11">
        <v>44713</v>
      </c>
      <c r="C523" s="7">
        <v>2022</v>
      </c>
      <c r="D523" s="7" t="s">
        <v>3373</v>
      </c>
      <c r="E523" s="7" t="s">
        <v>9</v>
      </c>
      <c r="F523" s="7" t="s">
        <v>4599</v>
      </c>
      <c r="G523" s="7" t="s">
        <v>4578</v>
      </c>
      <c r="H523" s="12">
        <v>0.1</v>
      </c>
      <c r="I523" s="7" t="s">
        <v>2420</v>
      </c>
      <c r="J523" s="7" t="str" cm="1">
        <f t="array" ref="J52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23" s="7" t="s">
        <v>4768</v>
      </c>
    </row>
    <row r="524" spans="1:11">
      <c r="A524" s="7" t="s">
        <v>3374</v>
      </c>
      <c r="B524" s="11">
        <v>44720</v>
      </c>
      <c r="C524" s="7">
        <v>2022</v>
      </c>
      <c r="D524" s="7" t="s">
        <v>3375</v>
      </c>
      <c r="E524" s="7" t="s">
        <v>42</v>
      </c>
      <c r="F524" s="7" t="s">
        <v>4599</v>
      </c>
      <c r="G524" s="7" t="s">
        <v>4580</v>
      </c>
      <c r="H524" s="12">
        <v>0.23</v>
      </c>
      <c r="I524" s="7" t="s">
        <v>2261</v>
      </c>
      <c r="J524" s="7" t="str" cm="1">
        <f t="array" ref="J52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24" s="7" t="s">
        <v>4768</v>
      </c>
    </row>
    <row r="525" spans="1:11">
      <c r="A525" s="7" t="s">
        <v>3376</v>
      </c>
      <c r="B525" s="11">
        <v>44739</v>
      </c>
      <c r="C525" s="7">
        <v>2022</v>
      </c>
      <c r="D525" s="7" t="s">
        <v>3364</v>
      </c>
      <c r="E525" s="7" t="s">
        <v>2264</v>
      </c>
      <c r="F525" s="7" t="s">
        <v>4599</v>
      </c>
      <c r="G525" s="7" t="s">
        <v>4578</v>
      </c>
      <c r="H525" s="12">
        <v>7.39</v>
      </c>
      <c r="I525" s="7" t="s">
        <v>2420</v>
      </c>
      <c r="J525" s="7" t="str" cm="1">
        <f t="array" ref="J525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525" s="7" t="s">
        <v>4768</v>
      </c>
    </row>
    <row r="526" spans="1:11">
      <c r="A526" s="7" t="s">
        <v>3377</v>
      </c>
      <c r="B526" s="11">
        <v>44743</v>
      </c>
      <c r="C526" s="7">
        <v>2022</v>
      </c>
      <c r="D526" s="7" t="s">
        <v>3378</v>
      </c>
      <c r="E526" s="7" t="s">
        <v>53</v>
      </c>
      <c r="F526" s="7" t="s">
        <v>4598</v>
      </c>
      <c r="G526" s="7" t="s">
        <v>4580</v>
      </c>
      <c r="H526" s="12">
        <v>0.23</v>
      </c>
      <c r="I526" s="7" t="s">
        <v>2268</v>
      </c>
      <c r="J526" s="7" t="str" cm="1">
        <f t="array" ref="J52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26" s="7" t="s">
        <v>4768</v>
      </c>
    </row>
    <row r="527" spans="1:11">
      <c r="A527" s="7" t="s">
        <v>3379</v>
      </c>
      <c r="B527" s="11">
        <v>44745</v>
      </c>
      <c r="C527" s="7">
        <v>2022</v>
      </c>
      <c r="D527" s="7" t="s">
        <v>3380</v>
      </c>
      <c r="E527" s="7" t="s">
        <v>38</v>
      </c>
      <c r="F527" s="7" t="s">
        <v>4598</v>
      </c>
      <c r="G527" s="7" t="s">
        <v>4578</v>
      </c>
      <c r="H527" s="12">
        <v>0.43</v>
      </c>
      <c r="I527" s="7" t="s">
        <v>2251</v>
      </c>
      <c r="J527" s="7" t="str" cm="1">
        <f t="array" ref="J52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27" s="7" t="s">
        <v>4768</v>
      </c>
    </row>
    <row r="528" spans="1:11">
      <c r="A528" s="7" t="s">
        <v>3381</v>
      </c>
      <c r="B528" s="11">
        <v>44748</v>
      </c>
      <c r="C528" s="7">
        <v>2022</v>
      </c>
      <c r="D528" s="7" t="s">
        <v>3382</v>
      </c>
      <c r="E528" s="7" t="s">
        <v>23</v>
      </c>
      <c r="F528" s="7" t="s">
        <v>4598</v>
      </c>
      <c r="G528" s="7" t="s">
        <v>4580</v>
      </c>
      <c r="H528" s="12">
        <v>0.03</v>
      </c>
      <c r="I528" s="7" t="s">
        <v>2268</v>
      </c>
      <c r="J528" s="7" t="str" cm="1">
        <f t="array" ref="J52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28" s="7" t="s">
        <v>4768</v>
      </c>
    </row>
    <row r="529" spans="1:11">
      <c r="A529" s="7" t="s">
        <v>3383</v>
      </c>
      <c r="B529" s="11">
        <v>44750</v>
      </c>
      <c r="C529" s="7">
        <v>2022</v>
      </c>
      <c r="D529" s="7" t="s">
        <v>3384</v>
      </c>
      <c r="E529" s="7" t="s">
        <v>215</v>
      </c>
      <c r="F529" s="7" t="s">
        <v>4598</v>
      </c>
      <c r="G529" s="7" t="s">
        <v>4581</v>
      </c>
      <c r="H529" s="12">
        <v>0.38</v>
      </c>
      <c r="I529" s="7" t="s">
        <v>2586</v>
      </c>
      <c r="J529" s="7" t="str" cm="1">
        <f t="array" ref="J52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29" s="7" t="s">
        <v>4768</v>
      </c>
    </row>
    <row r="530" spans="1:11">
      <c r="A530" s="7" t="s">
        <v>3385</v>
      </c>
      <c r="B530" s="11">
        <v>44751</v>
      </c>
      <c r="C530" s="7">
        <v>2022</v>
      </c>
      <c r="D530" s="7" t="s">
        <v>3386</v>
      </c>
      <c r="E530" s="7" t="s">
        <v>67</v>
      </c>
      <c r="F530" s="7" t="s">
        <v>4598</v>
      </c>
      <c r="G530" s="7" t="s">
        <v>4586</v>
      </c>
      <c r="H530" s="12">
        <v>0.38</v>
      </c>
      <c r="I530" s="7" t="s">
        <v>2298</v>
      </c>
      <c r="J530" s="7" t="str" cm="1">
        <f t="array" ref="J53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0" s="7" t="s">
        <v>4768</v>
      </c>
    </row>
    <row r="531" spans="1:11">
      <c r="A531" s="7" t="s">
        <v>3387</v>
      </c>
      <c r="B531" s="11">
        <v>44754</v>
      </c>
      <c r="C531" s="7">
        <v>2022</v>
      </c>
      <c r="D531" s="7" t="s">
        <v>3388</v>
      </c>
      <c r="E531" s="7" t="s">
        <v>2278</v>
      </c>
      <c r="F531" s="7" t="s">
        <v>4602</v>
      </c>
      <c r="G531" s="7" t="s">
        <v>4587</v>
      </c>
      <c r="H531" s="12">
        <v>0.02</v>
      </c>
      <c r="I531" s="7" t="s">
        <v>2307</v>
      </c>
      <c r="J531" s="7" t="str" cm="1">
        <f t="array" ref="J53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1" s="7" t="s">
        <v>4768</v>
      </c>
    </row>
    <row r="532" spans="1:11">
      <c r="A532" s="7" t="s">
        <v>3389</v>
      </c>
      <c r="B532" s="11">
        <v>44754</v>
      </c>
      <c r="C532" s="7">
        <v>2022</v>
      </c>
      <c r="D532" s="7" t="s">
        <v>3390</v>
      </c>
      <c r="E532" s="7" t="s">
        <v>1676</v>
      </c>
      <c r="F532" s="7" t="s">
        <v>4599</v>
      </c>
      <c r="G532" s="7" t="s">
        <v>4580</v>
      </c>
      <c r="H532" s="12">
        <v>7.0000000000000007E-2</v>
      </c>
      <c r="I532" s="7" t="s">
        <v>2261</v>
      </c>
      <c r="J532" s="7" t="str" cm="1">
        <f t="array" ref="J53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2" s="7" t="s">
        <v>4768</v>
      </c>
    </row>
    <row r="533" spans="1:11">
      <c r="A533" s="7" t="s">
        <v>3391</v>
      </c>
      <c r="B533" s="11">
        <v>44769</v>
      </c>
      <c r="C533" s="7">
        <v>2022</v>
      </c>
      <c r="D533" s="7" t="s">
        <v>3392</v>
      </c>
      <c r="E533" s="7" t="s">
        <v>146</v>
      </c>
      <c r="F533" s="7" t="s">
        <v>4599</v>
      </c>
      <c r="G533" s="7" t="s">
        <v>4581</v>
      </c>
      <c r="H533" s="12">
        <v>0.26</v>
      </c>
      <c r="I533" s="7" t="s">
        <v>2553</v>
      </c>
      <c r="J533" s="7" t="str" cm="1">
        <f t="array" ref="J53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3" s="7" t="s">
        <v>4768</v>
      </c>
    </row>
    <row r="534" spans="1:11">
      <c r="A534" s="7" t="s">
        <v>3393</v>
      </c>
      <c r="B534" s="11">
        <v>44777</v>
      </c>
      <c r="C534" s="7">
        <v>2022</v>
      </c>
      <c r="D534" s="7" t="s">
        <v>3394</v>
      </c>
      <c r="E534" s="7" t="s">
        <v>1610</v>
      </c>
      <c r="F534" s="7" t="s">
        <v>4598</v>
      </c>
      <c r="G534" s="7" t="s">
        <v>4580</v>
      </c>
      <c r="H534" s="12">
        <v>0.05</v>
      </c>
      <c r="I534" s="7" t="s">
        <v>2268</v>
      </c>
      <c r="J534" s="7" t="str" cm="1">
        <f t="array" ref="J53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4" s="7" t="s">
        <v>4768</v>
      </c>
    </row>
    <row r="535" spans="1:11">
      <c r="A535" s="7" t="s">
        <v>3395</v>
      </c>
      <c r="B535" s="11">
        <v>44787</v>
      </c>
      <c r="C535" s="7">
        <v>2022</v>
      </c>
      <c r="D535" s="7" t="s">
        <v>3396</v>
      </c>
      <c r="E535" s="7" t="s">
        <v>2267</v>
      </c>
      <c r="F535" s="7" t="s">
        <v>4600</v>
      </c>
      <c r="G535" s="7" t="s">
        <v>4580</v>
      </c>
      <c r="H535" s="12">
        <v>0.01</v>
      </c>
      <c r="I535" s="7" t="s">
        <v>2525</v>
      </c>
      <c r="J535" s="7" t="str" cm="1">
        <f t="array" ref="J53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5" s="7" t="s">
        <v>4768</v>
      </c>
    </row>
    <row r="536" spans="1:11">
      <c r="A536" s="7" t="s">
        <v>3397</v>
      </c>
      <c r="B536" s="11">
        <v>44807</v>
      </c>
      <c r="C536" s="7">
        <v>2022</v>
      </c>
      <c r="D536" s="7" t="s">
        <v>3398</v>
      </c>
      <c r="E536" s="7" t="s">
        <v>9</v>
      </c>
      <c r="F536" s="7" t="s">
        <v>4598</v>
      </c>
      <c r="G536" s="7" t="s">
        <v>4580</v>
      </c>
      <c r="H536" s="12">
        <v>0.03</v>
      </c>
      <c r="I536" s="7" t="s">
        <v>2268</v>
      </c>
      <c r="J536" s="7" t="str" cm="1">
        <f t="array" ref="J53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6" s="7" t="s">
        <v>4768</v>
      </c>
    </row>
    <row r="537" spans="1:11">
      <c r="A537" s="7" t="s">
        <v>3399</v>
      </c>
      <c r="B537" s="11">
        <v>44813</v>
      </c>
      <c r="C537" s="7">
        <v>2022</v>
      </c>
      <c r="D537" s="7" t="s">
        <v>3400</v>
      </c>
      <c r="E537" s="7" t="s">
        <v>215</v>
      </c>
      <c r="F537" s="7" t="s">
        <v>4598</v>
      </c>
      <c r="G537" s="7" t="s">
        <v>4587</v>
      </c>
      <c r="H537" s="12">
        <v>3.99</v>
      </c>
      <c r="I537" s="7" t="s">
        <v>2285</v>
      </c>
      <c r="J537" s="7" t="str" cm="1">
        <f t="array" ref="J53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37" s="7" t="s">
        <v>4768</v>
      </c>
    </row>
    <row r="538" spans="1:11">
      <c r="A538" s="7" t="s">
        <v>3401</v>
      </c>
      <c r="B538" s="11">
        <v>44823</v>
      </c>
      <c r="C538" s="7">
        <v>2022</v>
      </c>
      <c r="D538" s="7" t="s">
        <v>3402</v>
      </c>
      <c r="E538" s="7" t="s">
        <v>2250</v>
      </c>
      <c r="F538" s="7" t="s">
        <v>4598</v>
      </c>
      <c r="G538" s="7" t="s">
        <v>4579</v>
      </c>
      <c r="H538" s="12">
        <v>0.25</v>
      </c>
      <c r="I538" s="7" t="s">
        <v>2374</v>
      </c>
      <c r="J538" s="7" t="str" cm="1">
        <f t="array" ref="J53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8" s="7" t="s">
        <v>4768</v>
      </c>
    </row>
    <row r="539" spans="1:11">
      <c r="A539" s="7" t="s">
        <v>3403</v>
      </c>
      <c r="B539" s="11">
        <v>44839</v>
      </c>
      <c r="C539" s="7">
        <v>2022</v>
      </c>
      <c r="D539" s="7" t="s">
        <v>3404</v>
      </c>
      <c r="E539" s="7" t="s">
        <v>2321</v>
      </c>
      <c r="F539" s="7" t="s">
        <v>4598</v>
      </c>
      <c r="G539" s="7" t="s">
        <v>4582</v>
      </c>
      <c r="H539" s="12">
        <v>0.24</v>
      </c>
      <c r="I539" s="7" t="s">
        <v>2356</v>
      </c>
      <c r="J539" s="7" t="str" cm="1">
        <f t="array" ref="J53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39" s="7" t="s">
        <v>4768</v>
      </c>
    </row>
    <row r="540" spans="1:11">
      <c r="A540" s="7" t="s">
        <v>3405</v>
      </c>
      <c r="B540" s="11">
        <v>44854</v>
      </c>
      <c r="C540" s="7">
        <v>2022</v>
      </c>
      <c r="D540" s="7" t="s">
        <v>3406</v>
      </c>
      <c r="E540" s="7" t="s">
        <v>2321</v>
      </c>
      <c r="F540" s="7" t="s">
        <v>4598</v>
      </c>
      <c r="G540" s="7" t="s">
        <v>4585</v>
      </c>
      <c r="H540" s="12">
        <v>0.1</v>
      </c>
      <c r="I540" s="7" t="s">
        <v>2316</v>
      </c>
      <c r="J540" s="7" t="str" cm="1">
        <f t="array" ref="J54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0" s="7" t="s">
        <v>4768</v>
      </c>
    </row>
    <row r="541" spans="1:11">
      <c r="A541" s="7" t="s">
        <v>3407</v>
      </c>
      <c r="B541" s="11">
        <v>44870</v>
      </c>
      <c r="C541" s="7">
        <v>2022</v>
      </c>
      <c r="D541" s="7" t="s">
        <v>3408</v>
      </c>
      <c r="E541" s="7" t="s">
        <v>2267</v>
      </c>
      <c r="F541" s="7" t="s">
        <v>4599</v>
      </c>
      <c r="G541" s="7" t="s">
        <v>4580</v>
      </c>
      <c r="H541" s="12">
        <v>0.5</v>
      </c>
      <c r="I541" s="7" t="s">
        <v>2261</v>
      </c>
      <c r="J541" s="7" t="str" cm="1">
        <f t="array" ref="J54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1" s="7" t="s">
        <v>4768</v>
      </c>
    </row>
    <row r="542" spans="1:11">
      <c r="A542" s="7" t="s">
        <v>3409</v>
      </c>
      <c r="B542" s="11">
        <v>44871</v>
      </c>
      <c r="C542" s="7">
        <v>2022</v>
      </c>
      <c r="D542" s="7" t="s">
        <v>3410</v>
      </c>
      <c r="E542" s="7" t="s">
        <v>1403</v>
      </c>
      <c r="F542" s="7" t="s">
        <v>4598</v>
      </c>
      <c r="G542" s="7" t="s">
        <v>4579</v>
      </c>
      <c r="H542" s="12">
        <v>0.2</v>
      </c>
      <c r="I542" s="7" t="s">
        <v>2374</v>
      </c>
      <c r="J542" s="7" t="str" cm="1">
        <f t="array" ref="J54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2" s="7" t="s">
        <v>4768</v>
      </c>
    </row>
    <row r="543" spans="1:11">
      <c r="A543" s="7" t="s">
        <v>3411</v>
      </c>
      <c r="B543" s="11">
        <v>44872</v>
      </c>
      <c r="C543" s="7">
        <v>2022</v>
      </c>
      <c r="D543" s="7" t="s">
        <v>3412</v>
      </c>
      <c r="E543" s="7" t="s">
        <v>1610</v>
      </c>
      <c r="F543" s="7" t="s">
        <v>4599</v>
      </c>
      <c r="G543" s="7" t="s">
        <v>4585</v>
      </c>
      <c r="H543" s="12">
        <v>0.02</v>
      </c>
      <c r="I543" s="7" t="s">
        <v>2333</v>
      </c>
      <c r="J543" s="7" t="str" cm="1">
        <f t="array" ref="J54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3" s="7" t="s">
        <v>4768</v>
      </c>
    </row>
    <row r="544" spans="1:11">
      <c r="A544" s="7" t="s">
        <v>3413</v>
      </c>
      <c r="B544" s="11">
        <v>44874</v>
      </c>
      <c r="C544" s="7">
        <v>2022</v>
      </c>
      <c r="D544" s="7" t="s">
        <v>3414</v>
      </c>
      <c r="E544" s="7" t="s">
        <v>2254</v>
      </c>
      <c r="F544" s="7" t="s">
        <v>4599</v>
      </c>
      <c r="G544" s="7" t="s">
        <v>4582</v>
      </c>
      <c r="H544" s="12">
        <v>0.34</v>
      </c>
      <c r="I544" s="7" t="s">
        <v>2288</v>
      </c>
      <c r="J544" s="7" t="str" cm="1">
        <f t="array" ref="J54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4" s="7" t="s">
        <v>4768</v>
      </c>
    </row>
    <row r="545" spans="1:11">
      <c r="A545" s="7" t="s">
        <v>3415</v>
      </c>
      <c r="B545" s="11">
        <v>44879</v>
      </c>
      <c r="C545" s="7">
        <v>2022</v>
      </c>
      <c r="D545" s="7" t="s">
        <v>3416</v>
      </c>
      <c r="E545" s="7" t="s">
        <v>17</v>
      </c>
      <c r="F545" s="7" t="s">
        <v>4598</v>
      </c>
      <c r="G545" s="7" t="s">
        <v>4579</v>
      </c>
      <c r="H545" s="12">
        <v>0.04</v>
      </c>
      <c r="I545" s="7" t="s">
        <v>2374</v>
      </c>
      <c r="J545" s="7" t="str" cm="1">
        <f t="array" ref="J54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5" s="7" t="s">
        <v>4768</v>
      </c>
    </row>
    <row r="546" spans="1:11">
      <c r="A546" s="7" t="s">
        <v>3417</v>
      </c>
      <c r="B546" s="11">
        <v>44886</v>
      </c>
      <c r="C546" s="7">
        <v>2022</v>
      </c>
      <c r="D546" s="7" t="s">
        <v>3418</v>
      </c>
      <c r="E546" s="7" t="s">
        <v>2254</v>
      </c>
      <c r="F546" s="7" t="s">
        <v>4598</v>
      </c>
      <c r="G546" s="7" t="s">
        <v>4579</v>
      </c>
      <c r="H546" s="12">
        <v>7.0000000000000007E-2</v>
      </c>
      <c r="I546" s="7" t="s">
        <v>2374</v>
      </c>
      <c r="J546" s="7" t="str" cm="1">
        <f t="array" ref="J54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6" s="7" t="s">
        <v>4768</v>
      </c>
    </row>
    <row r="547" spans="1:11">
      <c r="A547" s="7" t="s">
        <v>3419</v>
      </c>
      <c r="B547" s="11">
        <v>44887</v>
      </c>
      <c r="C547" s="7">
        <v>2022</v>
      </c>
      <c r="D547" s="7" t="s">
        <v>3420</v>
      </c>
      <c r="E547" s="7" t="s">
        <v>2321</v>
      </c>
      <c r="F547" s="7" t="s">
        <v>4599</v>
      </c>
      <c r="G547" s="7" t="s">
        <v>4580</v>
      </c>
      <c r="H547" s="12">
        <v>7.0000000000000007E-2</v>
      </c>
      <c r="I547" s="7" t="s">
        <v>2261</v>
      </c>
      <c r="J547" s="7" t="str" cm="1">
        <f t="array" ref="J54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7" s="7" t="s">
        <v>4768</v>
      </c>
    </row>
    <row r="548" spans="1:11">
      <c r="A548" s="7" t="s">
        <v>3421</v>
      </c>
      <c r="B548" s="11">
        <v>44898</v>
      </c>
      <c r="C548" s="7">
        <v>2022</v>
      </c>
      <c r="D548" s="7" t="s">
        <v>3422</v>
      </c>
      <c r="E548" s="7" t="s">
        <v>2254</v>
      </c>
      <c r="F548" s="7" t="s">
        <v>4598</v>
      </c>
      <c r="G548" s="7" t="s">
        <v>4578</v>
      </c>
      <c r="H548" s="12">
        <v>0.09</v>
      </c>
      <c r="I548" s="7" t="s">
        <v>2251</v>
      </c>
      <c r="J548" s="7" t="str" cm="1">
        <f t="array" ref="J54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8" s="7" t="s">
        <v>4768</v>
      </c>
    </row>
    <row r="549" spans="1:11">
      <c r="A549" s="7" t="s">
        <v>3423</v>
      </c>
      <c r="B549" s="11">
        <v>44904</v>
      </c>
      <c r="C549" s="7">
        <v>2022</v>
      </c>
      <c r="D549" s="7" t="s">
        <v>3424</v>
      </c>
      <c r="E549" s="7" t="s">
        <v>130</v>
      </c>
      <c r="F549" s="7" t="s">
        <v>4599</v>
      </c>
      <c r="G549" s="7" t="s">
        <v>4586</v>
      </c>
      <c r="H549" s="12">
        <v>0.03</v>
      </c>
      <c r="I549" s="7" t="s">
        <v>2327</v>
      </c>
      <c r="J549" s="7" t="str" cm="1">
        <f t="array" ref="J54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49" s="7" t="s">
        <v>4768</v>
      </c>
    </row>
    <row r="550" spans="1:11">
      <c r="A550" s="7" t="s">
        <v>3425</v>
      </c>
      <c r="B550" s="11">
        <v>44910</v>
      </c>
      <c r="C550" s="7">
        <v>2022</v>
      </c>
      <c r="D550" s="7" t="s">
        <v>3426</v>
      </c>
      <c r="E550" s="7" t="s">
        <v>38</v>
      </c>
      <c r="F550" s="7" t="s">
        <v>4598</v>
      </c>
      <c r="G550" s="7" t="s">
        <v>4580</v>
      </c>
      <c r="H550" s="12">
        <v>0.08</v>
      </c>
      <c r="I550" s="7" t="s">
        <v>2268</v>
      </c>
      <c r="J550" s="7" t="str" cm="1">
        <f t="array" ref="J55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50" s="7" t="s">
        <v>4768</v>
      </c>
    </row>
    <row r="551" spans="1:11">
      <c r="A551" s="7" t="s">
        <v>3427</v>
      </c>
      <c r="B551" s="11">
        <v>44927</v>
      </c>
      <c r="C551" s="7">
        <v>2023</v>
      </c>
      <c r="D551" s="7" t="s">
        <v>3428</v>
      </c>
      <c r="E551" s="7" t="s">
        <v>1608</v>
      </c>
      <c r="F551" s="7" t="s">
        <v>4598</v>
      </c>
      <c r="G551" s="7" t="s">
        <v>4580</v>
      </c>
      <c r="H551" s="12">
        <v>0.01</v>
      </c>
      <c r="I551" s="7" t="s">
        <v>2268</v>
      </c>
      <c r="J551" s="7" t="str" cm="1">
        <f t="array" ref="J55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51" s="7" t="s">
        <v>4768</v>
      </c>
    </row>
    <row r="552" spans="1:11">
      <c r="A552" s="7" t="s">
        <v>3429</v>
      </c>
      <c r="B552" s="11">
        <v>44932</v>
      </c>
      <c r="C552" s="7">
        <v>2023</v>
      </c>
      <c r="D552" s="7" t="s">
        <v>3430</v>
      </c>
      <c r="E552" s="7" t="s">
        <v>1676</v>
      </c>
      <c r="F552" s="7" t="s">
        <v>4599</v>
      </c>
      <c r="G552" s="7" t="s">
        <v>4579</v>
      </c>
      <c r="H552" s="12">
        <v>1.1299999999999999</v>
      </c>
      <c r="I552" s="7" t="s">
        <v>2426</v>
      </c>
      <c r="J552" s="7" t="str" cm="1">
        <f t="array" ref="J55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52" s="7" t="s">
        <v>4768</v>
      </c>
    </row>
    <row r="553" spans="1:11">
      <c r="A553" s="7" t="s">
        <v>3431</v>
      </c>
      <c r="B553" s="11">
        <v>44932</v>
      </c>
      <c r="C553" s="7">
        <v>2023</v>
      </c>
      <c r="D553" s="7" t="s">
        <v>3432</v>
      </c>
      <c r="E553" s="7" t="s">
        <v>3433</v>
      </c>
      <c r="F553" s="7" t="s">
        <v>4599</v>
      </c>
      <c r="G553" s="7" t="s">
        <v>4578</v>
      </c>
      <c r="H553" s="12">
        <v>2.5</v>
      </c>
      <c r="I553" s="7" t="s">
        <v>3434</v>
      </c>
      <c r="J553" s="7" t="str" cm="1">
        <f t="array" ref="J553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53" s="7" t="s">
        <v>4743</v>
      </c>
    </row>
    <row r="554" spans="1:11">
      <c r="A554" s="7" t="s">
        <v>3435</v>
      </c>
      <c r="B554" s="11">
        <v>44936</v>
      </c>
      <c r="C554" s="7">
        <v>2023</v>
      </c>
      <c r="D554" s="7" t="s">
        <v>3436</v>
      </c>
      <c r="E554" s="7" t="s">
        <v>42</v>
      </c>
      <c r="F554" s="7" t="s">
        <v>4600</v>
      </c>
      <c r="G554" s="7" t="s">
        <v>4578</v>
      </c>
      <c r="H554" s="12">
        <v>3.44</v>
      </c>
      <c r="I554" s="7" t="s">
        <v>2294</v>
      </c>
      <c r="J554" s="7" t="str" cm="1">
        <f t="array" ref="J55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54" s="7" t="s">
        <v>4768</v>
      </c>
    </row>
    <row r="555" spans="1:11">
      <c r="A555" s="7" t="s">
        <v>3437</v>
      </c>
      <c r="B555" s="11">
        <v>44939</v>
      </c>
      <c r="C555" s="7">
        <v>2023</v>
      </c>
      <c r="D555" s="7" t="s">
        <v>3438</v>
      </c>
      <c r="E555" s="7" t="s">
        <v>42</v>
      </c>
      <c r="F555" s="7" t="s">
        <v>4598</v>
      </c>
      <c r="G555" s="7" t="s">
        <v>4580</v>
      </c>
      <c r="H555" s="12">
        <v>0.12</v>
      </c>
      <c r="I555" s="7" t="s">
        <v>2268</v>
      </c>
      <c r="J555" s="7" t="str" cm="1">
        <f t="array" ref="J55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55" s="7" t="s">
        <v>4768</v>
      </c>
    </row>
    <row r="556" spans="1:11">
      <c r="A556" s="7" t="s">
        <v>3439</v>
      </c>
      <c r="B556" s="11">
        <v>44939</v>
      </c>
      <c r="C556" s="7">
        <v>2023</v>
      </c>
      <c r="D556" s="7" t="s">
        <v>3440</v>
      </c>
      <c r="E556" s="7" t="s">
        <v>2250</v>
      </c>
      <c r="F556" s="7" t="s">
        <v>4599</v>
      </c>
      <c r="G556" s="7" t="s">
        <v>4580</v>
      </c>
      <c r="H556" s="12">
        <v>0.01</v>
      </c>
      <c r="I556" s="7" t="s">
        <v>2261</v>
      </c>
      <c r="J556" s="7" t="str" cm="1">
        <f t="array" ref="J55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56" s="7" t="s">
        <v>4768</v>
      </c>
    </row>
    <row r="557" spans="1:11">
      <c r="A557" s="7" t="s">
        <v>3441</v>
      </c>
      <c r="B557" s="11">
        <v>44940</v>
      </c>
      <c r="C557" s="7">
        <v>2023</v>
      </c>
      <c r="D557" s="7" t="s">
        <v>3442</v>
      </c>
      <c r="E557" s="7" t="s">
        <v>9</v>
      </c>
      <c r="F557" s="7" t="s">
        <v>4598</v>
      </c>
      <c r="G557" s="7" t="s">
        <v>4580</v>
      </c>
      <c r="H557" s="12">
        <v>1.1299999999999999</v>
      </c>
      <c r="I557" s="7" t="s">
        <v>2268</v>
      </c>
      <c r="J557" s="7" t="str" cm="1">
        <f t="array" ref="J55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57" s="7" t="s">
        <v>4768</v>
      </c>
    </row>
    <row r="558" spans="1:11">
      <c r="A558" s="7" t="s">
        <v>3443</v>
      </c>
      <c r="B558" s="11">
        <v>44963</v>
      </c>
      <c r="C558" s="7">
        <v>2023</v>
      </c>
      <c r="D558" s="7" t="s">
        <v>3444</v>
      </c>
      <c r="E558" s="7" t="s">
        <v>2282</v>
      </c>
      <c r="F558" s="7" t="s">
        <v>4598</v>
      </c>
      <c r="G558" s="7" t="s">
        <v>4580</v>
      </c>
      <c r="H558" s="12">
        <v>0.16</v>
      </c>
      <c r="I558" s="7" t="s">
        <v>2268</v>
      </c>
      <c r="J558" s="7" t="str" cm="1">
        <f t="array" ref="J55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58" s="7" t="s">
        <v>4768</v>
      </c>
    </row>
    <row r="559" spans="1:11">
      <c r="A559" s="7" t="s">
        <v>3445</v>
      </c>
      <c r="B559" s="11">
        <v>44980</v>
      </c>
      <c r="C559" s="7">
        <v>2023</v>
      </c>
      <c r="D559" s="7" t="s">
        <v>3446</v>
      </c>
      <c r="E559" s="7" t="s">
        <v>1610</v>
      </c>
      <c r="F559" s="7" t="s">
        <v>4599</v>
      </c>
      <c r="G559" s="7" t="s">
        <v>4580</v>
      </c>
      <c r="H559" s="12">
        <v>6.11</v>
      </c>
      <c r="I559" s="7" t="s">
        <v>2261</v>
      </c>
      <c r="J559" s="7" t="str" cm="1">
        <f t="array" ref="J559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559" s="7" t="s">
        <v>4768</v>
      </c>
    </row>
    <row r="560" spans="1:11">
      <c r="A560" s="7" t="s">
        <v>3447</v>
      </c>
      <c r="B560" s="11">
        <v>44986</v>
      </c>
      <c r="C560" s="7">
        <v>2023</v>
      </c>
      <c r="D560" s="7" t="s">
        <v>3448</v>
      </c>
      <c r="E560" s="7" t="s">
        <v>2267</v>
      </c>
      <c r="F560" s="7" t="s">
        <v>4599</v>
      </c>
      <c r="G560" s="7" t="s">
        <v>4578</v>
      </c>
      <c r="H560" s="12">
        <v>0.03</v>
      </c>
      <c r="I560" s="7" t="s">
        <v>2420</v>
      </c>
      <c r="J560" s="7" t="str" cm="1">
        <f t="array" ref="J56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0" s="7" t="s">
        <v>4768</v>
      </c>
    </row>
    <row r="561" spans="1:11">
      <c r="A561" s="7" t="s">
        <v>3449</v>
      </c>
      <c r="B561" s="11">
        <v>44991</v>
      </c>
      <c r="C561" s="7">
        <v>2023</v>
      </c>
      <c r="D561" s="7" t="s">
        <v>3450</v>
      </c>
      <c r="E561" s="7" t="s">
        <v>2275</v>
      </c>
      <c r="F561" s="7" t="s">
        <v>4598</v>
      </c>
      <c r="G561" s="7" t="s">
        <v>4580</v>
      </c>
      <c r="H561" s="12">
        <v>0.23</v>
      </c>
      <c r="I561" s="7" t="s">
        <v>2268</v>
      </c>
      <c r="J561" s="7" t="str" cm="1">
        <f t="array" ref="J56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1" s="7" t="s">
        <v>4768</v>
      </c>
    </row>
    <row r="562" spans="1:11">
      <c r="A562" s="7" t="s">
        <v>3451</v>
      </c>
      <c r="B562" s="11">
        <v>45027</v>
      </c>
      <c r="C562" s="7">
        <v>2023</v>
      </c>
      <c r="D562" s="7" t="s">
        <v>3452</v>
      </c>
      <c r="E562" s="7" t="s">
        <v>130</v>
      </c>
      <c r="F562" s="7" t="s">
        <v>4598</v>
      </c>
      <c r="G562" s="7" t="s">
        <v>4582</v>
      </c>
      <c r="H562" s="12">
        <v>0.43</v>
      </c>
      <c r="I562" s="7" t="s">
        <v>2356</v>
      </c>
      <c r="J562" s="7" t="str" cm="1">
        <f t="array" ref="J56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2" s="7" t="s">
        <v>4768</v>
      </c>
    </row>
    <row r="563" spans="1:11">
      <c r="A563" s="7" t="s">
        <v>3453</v>
      </c>
      <c r="B563" s="11">
        <v>45033</v>
      </c>
      <c r="C563" s="7">
        <v>2023</v>
      </c>
      <c r="D563" s="7" t="s">
        <v>3454</v>
      </c>
      <c r="E563" s="7" t="s">
        <v>53</v>
      </c>
      <c r="F563" s="7" t="s">
        <v>4598</v>
      </c>
      <c r="G563" s="7" t="s">
        <v>4578</v>
      </c>
      <c r="H563" s="12">
        <v>0.19</v>
      </c>
      <c r="I563" s="7" t="s">
        <v>2251</v>
      </c>
      <c r="J563" s="7" t="str" cm="1">
        <f t="array" ref="J56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3" s="7" t="s">
        <v>4768</v>
      </c>
    </row>
    <row r="564" spans="1:11">
      <c r="A564" s="7" t="s">
        <v>3455</v>
      </c>
      <c r="B564" s="11">
        <v>45048</v>
      </c>
      <c r="C564" s="7">
        <v>2023</v>
      </c>
      <c r="D564" s="7" t="s">
        <v>2819</v>
      </c>
      <c r="E564" s="7" t="s">
        <v>53</v>
      </c>
      <c r="F564" s="7" t="s">
        <v>4601</v>
      </c>
      <c r="G564" s="7" t="s">
        <v>4585</v>
      </c>
      <c r="H564" s="12">
        <v>7.0000000000000007E-2</v>
      </c>
      <c r="I564" s="7" t="s">
        <v>2659</v>
      </c>
      <c r="J564" s="7" t="str" cm="1">
        <f t="array" ref="J56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4" s="7" t="s">
        <v>4768</v>
      </c>
    </row>
    <row r="565" spans="1:11">
      <c r="A565" s="7" t="s">
        <v>3456</v>
      </c>
      <c r="B565" s="11">
        <v>45050</v>
      </c>
      <c r="C565" s="7">
        <v>2023</v>
      </c>
      <c r="D565" s="7" t="s">
        <v>3457</v>
      </c>
      <c r="E565" s="7" t="s">
        <v>42</v>
      </c>
      <c r="F565" s="7" t="s">
        <v>4598</v>
      </c>
      <c r="G565" s="7" t="s">
        <v>4581</v>
      </c>
      <c r="H565" s="12">
        <v>0.08</v>
      </c>
      <c r="I565" s="7" t="s">
        <v>2586</v>
      </c>
      <c r="J565" s="7" t="str" cm="1">
        <f t="array" ref="J56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5" s="7" t="s">
        <v>4768</v>
      </c>
    </row>
    <row r="566" spans="1:11">
      <c r="A566" s="7" t="s">
        <v>3458</v>
      </c>
      <c r="B566" s="11">
        <v>45067</v>
      </c>
      <c r="C566" s="7">
        <v>2023</v>
      </c>
      <c r="D566" s="7" t="s">
        <v>3459</v>
      </c>
      <c r="E566" s="7" t="s">
        <v>9</v>
      </c>
      <c r="F566" s="7" t="s">
        <v>4601</v>
      </c>
      <c r="G566" s="7" t="s">
        <v>4579</v>
      </c>
      <c r="H566" s="12">
        <v>0.49</v>
      </c>
      <c r="I566" s="7" t="s">
        <v>2570</v>
      </c>
      <c r="J566" s="7" t="str" cm="1">
        <f t="array" ref="J56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6" s="7" t="s">
        <v>4768</v>
      </c>
    </row>
    <row r="567" spans="1:11">
      <c r="A567" s="7" t="s">
        <v>3460</v>
      </c>
      <c r="B567" s="11">
        <v>45070</v>
      </c>
      <c r="C567" s="7">
        <v>2023</v>
      </c>
      <c r="D567" s="7" t="s">
        <v>3461</v>
      </c>
      <c r="E567" s="7" t="s">
        <v>304</v>
      </c>
      <c r="F567" s="7" t="s">
        <v>4598</v>
      </c>
      <c r="G567" s="7" t="s">
        <v>4580</v>
      </c>
      <c r="H567" s="12">
        <v>0.15</v>
      </c>
      <c r="I567" s="7" t="s">
        <v>2268</v>
      </c>
      <c r="J567" s="7" t="str" cm="1">
        <f t="array" ref="J56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7" s="7" t="s">
        <v>4768</v>
      </c>
    </row>
    <row r="568" spans="1:11">
      <c r="A568" s="7" t="s">
        <v>3462</v>
      </c>
      <c r="B568" s="11">
        <v>45070</v>
      </c>
      <c r="C568" s="7">
        <v>2023</v>
      </c>
      <c r="D568" s="7" t="s">
        <v>3463</v>
      </c>
      <c r="E568" s="7" t="s">
        <v>1403</v>
      </c>
      <c r="F568" s="7" t="s">
        <v>4599</v>
      </c>
      <c r="G568" s="7" t="s">
        <v>4580</v>
      </c>
      <c r="H568" s="12">
        <v>0.83</v>
      </c>
      <c r="I568" s="7" t="s">
        <v>2261</v>
      </c>
      <c r="J568" s="7" t="str" cm="1">
        <f t="array" ref="J56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8" s="7" t="s">
        <v>4768</v>
      </c>
    </row>
    <row r="569" spans="1:11">
      <c r="A569" s="7" t="s">
        <v>3464</v>
      </c>
      <c r="B569" s="11">
        <v>45071</v>
      </c>
      <c r="C569" s="7">
        <v>2023</v>
      </c>
      <c r="D569" s="7" t="s">
        <v>3465</v>
      </c>
      <c r="E569" s="7" t="s">
        <v>2257</v>
      </c>
      <c r="F569" s="7" t="s">
        <v>4598</v>
      </c>
      <c r="G569" s="7" t="s">
        <v>4580</v>
      </c>
      <c r="H569" s="12">
        <v>0.65</v>
      </c>
      <c r="I569" s="7" t="s">
        <v>2268</v>
      </c>
      <c r="J569" s="7" t="str" cm="1">
        <f t="array" ref="J56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69" s="7" t="s">
        <v>4768</v>
      </c>
    </row>
    <row r="570" spans="1:11">
      <c r="A570" s="7" t="s">
        <v>3466</v>
      </c>
      <c r="B570" s="11">
        <v>45078</v>
      </c>
      <c r="C570" s="7">
        <v>2023</v>
      </c>
      <c r="D570" s="7" t="s">
        <v>3467</v>
      </c>
      <c r="E570" s="7" t="s">
        <v>1610</v>
      </c>
      <c r="F570" s="7" t="s">
        <v>4599</v>
      </c>
      <c r="G570" s="7" t="s">
        <v>4587</v>
      </c>
      <c r="H570" s="12">
        <v>0.03</v>
      </c>
      <c r="I570" s="7" t="s">
        <v>2387</v>
      </c>
      <c r="J570" s="7" t="str" cm="1">
        <f t="array" ref="J57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70" s="7" t="s">
        <v>4768</v>
      </c>
    </row>
    <row r="571" spans="1:11">
      <c r="A571" s="7" t="s">
        <v>3468</v>
      </c>
      <c r="B571" s="11">
        <v>45088</v>
      </c>
      <c r="C571" s="7">
        <v>2023</v>
      </c>
      <c r="D571" s="7" t="s">
        <v>3469</v>
      </c>
      <c r="E571" s="7" t="s">
        <v>2440</v>
      </c>
      <c r="F571" s="7" t="s">
        <v>4598</v>
      </c>
      <c r="G571" s="7" t="s">
        <v>4578</v>
      </c>
      <c r="H571" s="12">
        <v>3.33</v>
      </c>
      <c r="I571" s="7" t="s">
        <v>2251</v>
      </c>
      <c r="J571" s="7" t="str" cm="1">
        <f t="array" ref="J57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71" s="7" t="s">
        <v>4768</v>
      </c>
    </row>
    <row r="572" spans="1:11">
      <c r="A572" s="7" t="s">
        <v>3470</v>
      </c>
      <c r="B572" s="11">
        <v>45089</v>
      </c>
      <c r="C572" s="7">
        <v>2023</v>
      </c>
      <c r="D572" s="7" t="s">
        <v>3471</v>
      </c>
      <c r="E572" s="7" t="s">
        <v>215</v>
      </c>
      <c r="F572" s="7" t="s">
        <v>4599</v>
      </c>
      <c r="G572" s="7" t="s">
        <v>4580</v>
      </c>
      <c r="H572" s="12">
        <v>0.2</v>
      </c>
      <c r="I572" s="7" t="s">
        <v>2261</v>
      </c>
      <c r="J572" s="7" t="str" cm="1">
        <f t="array" ref="J57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72" s="7" t="s">
        <v>4768</v>
      </c>
    </row>
    <row r="573" spans="1:11">
      <c r="A573" s="7" t="s">
        <v>3472</v>
      </c>
      <c r="B573" s="11">
        <v>45089</v>
      </c>
      <c r="C573" s="7">
        <v>2023</v>
      </c>
      <c r="D573" s="7" t="s">
        <v>3473</v>
      </c>
      <c r="E573" s="7" t="s">
        <v>2632</v>
      </c>
      <c r="F573" s="7" t="s">
        <v>4598</v>
      </c>
      <c r="G573" s="7" t="s">
        <v>4585</v>
      </c>
      <c r="H573" s="12">
        <v>0.43</v>
      </c>
      <c r="I573" s="7" t="s">
        <v>2316</v>
      </c>
      <c r="J573" s="7" t="str" cm="1">
        <f t="array" ref="J57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73" s="7" t="s">
        <v>4768</v>
      </c>
    </row>
    <row r="574" spans="1:11">
      <c r="A574" s="7" t="s">
        <v>3474</v>
      </c>
      <c r="B574" s="11">
        <v>45093</v>
      </c>
      <c r="C574" s="7">
        <v>2023</v>
      </c>
      <c r="D574" s="7" t="s">
        <v>3475</v>
      </c>
      <c r="E574" s="7" t="s">
        <v>125</v>
      </c>
      <c r="F574" s="7" t="s">
        <v>4598</v>
      </c>
      <c r="G574" s="7" t="s">
        <v>4578</v>
      </c>
      <c r="H574" s="12">
        <v>0.31</v>
      </c>
      <c r="I574" s="7" t="s">
        <v>2251</v>
      </c>
      <c r="J574" s="7" t="str" cm="1">
        <f t="array" ref="J57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74" s="7" t="s">
        <v>4768</v>
      </c>
    </row>
    <row r="575" spans="1:11">
      <c r="A575" s="7" t="s">
        <v>3476</v>
      </c>
      <c r="B575" s="11">
        <v>45094</v>
      </c>
      <c r="C575" s="7">
        <v>2023</v>
      </c>
      <c r="D575" s="7" t="s">
        <v>3477</v>
      </c>
      <c r="E575" s="7" t="s">
        <v>2275</v>
      </c>
      <c r="F575" s="7" t="s">
        <v>4600</v>
      </c>
      <c r="G575" s="7" t="s">
        <v>4578</v>
      </c>
      <c r="H575" s="12">
        <v>0.23</v>
      </c>
      <c r="I575" s="7" t="s">
        <v>2294</v>
      </c>
      <c r="J575" s="7" t="str" cm="1">
        <f t="array" ref="J57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75" s="7" t="s">
        <v>4768</v>
      </c>
    </row>
    <row r="576" spans="1:11">
      <c r="A576" s="7" t="s">
        <v>3478</v>
      </c>
      <c r="B576" s="11">
        <v>45095</v>
      </c>
      <c r="C576" s="7">
        <v>2023</v>
      </c>
      <c r="D576" s="7" t="s">
        <v>3479</v>
      </c>
      <c r="E576" s="7" t="s">
        <v>1676</v>
      </c>
      <c r="F576" s="7" t="s">
        <v>4598</v>
      </c>
      <c r="G576" s="7" t="s">
        <v>4581</v>
      </c>
      <c r="H576" s="12">
        <v>0.6</v>
      </c>
      <c r="I576" s="7" t="s">
        <v>2586</v>
      </c>
      <c r="J576" s="7" t="str" cm="1">
        <f t="array" ref="J57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76" s="7" t="s">
        <v>4768</v>
      </c>
    </row>
    <row r="577" spans="1:11">
      <c r="A577" s="7" t="s">
        <v>3480</v>
      </c>
      <c r="B577" s="11">
        <v>45095</v>
      </c>
      <c r="C577" s="7">
        <v>2023</v>
      </c>
      <c r="D577" s="7" t="s">
        <v>3481</v>
      </c>
      <c r="E577" s="7" t="s">
        <v>2282</v>
      </c>
      <c r="F577" s="7" t="s">
        <v>4598</v>
      </c>
      <c r="G577" s="7" t="s">
        <v>4580</v>
      </c>
      <c r="H577" s="12">
        <v>0.63</v>
      </c>
      <c r="I577" s="7" t="s">
        <v>2268</v>
      </c>
      <c r="J577" s="7" t="str" cm="1">
        <f t="array" ref="J57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77" s="7" t="s">
        <v>4768</v>
      </c>
    </row>
    <row r="578" spans="1:11">
      <c r="A578" s="7" t="s">
        <v>3482</v>
      </c>
      <c r="B578" s="11">
        <v>45099</v>
      </c>
      <c r="C578" s="7">
        <v>2023</v>
      </c>
      <c r="D578" s="7" t="s">
        <v>3483</v>
      </c>
      <c r="E578" s="7" t="s">
        <v>2297</v>
      </c>
      <c r="F578" s="7" t="s">
        <v>4599</v>
      </c>
      <c r="G578" s="7" t="s">
        <v>4580</v>
      </c>
      <c r="H578" s="12">
        <v>1.87</v>
      </c>
      <c r="I578" s="7" t="s">
        <v>2261</v>
      </c>
      <c r="J578" s="7" t="str" cm="1">
        <f t="array" ref="J578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78" s="7" t="s">
        <v>4768</v>
      </c>
    </row>
    <row r="579" spans="1:11">
      <c r="A579" s="7" t="s">
        <v>3484</v>
      </c>
      <c r="B579" s="11">
        <v>45099</v>
      </c>
      <c r="C579" s="7">
        <v>2023</v>
      </c>
      <c r="D579" s="7" t="s">
        <v>3485</v>
      </c>
      <c r="E579" s="7" t="s">
        <v>2297</v>
      </c>
      <c r="F579" s="7" t="s">
        <v>4601</v>
      </c>
      <c r="G579" s="7" t="s">
        <v>4587</v>
      </c>
      <c r="H579" s="12">
        <v>1.5</v>
      </c>
      <c r="I579" s="7" t="s">
        <v>661</v>
      </c>
      <c r="J579" s="7" t="str" cm="1">
        <f t="array" ref="J57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79" s="7" t="s">
        <v>4743</v>
      </c>
    </row>
    <row r="580" spans="1:11">
      <c r="A580" s="7" t="s">
        <v>3486</v>
      </c>
      <c r="B580" s="11">
        <v>45106</v>
      </c>
      <c r="C580" s="7">
        <v>2023</v>
      </c>
      <c r="D580" s="7" t="s">
        <v>3487</v>
      </c>
      <c r="E580" s="7" t="s">
        <v>2257</v>
      </c>
      <c r="F580" s="7" t="s">
        <v>4601</v>
      </c>
      <c r="G580" s="7" t="s">
        <v>4587</v>
      </c>
      <c r="H580" s="12">
        <v>0.3</v>
      </c>
      <c r="I580" s="7" t="s">
        <v>3488</v>
      </c>
      <c r="J580" s="7" t="str" cm="1">
        <f t="array" ref="J58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0" s="7" t="s">
        <v>4743</v>
      </c>
    </row>
    <row r="581" spans="1:11">
      <c r="A581" s="7" t="s">
        <v>3489</v>
      </c>
      <c r="B581" s="11">
        <v>45114</v>
      </c>
      <c r="C581" s="7">
        <v>2023</v>
      </c>
      <c r="D581" s="7" t="s">
        <v>3490</v>
      </c>
      <c r="E581" s="7" t="s">
        <v>38</v>
      </c>
      <c r="F581" s="7" t="s">
        <v>4599</v>
      </c>
      <c r="G581" s="7" t="s">
        <v>4581</v>
      </c>
      <c r="H581" s="12">
        <v>0.04</v>
      </c>
      <c r="I581" s="7" t="s">
        <v>2553</v>
      </c>
      <c r="J581" s="7" t="str" cm="1">
        <f t="array" ref="J58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1" s="7" t="s">
        <v>4768</v>
      </c>
    </row>
    <row r="582" spans="1:11">
      <c r="A582" s="7" t="s">
        <v>3491</v>
      </c>
      <c r="B582" s="11">
        <v>45116</v>
      </c>
      <c r="C582" s="7">
        <v>2023</v>
      </c>
      <c r="D582" s="7" t="s">
        <v>3492</v>
      </c>
      <c r="E582" s="7" t="s">
        <v>31</v>
      </c>
      <c r="F582" s="7" t="s">
        <v>4598</v>
      </c>
      <c r="G582" s="7" t="s">
        <v>4580</v>
      </c>
      <c r="H582" s="12">
        <v>0.27</v>
      </c>
      <c r="I582" s="7" t="s">
        <v>2268</v>
      </c>
      <c r="J582" s="7" t="str" cm="1">
        <f t="array" ref="J58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2" s="7" t="s">
        <v>4768</v>
      </c>
    </row>
    <row r="583" spans="1:11">
      <c r="A583" s="7" t="s">
        <v>3493</v>
      </c>
      <c r="B583" s="11">
        <v>45116</v>
      </c>
      <c r="C583" s="7">
        <v>2023</v>
      </c>
      <c r="D583" s="7" t="s">
        <v>3494</v>
      </c>
      <c r="E583" s="7" t="s">
        <v>67</v>
      </c>
      <c r="F583" s="7" t="s">
        <v>4600</v>
      </c>
      <c r="G583" s="7" t="s">
        <v>4604</v>
      </c>
      <c r="H583" s="12">
        <v>6.27</v>
      </c>
      <c r="I583" s="7" t="s">
        <v>2583</v>
      </c>
      <c r="J583" s="7" t="str" cm="1">
        <f t="array" ref="J583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583" s="7" t="s">
        <v>4768</v>
      </c>
    </row>
    <row r="584" spans="1:11">
      <c r="A584" s="7" t="s">
        <v>3495</v>
      </c>
      <c r="B584" s="11">
        <v>45125</v>
      </c>
      <c r="C584" s="7">
        <v>2023</v>
      </c>
      <c r="D584" s="7" t="s">
        <v>3496</v>
      </c>
      <c r="E584" s="7" t="s">
        <v>2278</v>
      </c>
      <c r="F584" s="7" t="s">
        <v>4598</v>
      </c>
      <c r="G584" s="7" t="s">
        <v>4585</v>
      </c>
      <c r="H584" s="12">
        <v>0.28999999999999998</v>
      </c>
      <c r="I584" s="7" t="s">
        <v>2316</v>
      </c>
      <c r="J584" s="7" t="str" cm="1">
        <f t="array" ref="J58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4" s="7" t="s">
        <v>4768</v>
      </c>
    </row>
    <row r="585" spans="1:11">
      <c r="A585" s="7" t="s">
        <v>3497</v>
      </c>
      <c r="B585" s="11">
        <v>45150</v>
      </c>
      <c r="C585" s="7">
        <v>2023</v>
      </c>
      <c r="D585" s="7" t="s">
        <v>3498</v>
      </c>
      <c r="E585" s="7" t="s">
        <v>304</v>
      </c>
      <c r="F585" s="7" t="s">
        <v>4602</v>
      </c>
      <c r="G585" s="7" t="s">
        <v>4586</v>
      </c>
      <c r="H585" s="12">
        <v>7.0000000000000007E-2</v>
      </c>
      <c r="I585" s="7" t="s">
        <v>2476</v>
      </c>
      <c r="J585" s="7" t="str" cm="1">
        <f t="array" ref="J58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5" s="7" t="s">
        <v>4768</v>
      </c>
    </row>
    <row r="586" spans="1:11">
      <c r="A586" s="7" t="s">
        <v>3499</v>
      </c>
      <c r="B586" s="11">
        <v>45152</v>
      </c>
      <c r="C586" s="7">
        <v>2023</v>
      </c>
      <c r="D586" s="7" t="s">
        <v>3500</v>
      </c>
      <c r="E586" s="7" t="s">
        <v>2632</v>
      </c>
      <c r="F586" s="7" t="s">
        <v>4598</v>
      </c>
      <c r="G586" s="7" t="s">
        <v>4579</v>
      </c>
      <c r="H586" s="12">
        <v>0.11</v>
      </c>
      <c r="I586" s="7" t="s">
        <v>2374</v>
      </c>
      <c r="J586" s="7" t="str" cm="1">
        <f t="array" ref="J58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6" s="7" t="s">
        <v>4768</v>
      </c>
    </row>
    <row r="587" spans="1:11">
      <c r="A587" s="7" t="s">
        <v>3501</v>
      </c>
      <c r="B587" s="11">
        <v>45153</v>
      </c>
      <c r="C587" s="7">
        <v>2023</v>
      </c>
      <c r="D587" s="7" t="s">
        <v>3502</v>
      </c>
      <c r="E587" s="7" t="s">
        <v>215</v>
      </c>
      <c r="F587" s="7" t="s">
        <v>4599</v>
      </c>
      <c r="G587" s="7" t="s">
        <v>4580</v>
      </c>
      <c r="H587" s="12">
        <v>0.19</v>
      </c>
      <c r="I587" s="7" t="s">
        <v>2261</v>
      </c>
      <c r="J587" s="7" t="str" cm="1">
        <f t="array" ref="J58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7" s="7" t="s">
        <v>4768</v>
      </c>
    </row>
    <row r="588" spans="1:11">
      <c r="A588" s="7" t="s">
        <v>3503</v>
      </c>
      <c r="B588" s="11">
        <v>45155</v>
      </c>
      <c r="C588" s="7">
        <v>2023</v>
      </c>
      <c r="D588" s="7" t="s">
        <v>3504</v>
      </c>
      <c r="E588" s="7" t="s">
        <v>31</v>
      </c>
      <c r="F588" s="7" t="s">
        <v>4598</v>
      </c>
      <c r="G588" s="7" t="s">
        <v>4585</v>
      </c>
      <c r="H588" s="12">
        <v>0.01</v>
      </c>
      <c r="I588" s="7" t="s">
        <v>2316</v>
      </c>
      <c r="J588" s="7" t="str" cm="1">
        <f t="array" ref="J58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8" s="7" t="s">
        <v>4768</v>
      </c>
    </row>
    <row r="589" spans="1:11">
      <c r="A589" s="7" t="s">
        <v>3505</v>
      </c>
      <c r="B589" s="11">
        <v>45173</v>
      </c>
      <c r="C589" s="7">
        <v>2023</v>
      </c>
      <c r="D589" s="7" t="s">
        <v>3506</v>
      </c>
      <c r="E589" s="7" t="s">
        <v>1403</v>
      </c>
      <c r="F589" s="7" t="s">
        <v>4598</v>
      </c>
      <c r="G589" s="7" t="s">
        <v>4580</v>
      </c>
      <c r="H589" s="12">
        <v>0.04</v>
      </c>
      <c r="I589" s="7" t="s">
        <v>2268</v>
      </c>
      <c r="J589" s="7" t="str" cm="1">
        <f t="array" ref="J58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89" s="7" t="s">
        <v>4768</v>
      </c>
    </row>
    <row r="590" spans="1:11">
      <c r="A590" s="7" t="s">
        <v>3507</v>
      </c>
      <c r="B590" s="11">
        <v>45181</v>
      </c>
      <c r="C590" s="7">
        <v>2023</v>
      </c>
      <c r="D590" s="7" t="s">
        <v>3508</v>
      </c>
      <c r="E590" s="7" t="s">
        <v>17</v>
      </c>
      <c r="F590" s="7" t="s">
        <v>4598</v>
      </c>
      <c r="G590" s="7" t="s">
        <v>4582</v>
      </c>
      <c r="H590" s="12">
        <v>0.17</v>
      </c>
      <c r="I590" s="7" t="s">
        <v>2356</v>
      </c>
      <c r="J590" s="7" t="str" cm="1">
        <f t="array" ref="J59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90" s="7" t="s">
        <v>4768</v>
      </c>
    </row>
    <row r="591" spans="1:11">
      <c r="A591" s="7" t="s">
        <v>3509</v>
      </c>
      <c r="B591" s="11">
        <v>45187</v>
      </c>
      <c r="C591" s="7">
        <v>2023</v>
      </c>
      <c r="D591" s="7" t="s">
        <v>3510</v>
      </c>
      <c r="E591" s="7" t="s">
        <v>17</v>
      </c>
      <c r="F591" s="7" t="s">
        <v>4598</v>
      </c>
      <c r="G591" s="7" t="s">
        <v>4580</v>
      </c>
      <c r="H591" s="12">
        <v>0.16</v>
      </c>
      <c r="I591" s="7" t="s">
        <v>2268</v>
      </c>
      <c r="J591" s="7" t="str" cm="1">
        <f t="array" ref="J59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91" s="7" t="s">
        <v>4768</v>
      </c>
    </row>
    <row r="592" spans="1:11">
      <c r="A592" s="7" t="s">
        <v>3511</v>
      </c>
      <c r="B592" s="11">
        <v>45190</v>
      </c>
      <c r="C592" s="7">
        <v>2023</v>
      </c>
      <c r="D592" s="7" t="s">
        <v>3512</v>
      </c>
      <c r="E592" s="7" t="s">
        <v>1403</v>
      </c>
      <c r="F592" s="7" t="s">
        <v>4599</v>
      </c>
      <c r="G592" s="7" t="s">
        <v>4580</v>
      </c>
      <c r="H592" s="12">
        <v>0.37</v>
      </c>
      <c r="I592" s="7" t="s">
        <v>2261</v>
      </c>
      <c r="J592" s="7" t="str" cm="1">
        <f t="array" ref="J59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92" s="7" t="s">
        <v>4768</v>
      </c>
    </row>
    <row r="593" spans="1:11">
      <c r="A593" s="7" t="s">
        <v>3513</v>
      </c>
      <c r="B593" s="11">
        <v>45191</v>
      </c>
      <c r="C593" s="7">
        <v>2023</v>
      </c>
      <c r="D593" s="7" t="s">
        <v>3514</v>
      </c>
      <c r="E593" s="7" t="s">
        <v>1676</v>
      </c>
      <c r="F593" s="7" t="s">
        <v>4598</v>
      </c>
      <c r="G593" s="7" t="s">
        <v>4578</v>
      </c>
      <c r="H593" s="12">
        <v>0.01</v>
      </c>
      <c r="I593" s="7" t="s">
        <v>2251</v>
      </c>
      <c r="J593" s="7" t="str" cm="1">
        <f t="array" ref="J59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93" s="7" t="s">
        <v>4768</v>
      </c>
    </row>
    <row r="594" spans="1:11">
      <c r="A594" s="7" t="s">
        <v>3515</v>
      </c>
      <c r="B594" s="11">
        <v>45201</v>
      </c>
      <c r="C594" s="7">
        <v>2023</v>
      </c>
      <c r="D594" s="7" t="s">
        <v>3516</v>
      </c>
      <c r="E594" s="7" t="s">
        <v>215</v>
      </c>
      <c r="F594" s="7" t="s">
        <v>4599</v>
      </c>
      <c r="G594" s="7" t="s">
        <v>4580</v>
      </c>
      <c r="H594" s="12">
        <v>0.1</v>
      </c>
      <c r="I594" s="7" t="s">
        <v>2261</v>
      </c>
      <c r="J594" s="7" t="str" cm="1">
        <f t="array" ref="J59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94" s="7" t="s">
        <v>4768</v>
      </c>
    </row>
    <row r="595" spans="1:11">
      <c r="A595" s="7" t="s">
        <v>3517</v>
      </c>
      <c r="B595" s="11">
        <v>45204</v>
      </c>
      <c r="C595" s="7">
        <v>2023</v>
      </c>
      <c r="D595" s="7" t="s">
        <v>3518</v>
      </c>
      <c r="E595" s="7" t="s">
        <v>2275</v>
      </c>
      <c r="F595" s="7" t="s">
        <v>4598</v>
      </c>
      <c r="G595" s="7" t="s">
        <v>4580</v>
      </c>
      <c r="H595" s="12">
        <v>0.12</v>
      </c>
      <c r="I595" s="7" t="s">
        <v>2268</v>
      </c>
      <c r="J595" s="7" t="str" cm="1">
        <f t="array" ref="J59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95" s="7" t="s">
        <v>4768</v>
      </c>
    </row>
    <row r="596" spans="1:11">
      <c r="A596" s="7" t="s">
        <v>3519</v>
      </c>
      <c r="B596" s="11">
        <v>45217</v>
      </c>
      <c r="C596" s="7">
        <v>2023</v>
      </c>
      <c r="D596" s="7" t="s">
        <v>3520</v>
      </c>
      <c r="E596" s="7" t="s">
        <v>2254</v>
      </c>
      <c r="F596" s="7" t="s">
        <v>4598</v>
      </c>
      <c r="G596" s="7" t="s">
        <v>4581</v>
      </c>
      <c r="H596" s="12">
        <v>0.03</v>
      </c>
      <c r="I596" s="7" t="s">
        <v>2586</v>
      </c>
      <c r="J596" s="7" t="str" cm="1">
        <f t="array" ref="J59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96" s="7" t="s">
        <v>4768</v>
      </c>
    </row>
    <row r="597" spans="1:11">
      <c r="A597" s="7" t="s">
        <v>3521</v>
      </c>
      <c r="B597" s="11">
        <v>45219</v>
      </c>
      <c r="C597" s="7">
        <v>2023</v>
      </c>
      <c r="D597" s="7" t="s">
        <v>3522</v>
      </c>
      <c r="E597" s="7" t="s">
        <v>1365</v>
      </c>
      <c r="F597" s="7" t="s">
        <v>4598</v>
      </c>
      <c r="G597" s="7" t="s">
        <v>4578</v>
      </c>
      <c r="H597" s="12">
        <v>0.12</v>
      </c>
      <c r="I597" s="7" t="s">
        <v>2251</v>
      </c>
      <c r="J597" s="7" t="str" cm="1">
        <f t="array" ref="J59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97" s="7" t="s">
        <v>4768</v>
      </c>
    </row>
    <row r="598" spans="1:11">
      <c r="A598" s="7" t="s">
        <v>3523</v>
      </c>
      <c r="B598" s="11">
        <v>45224</v>
      </c>
      <c r="C598" s="7">
        <v>2023</v>
      </c>
      <c r="D598" s="7" t="s">
        <v>2834</v>
      </c>
      <c r="E598" s="7" t="s">
        <v>2254</v>
      </c>
      <c r="F598" s="7" t="s">
        <v>4598</v>
      </c>
      <c r="G598" s="7" t="s">
        <v>4585</v>
      </c>
      <c r="H598" s="12">
        <v>1.07</v>
      </c>
      <c r="I598" s="7" t="s">
        <v>2316</v>
      </c>
      <c r="J598" s="7" t="str" cm="1">
        <f t="array" ref="J598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598" s="7" t="s">
        <v>4768</v>
      </c>
    </row>
    <row r="599" spans="1:11">
      <c r="A599" s="7" t="s">
        <v>3524</v>
      </c>
      <c r="B599" s="11">
        <v>45224</v>
      </c>
      <c r="C599" s="7">
        <v>2023</v>
      </c>
      <c r="D599" s="7" t="s">
        <v>3525</v>
      </c>
      <c r="E599" s="7" t="s">
        <v>215</v>
      </c>
      <c r="F599" s="7" t="s">
        <v>4598</v>
      </c>
      <c r="G599" s="7" t="s">
        <v>4578</v>
      </c>
      <c r="H599" s="12">
        <v>0.93</v>
      </c>
      <c r="I599" s="7" t="s">
        <v>2251</v>
      </c>
      <c r="J599" s="7" t="str" cm="1">
        <f t="array" ref="J59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599" s="7" t="s">
        <v>4768</v>
      </c>
    </row>
    <row r="600" spans="1:11">
      <c r="A600" s="7" t="s">
        <v>3526</v>
      </c>
      <c r="B600" s="11">
        <v>45232</v>
      </c>
      <c r="C600" s="7">
        <v>2023</v>
      </c>
      <c r="D600" s="7" t="s">
        <v>3527</v>
      </c>
      <c r="E600" s="7" t="s">
        <v>9</v>
      </c>
      <c r="F600" s="7" t="s">
        <v>4598</v>
      </c>
      <c r="G600" s="7" t="s">
        <v>4580</v>
      </c>
      <c r="H600" s="12">
        <v>0.12</v>
      </c>
      <c r="I600" s="7" t="s">
        <v>2268</v>
      </c>
      <c r="J600" s="7" t="str" cm="1">
        <f t="array" ref="J60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00" s="7" t="s">
        <v>4768</v>
      </c>
    </row>
    <row r="601" spans="1:11">
      <c r="A601" s="7" t="s">
        <v>3528</v>
      </c>
      <c r="B601" s="11">
        <v>45238</v>
      </c>
      <c r="C601" s="7">
        <v>2023</v>
      </c>
      <c r="D601" s="7" t="s">
        <v>3529</v>
      </c>
      <c r="E601" s="7" t="s">
        <v>376</v>
      </c>
      <c r="F601" s="7" t="s">
        <v>4599</v>
      </c>
      <c r="G601" s="7" t="s">
        <v>4579</v>
      </c>
      <c r="H601" s="12">
        <v>15</v>
      </c>
      <c r="I601" s="7" t="s">
        <v>3530</v>
      </c>
      <c r="J601" s="7" t="str" cm="1">
        <f t="array" ref="J601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601" s="7" t="s">
        <v>4743</v>
      </c>
    </row>
    <row r="602" spans="1:11">
      <c r="A602" s="7" t="s">
        <v>3531</v>
      </c>
      <c r="B602" s="11">
        <v>45241</v>
      </c>
      <c r="C602" s="7">
        <v>2023</v>
      </c>
      <c r="D602" s="7" t="s">
        <v>3532</v>
      </c>
      <c r="E602" s="7" t="s">
        <v>53</v>
      </c>
      <c r="F602" s="7" t="s">
        <v>4598</v>
      </c>
      <c r="G602" s="7" t="s">
        <v>4580</v>
      </c>
      <c r="H602" s="12">
        <v>0.13</v>
      </c>
      <c r="I602" s="7" t="s">
        <v>2268</v>
      </c>
      <c r="J602" s="7" t="str" cm="1">
        <f t="array" ref="J60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02" s="7" t="s">
        <v>4768</v>
      </c>
    </row>
    <row r="603" spans="1:11">
      <c r="A603" s="7" t="s">
        <v>3533</v>
      </c>
      <c r="B603" s="11">
        <v>45246</v>
      </c>
      <c r="C603" s="7">
        <v>2023</v>
      </c>
      <c r="D603" s="7" t="s">
        <v>3534</v>
      </c>
      <c r="E603" s="7" t="s">
        <v>146</v>
      </c>
      <c r="F603" s="7" t="s">
        <v>4598</v>
      </c>
      <c r="G603" s="7" t="s">
        <v>4580</v>
      </c>
      <c r="H603" s="12">
        <v>1.5</v>
      </c>
      <c r="I603" s="7" t="s">
        <v>3535</v>
      </c>
      <c r="J603" s="7" t="str" cm="1">
        <f t="array" ref="J603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03" s="7" t="s">
        <v>4743</v>
      </c>
    </row>
    <row r="604" spans="1:11">
      <c r="A604" s="7" t="s">
        <v>3536</v>
      </c>
      <c r="B604" s="11">
        <v>45248</v>
      </c>
      <c r="C604" s="7">
        <v>2023</v>
      </c>
      <c r="D604" s="7" t="s">
        <v>3537</v>
      </c>
      <c r="E604" s="7" t="s">
        <v>125</v>
      </c>
      <c r="F604" s="7" t="s">
        <v>4598</v>
      </c>
      <c r="G604" s="7" t="s">
        <v>4580</v>
      </c>
      <c r="H604" s="12">
        <v>0.35</v>
      </c>
      <c r="I604" s="7" t="s">
        <v>2268</v>
      </c>
      <c r="J604" s="7" t="str" cm="1">
        <f t="array" ref="J60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04" s="7" t="s">
        <v>4768</v>
      </c>
    </row>
    <row r="605" spans="1:11">
      <c r="A605" s="7" t="s">
        <v>3538</v>
      </c>
      <c r="B605" s="11">
        <v>45256</v>
      </c>
      <c r="C605" s="7">
        <v>2023</v>
      </c>
      <c r="D605" s="7" t="s">
        <v>3539</v>
      </c>
      <c r="E605" s="7" t="s">
        <v>2632</v>
      </c>
      <c r="F605" s="7" t="s">
        <v>4598</v>
      </c>
      <c r="G605" s="7" t="s">
        <v>4578</v>
      </c>
      <c r="H605" s="12">
        <v>0.06</v>
      </c>
      <c r="I605" s="7" t="s">
        <v>2251</v>
      </c>
      <c r="J605" s="7" t="str" cm="1">
        <f t="array" ref="J60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05" s="7" t="s">
        <v>4768</v>
      </c>
    </row>
    <row r="606" spans="1:11">
      <c r="A606" s="7" t="s">
        <v>3540</v>
      </c>
      <c r="B606" s="11">
        <v>45256</v>
      </c>
      <c r="C606" s="7">
        <v>2023</v>
      </c>
      <c r="D606" s="7" t="s">
        <v>3541</v>
      </c>
      <c r="E606" s="7" t="s">
        <v>2250</v>
      </c>
      <c r="F606" s="7" t="s">
        <v>4599</v>
      </c>
      <c r="G606" s="7" t="s">
        <v>4580</v>
      </c>
      <c r="H606" s="12">
        <v>0.1</v>
      </c>
      <c r="I606" s="7" t="s">
        <v>2261</v>
      </c>
      <c r="J606" s="7" t="str" cm="1">
        <f t="array" ref="J60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06" s="7" t="s">
        <v>4768</v>
      </c>
    </row>
    <row r="607" spans="1:11">
      <c r="A607" s="7" t="s">
        <v>3542</v>
      </c>
      <c r="B607" s="11">
        <v>45262</v>
      </c>
      <c r="C607" s="7">
        <v>2023</v>
      </c>
      <c r="D607" s="7" t="s">
        <v>3543</v>
      </c>
      <c r="E607" s="7" t="s">
        <v>2632</v>
      </c>
      <c r="F607" s="7" t="s">
        <v>4599</v>
      </c>
      <c r="G607" s="7" t="s">
        <v>4578</v>
      </c>
      <c r="H607" s="12">
        <v>0.16</v>
      </c>
      <c r="I607" s="7" t="s">
        <v>2420</v>
      </c>
      <c r="J607" s="7" t="str" cm="1">
        <f t="array" ref="J60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07" s="7" t="s">
        <v>4768</v>
      </c>
    </row>
    <row r="608" spans="1:11">
      <c r="A608" s="7" t="s">
        <v>3544</v>
      </c>
      <c r="B608" s="11">
        <v>45267</v>
      </c>
      <c r="C608" s="7">
        <v>2023</v>
      </c>
      <c r="D608" s="7" t="s">
        <v>3545</v>
      </c>
      <c r="E608" s="7" t="s">
        <v>31</v>
      </c>
      <c r="F608" s="7" t="s">
        <v>4598</v>
      </c>
      <c r="G608" s="7" t="s">
        <v>4587</v>
      </c>
      <c r="H608" s="12">
        <v>0.46</v>
      </c>
      <c r="I608" s="7" t="s">
        <v>2285</v>
      </c>
      <c r="J608" s="7" t="str" cm="1">
        <f t="array" ref="J60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08" s="7" t="s">
        <v>4768</v>
      </c>
    </row>
    <row r="609" spans="1:11">
      <c r="A609" s="7" t="s">
        <v>3546</v>
      </c>
      <c r="B609" s="11">
        <v>45268</v>
      </c>
      <c r="C609" s="7">
        <v>2023</v>
      </c>
      <c r="D609" s="7" t="s">
        <v>3547</v>
      </c>
      <c r="E609" s="7" t="s">
        <v>3548</v>
      </c>
      <c r="F609" s="7" t="s">
        <v>4601</v>
      </c>
      <c r="G609" s="7" t="s">
        <v>4587</v>
      </c>
      <c r="H609" s="12">
        <v>1.5</v>
      </c>
      <c r="I609" s="7" t="s">
        <v>3549</v>
      </c>
      <c r="J609" s="7" t="str" cm="1">
        <f t="array" ref="J609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09" s="7" t="s">
        <v>4743</v>
      </c>
    </row>
    <row r="610" spans="1:11">
      <c r="A610" s="7" t="s">
        <v>3550</v>
      </c>
      <c r="B610" s="11">
        <v>45271</v>
      </c>
      <c r="C610" s="7">
        <v>2023</v>
      </c>
      <c r="D610" s="7" t="s">
        <v>3551</v>
      </c>
      <c r="E610" s="7" t="s">
        <v>2254</v>
      </c>
      <c r="F610" s="7" t="s">
        <v>4598</v>
      </c>
      <c r="G610" s="7" t="s">
        <v>4580</v>
      </c>
      <c r="H610" s="12">
        <v>0.1</v>
      </c>
      <c r="I610" s="7" t="s">
        <v>2268</v>
      </c>
      <c r="J610" s="7" t="str" cm="1">
        <f t="array" ref="J61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10" s="7" t="s">
        <v>4768</v>
      </c>
    </row>
    <row r="611" spans="1:11">
      <c r="A611" s="7" t="s">
        <v>3552</v>
      </c>
      <c r="B611" s="11">
        <v>45273</v>
      </c>
      <c r="C611" s="7">
        <v>2023</v>
      </c>
      <c r="D611" s="7" t="s">
        <v>3553</v>
      </c>
      <c r="E611" s="7" t="s">
        <v>53</v>
      </c>
      <c r="F611" s="7" t="s">
        <v>4599</v>
      </c>
      <c r="G611" s="7" t="s">
        <v>4582</v>
      </c>
      <c r="H611" s="12">
        <v>0.36</v>
      </c>
      <c r="I611" s="7" t="s">
        <v>2288</v>
      </c>
      <c r="J611" s="7" t="str" cm="1">
        <f t="array" ref="J61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11" s="7" t="s">
        <v>4768</v>
      </c>
    </row>
    <row r="612" spans="1:11">
      <c r="A612" s="7" t="s">
        <v>3554</v>
      </c>
      <c r="B612" s="11">
        <v>45293</v>
      </c>
      <c r="C612" s="7">
        <v>2024</v>
      </c>
      <c r="D612" s="7" t="s">
        <v>3555</v>
      </c>
      <c r="E612" s="7" t="s">
        <v>23</v>
      </c>
      <c r="F612" s="7" t="s">
        <v>4599</v>
      </c>
      <c r="G612" s="7" t="s">
        <v>4578</v>
      </c>
      <c r="H612" s="12">
        <v>0.01</v>
      </c>
      <c r="I612" s="7" t="s">
        <v>2420</v>
      </c>
      <c r="J612" s="7" t="str" cm="1">
        <f t="array" ref="J61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12" s="7" t="s">
        <v>4768</v>
      </c>
    </row>
    <row r="613" spans="1:11">
      <c r="A613" s="7" t="s">
        <v>3556</v>
      </c>
      <c r="B613" s="11">
        <v>45294</v>
      </c>
      <c r="C613" s="7">
        <v>2024</v>
      </c>
      <c r="D613" s="7" t="s">
        <v>3557</v>
      </c>
      <c r="E613" s="7" t="s">
        <v>2297</v>
      </c>
      <c r="F613" s="7" t="s">
        <v>4600</v>
      </c>
      <c r="G613" s="7" t="s">
        <v>4580</v>
      </c>
      <c r="H613" s="12">
        <v>0.06</v>
      </c>
      <c r="I613" s="7" t="s">
        <v>2525</v>
      </c>
      <c r="J613" s="7" t="str" cm="1">
        <f t="array" ref="J61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13" s="7" t="s">
        <v>4768</v>
      </c>
    </row>
    <row r="614" spans="1:11">
      <c r="A614" s="7" t="s">
        <v>3558</v>
      </c>
      <c r="B614" s="11">
        <v>45301</v>
      </c>
      <c r="C614" s="7">
        <v>2024</v>
      </c>
      <c r="D614" s="7" t="s">
        <v>3559</v>
      </c>
      <c r="E614" s="7" t="s">
        <v>67</v>
      </c>
      <c r="F614" s="7" t="s">
        <v>4598</v>
      </c>
      <c r="G614" s="7" t="s">
        <v>4580</v>
      </c>
      <c r="H614" s="12">
        <v>0.05</v>
      </c>
      <c r="I614" s="7" t="s">
        <v>2268</v>
      </c>
      <c r="J614" s="7" t="str" cm="1">
        <f t="array" ref="J61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14" s="7" t="s">
        <v>4768</v>
      </c>
    </row>
    <row r="615" spans="1:11">
      <c r="A615" s="7" t="s">
        <v>3560</v>
      </c>
      <c r="B615" s="11">
        <v>45307</v>
      </c>
      <c r="C615" s="7">
        <v>2024</v>
      </c>
      <c r="D615" s="7" t="s">
        <v>2965</v>
      </c>
      <c r="E615" s="7" t="s">
        <v>2282</v>
      </c>
      <c r="F615" s="7" t="s">
        <v>4599</v>
      </c>
      <c r="G615" s="7" t="s">
        <v>4581</v>
      </c>
      <c r="H615" s="12">
        <v>0.06</v>
      </c>
      <c r="I615" s="7" t="s">
        <v>2553</v>
      </c>
      <c r="J615" s="7" t="str" cm="1">
        <f t="array" ref="J61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15" s="7" t="s">
        <v>4768</v>
      </c>
    </row>
    <row r="616" spans="1:11">
      <c r="A616" s="7" t="s">
        <v>3561</v>
      </c>
      <c r="B616" s="11">
        <v>45314</v>
      </c>
      <c r="C616" s="7">
        <v>2024</v>
      </c>
      <c r="D616" s="7" t="s">
        <v>3562</v>
      </c>
      <c r="E616" s="7" t="s">
        <v>2632</v>
      </c>
      <c r="F616" s="7" t="s">
        <v>4598</v>
      </c>
      <c r="G616" s="7" t="s">
        <v>4580</v>
      </c>
      <c r="H616" s="12">
        <v>1.49</v>
      </c>
      <c r="I616" s="7" t="s">
        <v>2268</v>
      </c>
      <c r="J616" s="7" t="str" cm="1">
        <f t="array" ref="J61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16" s="7" t="s">
        <v>4768</v>
      </c>
    </row>
    <row r="617" spans="1:11">
      <c r="A617" s="7" t="s">
        <v>3563</v>
      </c>
      <c r="B617" s="11">
        <v>45325</v>
      </c>
      <c r="C617" s="7">
        <v>2024</v>
      </c>
      <c r="D617" s="7" t="s">
        <v>3564</v>
      </c>
      <c r="E617" s="7" t="s">
        <v>23</v>
      </c>
      <c r="F617" s="7" t="s">
        <v>4598</v>
      </c>
      <c r="G617" s="7" t="s">
        <v>4578</v>
      </c>
      <c r="H617" s="12">
        <v>1.38</v>
      </c>
      <c r="I617" s="7" t="s">
        <v>2251</v>
      </c>
      <c r="J617" s="7" t="str" cm="1">
        <f t="array" ref="J61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17" s="7" t="s">
        <v>4768</v>
      </c>
    </row>
    <row r="618" spans="1:11">
      <c r="A618" s="7" t="s">
        <v>3565</v>
      </c>
      <c r="B618" s="11">
        <v>45331</v>
      </c>
      <c r="C618" s="7">
        <v>2024</v>
      </c>
      <c r="D618" s="7" t="s">
        <v>3566</v>
      </c>
      <c r="E618" s="7" t="s">
        <v>2278</v>
      </c>
      <c r="F618" s="7" t="s">
        <v>4598</v>
      </c>
      <c r="G618" s="7" t="s">
        <v>4580</v>
      </c>
      <c r="H618" s="12">
        <v>0.09</v>
      </c>
      <c r="I618" s="7" t="s">
        <v>2268</v>
      </c>
      <c r="J618" s="7" t="str" cm="1">
        <f t="array" ref="J61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18" s="7" t="s">
        <v>4768</v>
      </c>
    </row>
    <row r="619" spans="1:11">
      <c r="A619" s="7" t="s">
        <v>3567</v>
      </c>
      <c r="B619" s="11">
        <v>45341</v>
      </c>
      <c r="C619" s="7">
        <v>2024</v>
      </c>
      <c r="D619" s="7" t="s">
        <v>3568</v>
      </c>
      <c r="E619" s="7" t="s">
        <v>146</v>
      </c>
      <c r="F619" s="7" t="s">
        <v>4601</v>
      </c>
      <c r="G619" s="7" t="s">
        <v>4586</v>
      </c>
      <c r="H619" s="12">
        <v>0.24</v>
      </c>
      <c r="I619" s="7" t="s">
        <v>2443</v>
      </c>
      <c r="J619" s="7" t="str" cm="1">
        <f t="array" ref="J61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19" s="7" t="s">
        <v>4768</v>
      </c>
    </row>
    <row r="620" spans="1:11">
      <c r="A620" s="7" t="s">
        <v>3569</v>
      </c>
      <c r="B620" s="11">
        <v>45353</v>
      </c>
      <c r="C620" s="7">
        <v>2024</v>
      </c>
      <c r="D620" s="7" t="s">
        <v>3570</v>
      </c>
      <c r="E620" s="7" t="s">
        <v>2278</v>
      </c>
      <c r="F620" s="7" t="s">
        <v>4599</v>
      </c>
      <c r="G620" s="7" t="s">
        <v>4580</v>
      </c>
      <c r="H620" s="12">
        <v>0.06</v>
      </c>
      <c r="I620" s="7" t="s">
        <v>2261</v>
      </c>
      <c r="J620" s="7" t="str" cm="1">
        <f t="array" ref="J62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0" s="7" t="s">
        <v>4768</v>
      </c>
    </row>
    <row r="621" spans="1:11">
      <c r="A621" s="7" t="s">
        <v>3571</v>
      </c>
      <c r="B621" s="11">
        <v>45360</v>
      </c>
      <c r="C621" s="7">
        <v>2024</v>
      </c>
      <c r="D621" s="7" t="s">
        <v>2524</v>
      </c>
      <c r="E621" s="7" t="s">
        <v>23</v>
      </c>
      <c r="F621" s="7" t="s">
        <v>4598</v>
      </c>
      <c r="G621" s="7" t="s">
        <v>4580</v>
      </c>
      <c r="H621" s="12">
        <v>0.22</v>
      </c>
      <c r="I621" s="7" t="s">
        <v>2268</v>
      </c>
      <c r="J621" s="7" t="str" cm="1">
        <f t="array" ref="J62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1" s="7" t="s">
        <v>4768</v>
      </c>
    </row>
    <row r="622" spans="1:11">
      <c r="A622" s="7" t="s">
        <v>3572</v>
      </c>
      <c r="B622" s="11">
        <v>45368</v>
      </c>
      <c r="C622" s="7">
        <v>2024</v>
      </c>
      <c r="D622" s="7" t="s">
        <v>3573</v>
      </c>
      <c r="E622" s="7" t="s">
        <v>31</v>
      </c>
      <c r="F622" s="7" t="s">
        <v>4598</v>
      </c>
      <c r="G622" s="7" t="s">
        <v>4579</v>
      </c>
      <c r="H622" s="12">
        <v>0.14000000000000001</v>
      </c>
      <c r="I622" s="7" t="s">
        <v>2374</v>
      </c>
      <c r="J622" s="7" t="str" cm="1">
        <f t="array" ref="J62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2" s="7" t="s">
        <v>4768</v>
      </c>
    </row>
    <row r="623" spans="1:11">
      <c r="A623" s="7" t="s">
        <v>3574</v>
      </c>
      <c r="B623" s="11">
        <v>45383</v>
      </c>
      <c r="C623" s="7">
        <v>2024</v>
      </c>
      <c r="D623" s="7" t="s">
        <v>3575</v>
      </c>
      <c r="E623" s="7" t="s">
        <v>130</v>
      </c>
      <c r="F623" s="7" t="s">
        <v>4600</v>
      </c>
      <c r="G623" s="7" t="s">
        <v>4585</v>
      </c>
      <c r="H623" s="12">
        <v>7.0000000000000007E-2</v>
      </c>
      <c r="I623" s="7" t="s">
        <v>2820</v>
      </c>
      <c r="J623" s="7" t="str" cm="1">
        <f t="array" ref="J62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3" s="7" t="s">
        <v>4768</v>
      </c>
    </row>
    <row r="624" spans="1:11">
      <c r="A624" s="7" t="s">
        <v>3576</v>
      </c>
      <c r="B624" s="11">
        <v>45390</v>
      </c>
      <c r="C624" s="7">
        <v>2024</v>
      </c>
      <c r="D624" s="7" t="s">
        <v>3465</v>
      </c>
      <c r="E624" s="7" t="s">
        <v>1365</v>
      </c>
      <c r="F624" s="7" t="s">
        <v>4599</v>
      </c>
      <c r="G624" s="7" t="s">
        <v>4580</v>
      </c>
      <c r="H624" s="12">
        <v>7.0000000000000007E-2</v>
      </c>
      <c r="I624" s="7" t="s">
        <v>2261</v>
      </c>
      <c r="J624" s="7" t="str" cm="1">
        <f t="array" ref="J62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4" s="7" t="s">
        <v>4768</v>
      </c>
    </row>
    <row r="625" spans="1:11">
      <c r="A625" s="7" t="s">
        <v>3577</v>
      </c>
      <c r="B625" s="11">
        <v>45391</v>
      </c>
      <c r="C625" s="7">
        <v>2024</v>
      </c>
      <c r="D625" s="7" t="s">
        <v>3578</v>
      </c>
      <c r="E625" s="7" t="s">
        <v>2301</v>
      </c>
      <c r="F625" s="7" t="s">
        <v>4600</v>
      </c>
      <c r="G625" s="7" t="s">
        <v>4587</v>
      </c>
      <c r="H625" s="12">
        <v>0.16</v>
      </c>
      <c r="I625" s="7" t="s">
        <v>2593</v>
      </c>
      <c r="J625" s="7" t="str" cm="1">
        <f t="array" ref="J62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5" s="7" t="s">
        <v>4768</v>
      </c>
    </row>
    <row r="626" spans="1:11">
      <c r="A626" s="7" t="s">
        <v>3579</v>
      </c>
      <c r="B626" s="11">
        <v>45393</v>
      </c>
      <c r="C626" s="7">
        <v>2024</v>
      </c>
      <c r="D626" s="7" t="s">
        <v>2700</v>
      </c>
      <c r="E626" s="7" t="s">
        <v>23</v>
      </c>
      <c r="F626" s="7" t="s">
        <v>4598</v>
      </c>
      <c r="G626" s="7" t="s">
        <v>4578</v>
      </c>
      <c r="H626" s="12">
        <v>1.55</v>
      </c>
      <c r="I626" s="7" t="s">
        <v>2251</v>
      </c>
      <c r="J626" s="7" t="str" cm="1">
        <f t="array" ref="J62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26" s="7" t="s">
        <v>4768</v>
      </c>
    </row>
    <row r="627" spans="1:11">
      <c r="A627" s="7" t="s">
        <v>3580</v>
      </c>
      <c r="B627" s="11">
        <v>45395</v>
      </c>
      <c r="C627" s="7">
        <v>2024</v>
      </c>
      <c r="D627" s="7" t="s">
        <v>3581</v>
      </c>
      <c r="E627" s="7" t="s">
        <v>2440</v>
      </c>
      <c r="F627" s="7" t="s">
        <v>4601</v>
      </c>
      <c r="G627" s="7" t="s">
        <v>4580</v>
      </c>
      <c r="H627" s="12">
        <v>0.05</v>
      </c>
      <c r="I627" s="7" t="s">
        <v>2472</v>
      </c>
      <c r="J627" s="7" t="str" cm="1">
        <f t="array" ref="J62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7" s="7" t="s">
        <v>4768</v>
      </c>
    </row>
    <row r="628" spans="1:11">
      <c r="A628" s="7" t="s">
        <v>3582</v>
      </c>
      <c r="B628" s="11">
        <v>45397</v>
      </c>
      <c r="C628" s="7">
        <v>2024</v>
      </c>
      <c r="D628" s="7" t="s">
        <v>3583</v>
      </c>
      <c r="E628" s="7" t="s">
        <v>17</v>
      </c>
      <c r="F628" s="7" t="s">
        <v>4598</v>
      </c>
      <c r="G628" s="7" t="s">
        <v>4585</v>
      </c>
      <c r="H628" s="12">
        <v>0.48</v>
      </c>
      <c r="I628" s="7" t="s">
        <v>2316</v>
      </c>
      <c r="J628" s="7" t="str" cm="1">
        <f t="array" ref="J62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8" s="7" t="s">
        <v>4768</v>
      </c>
    </row>
    <row r="629" spans="1:11">
      <c r="A629" s="7" t="s">
        <v>3584</v>
      </c>
      <c r="B629" s="11">
        <v>45402</v>
      </c>
      <c r="C629" s="7">
        <v>2024</v>
      </c>
      <c r="D629" s="7" t="s">
        <v>3585</v>
      </c>
      <c r="E629" s="7" t="s">
        <v>1676</v>
      </c>
      <c r="F629" s="7" t="s">
        <v>4599</v>
      </c>
      <c r="G629" s="7" t="s">
        <v>4582</v>
      </c>
      <c r="H629" s="12">
        <v>0.03</v>
      </c>
      <c r="I629" s="7" t="s">
        <v>2288</v>
      </c>
      <c r="J629" s="7" t="str" cm="1">
        <f t="array" ref="J62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29" s="7" t="s">
        <v>4768</v>
      </c>
    </row>
    <row r="630" spans="1:11">
      <c r="A630" s="7" t="s">
        <v>3586</v>
      </c>
      <c r="B630" s="11">
        <v>45418</v>
      </c>
      <c r="C630" s="7">
        <v>2024</v>
      </c>
      <c r="D630" s="7" t="s">
        <v>3587</v>
      </c>
      <c r="E630" s="7" t="s">
        <v>2321</v>
      </c>
      <c r="F630" s="7" t="s">
        <v>4599</v>
      </c>
      <c r="G630" s="7" t="s">
        <v>4580</v>
      </c>
      <c r="H630" s="12">
        <v>0.16</v>
      </c>
      <c r="I630" s="7" t="s">
        <v>2261</v>
      </c>
      <c r="J630" s="7" t="str" cm="1">
        <f t="array" ref="J63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30" s="7" t="s">
        <v>4768</v>
      </c>
    </row>
    <row r="631" spans="1:11">
      <c r="A631" s="7" t="s">
        <v>3588</v>
      </c>
      <c r="B631" s="11">
        <v>45428</v>
      </c>
      <c r="C631" s="7">
        <v>2024</v>
      </c>
      <c r="D631" s="7" t="s">
        <v>3245</v>
      </c>
      <c r="E631" s="7" t="s">
        <v>1403</v>
      </c>
      <c r="F631" s="7" t="s">
        <v>4598</v>
      </c>
      <c r="G631" s="7" t="s">
        <v>4580</v>
      </c>
      <c r="H631" s="12">
        <v>0.17</v>
      </c>
      <c r="I631" s="7" t="s">
        <v>2268</v>
      </c>
      <c r="J631" s="7" t="str" cm="1">
        <f t="array" ref="J63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31" s="7" t="s">
        <v>4768</v>
      </c>
    </row>
    <row r="632" spans="1:11">
      <c r="A632" s="7" t="s">
        <v>3589</v>
      </c>
      <c r="B632" s="11">
        <v>45428</v>
      </c>
      <c r="C632" s="7">
        <v>2024</v>
      </c>
      <c r="D632" s="7" t="s">
        <v>3236</v>
      </c>
      <c r="E632" s="7" t="s">
        <v>2250</v>
      </c>
      <c r="F632" s="7" t="s">
        <v>4598</v>
      </c>
      <c r="G632" s="7" t="s">
        <v>4582</v>
      </c>
      <c r="H632" s="12">
        <v>0.28000000000000003</v>
      </c>
      <c r="I632" s="7" t="s">
        <v>2356</v>
      </c>
      <c r="J632" s="7" t="str" cm="1">
        <f t="array" ref="J63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32" s="7" t="s">
        <v>4768</v>
      </c>
    </row>
    <row r="633" spans="1:11">
      <c r="A633" s="7" t="s">
        <v>3590</v>
      </c>
      <c r="B633" s="11">
        <v>45430</v>
      </c>
      <c r="C633" s="7">
        <v>2024</v>
      </c>
      <c r="D633" s="7" t="s">
        <v>3591</v>
      </c>
      <c r="E633" s="7" t="s">
        <v>304</v>
      </c>
      <c r="F633" s="7" t="s">
        <v>4598</v>
      </c>
      <c r="G633" s="7" t="s">
        <v>4604</v>
      </c>
      <c r="H633" s="12">
        <v>0.68</v>
      </c>
      <c r="I633" s="7" t="s">
        <v>2330</v>
      </c>
      <c r="J633" s="7" t="str" cm="1">
        <f t="array" ref="J63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33" s="7" t="s">
        <v>4768</v>
      </c>
    </row>
    <row r="634" spans="1:11">
      <c r="A634" s="7" t="s">
        <v>3592</v>
      </c>
      <c r="B634" s="11">
        <v>45438</v>
      </c>
      <c r="C634" s="7">
        <v>2024</v>
      </c>
      <c r="D634" s="7" t="s">
        <v>3593</v>
      </c>
      <c r="E634" s="7" t="s">
        <v>1676</v>
      </c>
      <c r="F634" s="7" t="s">
        <v>4598</v>
      </c>
      <c r="G634" s="7" t="s">
        <v>4580</v>
      </c>
      <c r="H634" s="12">
        <v>8.6300000000000008</v>
      </c>
      <c r="I634" s="7" t="s">
        <v>2268</v>
      </c>
      <c r="J634" s="7" t="str" cm="1">
        <f t="array" ref="J634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634" s="7" t="s">
        <v>4768</v>
      </c>
    </row>
    <row r="635" spans="1:11">
      <c r="A635" s="7" t="s">
        <v>3594</v>
      </c>
      <c r="B635" s="11">
        <v>45448</v>
      </c>
      <c r="C635" s="7">
        <v>2024</v>
      </c>
      <c r="D635" s="7" t="s">
        <v>3595</v>
      </c>
      <c r="E635" s="7" t="s">
        <v>2264</v>
      </c>
      <c r="F635" s="7" t="s">
        <v>4599</v>
      </c>
      <c r="G635" s="7" t="s">
        <v>4582</v>
      </c>
      <c r="H635" s="12">
        <v>0.1</v>
      </c>
      <c r="I635" s="7" t="s">
        <v>2288</v>
      </c>
      <c r="J635" s="7" t="str" cm="1">
        <f t="array" ref="J63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35" s="7" t="s">
        <v>4768</v>
      </c>
    </row>
    <row r="636" spans="1:11">
      <c r="A636" s="7" t="s">
        <v>3596</v>
      </c>
      <c r="B636" s="11">
        <v>45469</v>
      </c>
      <c r="C636" s="7">
        <v>2024</v>
      </c>
      <c r="D636" s="7" t="s">
        <v>3597</v>
      </c>
      <c r="E636" s="7" t="s">
        <v>2297</v>
      </c>
      <c r="F636" s="7" t="s">
        <v>4599</v>
      </c>
      <c r="G636" s="7" t="s">
        <v>4586</v>
      </c>
      <c r="H636" s="12">
        <v>0.24</v>
      </c>
      <c r="I636" s="7" t="s">
        <v>2327</v>
      </c>
      <c r="J636" s="7" t="str" cm="1">
        <f t="array" ref="J63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36" s="7" t="s">
        <v>4768</v>
      </c>
    </row>
    <row r="637" spans="1:11">
      <c r="A637" s="7" t="s">
        <v>3598</v>
      </c>
      <c r="B637" s="11">
        <v>45475</v>
      </c>
      <c r="C637" s="7">
        <v>2024</v>
      </c>
      <c r="D637" s="7" t="s">
        <v>3599</v>
      </c>
      <c r="E637" s="7" t="s">
        <v>376</v>
      </c>
      <c r="F637" s="7" t="s">
        <v>4599</v>
      </c>
      <c r="G637" s="7" t="s">
        <v>4578</v>
      </c>
      <c r="H637" s="12">
        <v>2</v>
      </c>
      <c r="I637" s="7" t="s">
        <v>3600</v>
      </c>
      <c r="J637" s="7" t="str" cm="1">
        <f t="array" ref="J63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37" s="7" t="s">
        <v>4743</v>
      </c>
    </row>
    <row r="638" spans="1:11">
      <c r="A638" s="7" t="s">
        <v>3601</v>
      </c>
      <c r="B638" s="11">
        <v>45478</v>
      </c>
      <c r="C638" s="7">
        <v>2024</v>
      </c>
      <c r="D638" s="7" t="s">
        <v>3602</v>
      </c>
      <c r="E638" s="7" t="s">
        <v>125</v>
      </c>
      <c r="F638" s="7" t="s">
        <v>4598</v>
      </c>
      <c r="G638" s="7" t="s">
        <v>4580</v>
      </c>
      <c r="H638" s="12">
        <v>0.17</v>
      </c>
      <c r="I638" s="7" t="s">
        <v>2268</v>
      </c>
      <c r="J638" s="7" t="str" cm="1">
        <f t="array" ref="J63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38" s="7" t="s">
        <v>4768</v>
      </c>
    </row>
    <row r="639" spans="1:11">
      <c r="A639" s="7" t="s">
        <v>3603</v>
      </c>
      <c r="B639" s="11">
        <v>45492</v>
      </c>
      <c r="C639" s="7">
        <v>2024</v>
      </c>
      <c r="D639" s="7" t="s">
        <v>3604</v>
      </c>
      <c r="E639" s="7" t="s">
        <v>2301</v>
      </c>
      <c r="F639" s="7" t="s">
        <v>4599</v>
      </c>
      <c r="G639" s="7" t="s">
        <v>4580</v>
      </c>
      <c r="H639" s="12">
        <v>0.92</v>
      </c>
      <c r="I639" s="7" t="s">
        <v>2261</v>
      </c>
      <c r="J639" s="7" t="str" cm="1">
        <f t="array" ref="J63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39" s="7" t="s">
        <v>4768</v>
      </c>
    </row>
    <row r="640" spans="1:11">
      <c r="A640" s="7" t="s">
        <v>3605</v>
      </c>
      <c r="B640" s="11">
        <v>45510</v>
      </c>
      <c r="C640" s="7">
        <v>2024</v>
      </c>
      <c r="D640" s="7" t="s">
        <v>3606</v>
      </c>
      <c r="E640" s="7" t="s">
        <v>3607</v>
      </c>
      <c r="F640" s="7" t="s">
        <v>4598</v>
      </c>
      <c r="G640" s="7" t="s">
        <v>4580</v>
      </c>
      <c r="H640" s="12">
        <v>1</v>
      </c>
      <c r="I640" s="7" t="s">
        <v>3608</v>
      </c>
      <c r="J640" s="7" t="str" cm="1">
        <f t="array" ref="J640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40" s="7" t="s">
        <v>4743</v>
      </c>
    </row>
    <row r="641" spans="1:11">
      <c r="A641" s="7" t="s">
        <v>3609</v>
      </c>
      <c r="B641" s="11">
        <v>45511</v>
      </c>
      <c r="C641" s="7">
        <v>2024</v>
      </c>
      <c r="D641" s="7" t="s">
        <v>3610</v>
      </c>
      <c r="E641" s="7" t="s">
        <v>2632</v>
      </c>
      <c r="F641" s="7" t="s">
        <v>4598</v>
      </c>
      <c r="G641" s="7" t="s">
        <v>4587</v>
      </c>
      <c r="H641" s="12">
        <v>0.76</v>
      </c>
      <c r="I641" s="7" t="s">
        <v>2285</v>
      </c>
      <c r="J641" s="7" t="str" cm="1">
        <f t="array" ref="J64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41" s="7" t="s">
        <v>4768</v>
      </c>
    </row>
    <row r="642" spans="1:11">
      <c r="A642" s="7" t="s">
        <v>3611</v>
      </c>
      <c r="B642" s="11">
        <v>45517</v>
      </c>
      <c r="C642" s="7">
        <v>2024</v>
      </c>
      <c r="D642" s="7" t="s">
        <v>3612</v>
      </c>
      <c r="E642" s="7" t="s">
        <v>2282</v>
      </c>
      <c r="F642" s="7" t="s">
        <v>4599</v>
      </c>
      <c r="G642" s="7" t="s">
        <v>4587</v>
      </c>
      <c r="H642" s="12">
        <v>0.04</v>
      </c>
      <c r="I642" s="7" t="s">
        <v>2387</v>
      </c>
      <c r="J642" s="7" t="str" cm="1">
        <f t="array" ref="J64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42" s="7" t="s">
        <v>4768</v>
      </c>
    </row>
    <row r="643" spans="1:11">
      <c r="A643" s="7" t="s">
        <v>3613</v>
      </c>
      <c r="B643" s="11">
        <v>45521</v>
      </c>
      <c r="C643" s="7">
        <v>2024</v>
      </c>
      <c r="D643" s="7" t="s">
        <v>3614</v>
      </c>
      <c r="E643" s="7" t="s">
        <v>1610</v>
      </c>
      <c r="F643" s="7" t="s">
        <v>4598</v>
      </c>
      <c r="G643" s="7" t="s">
        <v>4580</v>
      </c>
      <c r="H643" s="12">
        <v>0.16</v>
      </c>
      <c r="I643" s="7" t="s">
        <v>2268</v>
      </c>
      <c r="J643" s="7" t="str" cm="1">
        <f t="array" ref="J64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43" s="7" t="s">
        <v>4768</v>
      </c>
    </row>
    <row r="644" spans="1:11">
      <c r="A644" s="7" t="s">
        <v>3615</v>
      </c>
      <c r="B644" s="11">
        <v>45523</v>
      </c>
      <c r="C644" s="7">
        <v>2024</v>
      </c>
      <c r="D644" s="7" t="s">
        <v>3616</v>
      </c>
      <c r="E644" s="7" t="s">
        <v>53</v>
      </c>
      <c r="F644" s="7" t="s">
        <v>4599</v>
      </c>
      <c r="G644" s="7" t="s">
        <v>4580</v>
      </c>
      <c r="H644" s="12">
        <v>3</v>
      </c>
      <c r="I644" s="7" t="s">
        <v>3617</v>
      </c>
      <c r="J644" s="7" t="str" cm="1">
        <f t="array" ref="J644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44" s="7" t="s">
        <v>4743</v>
      </c>
    </row>
    <row r="645" spans="1:11">
      <c r="A645" s="7" t="s">
        <v>3618</v>
      </c>
      <c r="B645" s="11">
        <v>45531</v>
      </c>
      <c r="C645" s="7">
        <v>2024</v>
      </c>
      <c r="D645" s="7" t="s">
        <v>3619</v>
      </c>
      <c r="E645" s="7" t="s">
        <v>215</v>
      </c>
      <c r="F645" s="7" t="s">
        <v>4598</v>
      </c>
      <c r="G645" s="7" t="s">
        <v>4580</v>
      </c>
      <c r="H645" s="12">
        <v>0.67</v>
      </c>
      <c r="I645" s="7" t="s">
        <v>2268</v>
      </c>
      <c r="J645" s="7" t="str" cm="1">
        <f t="array" ref="J64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45" s="7" t="s">
        <v>4768</v>
      </c>
    </row>
    <row r="646" spans="1:11">
      <c r="A646" s="7" t="s">
        <v>3620</v>
      </c>
      <c r="B646" s="11">
        <v>45536</v>
      </c>
      <c r="C646" s="7">
        <v>2024</v>
      </c>
      <c r="D646" s="7" t="s">
        <v>3621</v>
      </c>
      <c r="E646" s="7" t="s">
        <v>1676</v>
      </c>
      <c r="F646" s="7" t="s">
        <v>4599</v>
      </c>
      <c r="G646" s="7" t="s">
        <v>4585</v>
      </c>
      <c r="H646" s="12">
        <v>0.45</v>
      </c>
      <c r="I646" s="7" t="s">
        <v>2333</v>
      </c>
      <c r="J646" s="7" t="str" cm="1">
        <f t="array" ref="J64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46" s="7" t="s">
        <v>4768</v>
      </c>
    </row>
    <row r="647" spans="1:11">
      <c r="A647" s="7" t="s">
        <v>3622</v>
      </c>
      <c r="B647" s="11">
        <v>45547</v>
      </c>
      <c r="C647" s="7">
        <v>2024</v>
      </c>
      <c r="D647" s="7" t="s">
        <v>3623</v>
      </c>
      <c r="E647" s="7" t="s">
        <v>376</v>
      </c>
      <c r="F647" s="7" t="s">
        <v>4599</v>
      </c>
      <c r="G647" s="7" t="s">
        <v>4585</v>
      </c>
      <c r="H647" s="12">
        <v>2.5</v>
      </c>
      <c r="I647" s="7" t="s">
        <v>3624</v>
      </c>
      <c r="J647" s="7" t="str" cm="1">
        <f t="array" ref="J64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47" s="7" t="s">
        <v>4743</v>
      </c>
    </row>
    <row r="648" spans="1:11">
      <c r="A648" s="7" t="s">
        <v>3625</v>
      </c>
      <c r="B648" s="11">
        <v>45558</v>
      </c>
      <c r="C648" s="7">
        <v>2024</v>
      </c>
      <c r="D648" s="7" t="s">
        <v>3626</v>
      </c>
      <c r="E648" s="7" t="s">
        <v>9</v>
      </c>
      <c r="F648" s="7" t="s">
        <v>4598</v>
      </c>
      <c r="G648" s="7" t="s">
        <v>4578</v>
      </c>
      <c r="H648" s="12">
        <v>0.23</v>
      </c>
      <c r="I648" s="7" t="s">
        <v>2251</v>
      </c>
      <c r="J648" s="7" t="str" cm="1">
        <f t="array" ref="J64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48" s="7" t="s">
        <v>4768</v>
      </c>
    </row>
    <row r="649" spans="1:11">
      <c r="A649" s="7" t="s">
        <v>3627</v>
      </c>
      <c r="B649" s="11">
        <v>45558</v>
      </c>
      <c r="C649" s="7">
        <v>2024</v>
      </c>
      <c r="D649" s="7" t="s">
        <v>3628</v>
      </c>
      <c r="E649" s="7" t="s">
        <v>2257</v>
      </c>
      <c r="F649" s="7" t="s">
        <v>4599</v>
      </c>
      <c r="G649" s="7" t="s">
        <v>4580</v>
      </c>
      <c r="H649" s="12">
        <v>7.0000000000000007E-2</v>
      </c>
      <c r="I649" s="7" t="s">
        <v>2261</v>
      </c>
      <c r="J649" s="7" t="str" cm="1">
        <f t="array" ref="J64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49" s="7" t="s">
        <v>4768</v>
      </c>
    </row>
    <row r="650" spans="1:11">
      <c r="A650" s="7" t="s">
        <v>3629</v>
      </c>
      <c r="B650" s="11">
        <v>45558</v>
      </c>
      <c r="C650" s="7">
        <v>2024</v>
      </c>
      <c r="D650" s="7" t="s">
        <v>3630</v>
      </c>
      <c r="E650" s="7" t="s">
        <v>146</v>
      </c>
      <c r="F650" s="7" t="s">
        <v>4598</v>
      </c>
      <c r="G650" s="7" t="s">
        <v>4580</v>
      </c>
      <c r="H650" s="12">
        <v>0.24</v>
      </c>
      <c r="I650" s="7" t="s">
        <v>2268</v>
      </c>
      <c r="J650" s="7" t="str" cm="1">
        <f t="array" ref="J65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50" s="7" t="s">
        <v>4768</v>
      </c>
    </row>
    <row r="651" spans="1:11">
      <c r="A651" s="7" t="s">
        <v>3631</v>
      </c>
      <c r="B651" s="11">
        <v>45561</v>
      </c>
      <c r="C651" s="7">
        <v>2024</v>
      </c>
      <c r="D651" s="7" t="s">
        <v>3632</v>
      </c>
      <c r="E651" s="7" t="s">
        <v>42</v>
      </c>
      <c r="F651" s="7" t="s">
        <v>4598</v>
      </c>
      <c r="G651" s="7" t="s">
        <v>4578</v>
      </c>
      <c r="H651" s="12">
        <v>3</v>
      </c>
      <c r="I651" s="7" t="s">
        <v>3633</v>
      </c>
      <c r="J651" s="7" t="str" cm="1">
        <f t="array" ref="J65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51" s="7" t="s">
        <v>4743</v>
      </c>
    </row>
    <row r="652" spans="1:11">
      <c r="A652" s="7" t="s">
        <v>3634</v>
      </c>
      <c r="B652" s="11">
        <v>45561</v>
      </c>
      <c r="C652" s="7">
        <v>2024</v>
      </c>
      <c r="D652" s="7" t="s">
        <v>3635</v>
      </c>
      <c r="E652" s="7" t="s">
        <v>2632</v>
      </c>
      <c r="F652" s="7" t="s">
        <v>4598</v>
      </c>
      <c r="G652" s="7" t="s">
        <v>4580</v>
      </c>
      <c r="H652" s="12">
        <v>1.32</v>
      </c>
      <c r="I652" s="7" t="s">
        <v>2268</v>
      </c>
      <c r="J652" s="7" t="str" cm="1">
        <f t="array" ref="J65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52" s="7" t="s">
        <v>4768</v>
      </c>
    </row>
    <row r="653" spans="1:11">
      <c r="A653" s="7" t="s">
        <v>3636</v>
      </c>
      <c r="B653" s="11">
        <v>45569</v>
      </c>
      <c r="C653" s="7">
        <v>2024</v>
      </c>
      <c r="D653" s="7" t="s">
        <v>3637</v>
      </c>
      <c r="E653" s="7" t="s">
        <v>31</v>
      </c>
      <c r="F653" s="7" t="s">
        <v>4598</v>
      </c>
      <c r="G653" s="7" t="s">
        <v>4587</v>
      </c>
      <c r="H653" s="12">
        <v>0.01</v>
      </c>
      <c r="I653" s="7" t="s">
        <v>2285</v>
      </c>
      <c r="J653" s="7" t="str" cm="1">
        <f t="array" ref="J65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53" s="7" t="s">
        <v>4768</v>
      </c>
    </row>
    <row r="654" spans="1:11">
      <c r="A654" s="7" t="s">
        <v>3638</v>
      </c>
      <c r="B654" s="11">
        <v>45574</v>
      </c>
      <c r="C654" s="7">
        <v>2024</v>
      </c>
      <c r="D654" s="7" t="s">
        <v>3639</v>
      </c>
      <c r="E654" s="7" t="s">
        <v>2257</v>
      </c>
      <c r="F654" s="7" t="s">
        <v>4599</v>
      </c>
      <c r="G654" s="7" t="s">
        <v>4580</v>
      </c>
      <c r="H654" s="12">
        <v>0.15</v>
      </c>
      <c r="I654" s="7" t="s">
        <v>2261</v>
      </c>
      <c r="J654" s="7" t="str" cm="1">
        <f t="array" ref="J65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54" s="7" t="s">
        <v>4768</v>
      </c>
    </row>
    <row r="655" spans="1:11">
      <c r="A655" s="7" t="s">
        <v>3640</v>
      </c>
      <c r="B655" s="11">
        <v>45586</v>
      </c>
      <c r="C655" s="7">
        <v>2024</v>
      </c>
      <c r="D655" s="7" t="s">
        <v>3641</v>
      </c>
      <c r="E655" s="7" t="s">
        <v>2297</v>
      </c>
      <c r="F655" s="7" t="s">
        <v>4598</v>
      </c>
      <c r="G655" s="7" t="s">
        <v>4581</v>
      </c>
      <c r="H655" s="12">
        <v>0.14000000000000001</v>
      </c>
      <c r="I655" s="7" t="s">
        <v>2586</v>
      </c>
      <c r="J655" s="7" t="str" cm="1">
        <f t="array" ref="J65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55" s="7" t="s">
        <v>4768</v>
      </c>
    </row>
    <row r="656" spans="1:11">
      <c r="A656" s="7" t="s">
        <v>3642</v>
      </c>
      <c r="B656" s="11">
        <v>45590</v>
      </c>
      <c r="C656" s="7">
        <v>2024</v>
      </c>
      <c r="D656" s="7" t="s">
        <v>3643</v>
      </c>
      <c r="E656" s="7" t="s">
        <v>1610</v>
      </c>
      <c r="F656" s="7" t="s">
        <v>4599</v>
      </c>
      <c r="G656" s="7" t="s">
        <v>4583</v>
      </c>
      <c r="H656" s="12">
        <v>7.0000000000000007E-2</v>
      </c>
      <c r="I656" s="7" t="s">
        <v>2279</v>
      </c>
      <c r="J656" s="7" t="str" cm="1">
        <f t="array" ref="J65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56" s="7" t="s">
        <v>4768</v>
      </c>
    </row>
    <row r="657" spans="1:11">
      <c r="A657" s="7" t="s">
        <v>3644</v>
      </c>
      <c r="B657" s="11">
        <v>45606</v>
      </c>
      <c r="C657" s="7">
        <v>2024</v>
      </c>
      <c r="D657" s="7" t="s">
        <v>3645</v>
      </c>
      <c r="E657" s="7" t="s">
        <v>1676</v>
      </c>
      <c r="F657" s="7" t="s">
        <v>4602</v>
      </c>
      <c r="G657" s="7" t="s">
        <v>4580</v>
      </c>
      <c r="H657" s="12">
        <v>1.18</v>
      </c>
      <c r="I657" s="7" t="s">
        <v>2510</v>
      </c>
      <c r="J657" s="7" t="str" cm="1">
        <f t="array" ref="J65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57" s="7" t="s">
        <v>4768</v>
      </c>
    </row>
    <row r="658" spans="1:11">
      <c r="A658" s="7" t="s">
        <v>3646</v>
      </c>
      <c r="B658" s="11">
        <v>45620</v>
      </c>
      <c r="C658" s="7">
        <v>2024</v>
      </c>
      <c r="D658" s="7" t="s">
        <v>3647</v>
      </c>
      <c r="E658" s="7" t="s">
        <v>1608</v>
      </c>
      <c r="F658" s="7" t="s">
        <v>4598</v>
      </c>
      <c r="G658" s="7" t="s">
        <v>4582</v>
      </c>
      <c r="H658" s="12">
        <v>0.27</v>
      </c>
      <c r="I658" s="7" t="s">
        <v>2356</v>
      </c>
      <c r="J658" s="7" t="str" cm="1">
        <f t="array" ref="J65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58" s="7" t="s">
        <v>4768</v>
      </c>
    </row>
    <row r="659" spans="1:11">
      <c r="A659" s="7" t="s">
        <v>3648</v>
      </c>
      <c r="B659" s="11">
        <v>45632</v>
      </c>
      <c r="C659" s="7">
        <v>2024</v>
      </c>
      <c r="D659" s="7" t="s">
        <v>3649</v>
      </c>
      <c r="E659" s="7" t="s">
        <v>1676</v>
      </c>
      <c r="F659" s="7" t="s">
        <v>4599</v>
      </c>
      <c r="G659" s="7" t="s">
        <v>4580</v>
      </c>
      <c r="H659" s="12">
        <v>0.01</v>
      </c>
      <c r="I659" s="7" t="s">
        <v>2261</v>
      </c>
      <c r="J659" s="7" t="str" cm="1">
        <f t="array" ref="J65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59" s="7" t="s">
        <v>4768</v>
      </c>
    </row>
    <row r="660" spans="1:11">
      <c r="A660" s="7" t="s">
        <v>3650</v>
      </c>
      <c r="B660" s="11">
        <v>45633</v>
      </c>
      <c r="C660" s="7">
        <v>2024</v>
      </c>
      <c r="D660" s="7" t="s">
        <v>3651</v>
      </c>
      <c r="E660" s="7" t="s">
        <v>23</v>
      </c>
      <c r="F660" s="7" t="s">
        <v>4598</v>
      </c>
      <c r="G660" s="7" t="s">
        <v>4580</v>
      </c>
      <c r="H660" s="12">
        <v>0.27</v>
      </c>
      <c r="I660" s="7" t="s">
        <v>2268</v>
      </c>
      <c r="J660" s="7" t="str" cm="1">
        <f t="array" ref="J66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0" s="7" t="s">
        <v>4768</v>
      </c>
    </row>
    <row r="661" spans="1:11">
      <c r="A661" s="7" t="s">
        <v>3652</v>
      </c>
      <c r="B661" s="11">
        <v>45636</v>
      </c>
      <c r="C661" s="7">
        <v>2024</v>
      </c>
      <c r="D661" s="7" t="s">
        <v>3653</v>
      </c>
      <c r="E661" s="7" t="s">
        <v>53</v>
      </c>
      <c r="F661" s="7" t="s">
        <v>4598</v>
      </c>
      <c r="G661" s="7" t="s">
        <v>4581</v>
      </c>
      <c r="H661" s="12">
        <v>0.4</v>
      </c>
      <c r="I661" s="7" t="s">
        <v>2586</v>
      </c>
      <c r="J661" s="7" t="str" cm="1">
        <f t="array" ref="J66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1" s="7" t="s">
        <v>4768</v>
      </c>
    </row>
    <row r="662" spans="1:11">
      <c r="A662" s="7" t="s">
        <v>3654</v>
      </c>
      <c r="B662" s="11">
        <v>45641</v>
      </c>
      <c r="C662" s="7">
        <v>2024</v>
      </c>
      <c r="D662" s="7" t="s">
        <v>3655</v>
      </c>
      <c r="E662" s="7" t="s">
        <v>146</v>
      </c>
      <c r="F662" s="7" t="s">
        <v>4598</v>
      </c>
      <c r="G662" s="7" t="s">
        <v>4581</v>
      </c>
      <c r="H662" s="12">
        <v>0.94</v>
      </c>
      <c r="I662" s="7" t="s">
        <v>2586</v>
      </c>
      <c r="J662" s="7" t="str" cm="1">
        <f t="array" ref="J66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2" s="7" t="s">
        <v>4768</v>
      </c>
    </row>
    <row r="663" spans="1:11">
      <c r="A663" s="7" t="s">
        <v>3656</v>
      </c>
      <c r="B663" s="11">
        <v>45643</v>
      </c>
      <c r="C663" s="7">
        <v>2024</v>
      </c>
      <c r="D663" s="7" t="s">
        <v>3657</v>
      </c>
      <c r="E663" s="7" t="s">
        <v>304</v>
      </c>
      <c r="F663" s="7" t="s">
        <v>4598</v>
      </c>
      <c r="G663" s="7" t="s">
        <v>4582</v>
      </c>
      <c r="H663" s="12">
        <v>0.08</v>
      </c>
      <c r="I663" s="7" t="s">
        <v>2356</v>
      </c>
      <c r="J663" s="7" t="str" cm="1">
        <f t="array" ref="J66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3" s="7" t="s">
        <v>4768</v>
      </c>
    </row>
    <row r="664" spans="1:11">
      <c r="A664" s="7" t="s">
        <v>3658</v>
      </c>
      <c r="B664" s="11">
        <v>45643</v>
      </c>
      <c r="C664" s="7">
        <v>2024</v>
      </c>
      <c r="D664" s="7" t="s">
        <v>3659</v>
      </c>
      <c r="E664" s="7" t="s">
        <v>2301</v>
      </c>
      <c r="F664" s="7" t="s">
        <v>4598</v>
      </c>
      <c r="G664" s="7" t="s">
        <v>4583</v>
      </c>
      <c r="H664" s="12">
        <v>0.02</v>
      </c>
      <c r="I664" s="7" t="s">
        <v>2363</v>
      </c>
      <c r="J664" s="7" t="str" cm="1">
        <f t="array" ref="J66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4" s="7" t="s">
        <v>4768</v>
      </c>
    </row>
    <row r="665" spans="1:11">
      <c r="A665" s="7" t="s">
        <v>3660</v>
      </c>
      <c r="B665" s="11">
        <v>45646</v>
      </c>
      <c r="C665" s="7">
        <v>2024</v>
      </c>
      <c r="D665" s="7" t="s">
        <v>3661</v>
      </c>
      <c r="E665" s="7" t="s">
        <v>2293</v>
      </c>
      <c r="F665" s="7" t="s">
        <v>4599</v>
      </c>
      <c r="G665" s="7" t="s">
        <v>4580</v>
      </c>
      <c r="H665" s="12">
        <v>0.01</v>
      </c>
      <c r="I665" s="7" t="s">
        <v>2261</v>
      </c>
      <c r="J665" s="7" t="str" cm="1">
        <f t="array" ref="J66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5" s="7" t="s">
        <v>4768</v>
      </c>
    </row>
    <row r="666" spans="1:11">
      <c r="A666" s="7" t="s">
        <v>3662</v>
      </c>
      <c r="B666" s="11">
        <v>45647</v>
      </c>
      <c r="C666" s="7">
        <v>2024</v>
      </c>
      <c r="D666" s="7" t="s">
        <v>3663</v>
      </c>
      <c r="E666" s="7" t="s">
        <v>53</v>
      </c>
      <c r="F666" s="7" t="s">
        <v>4598</v>
      </c>
      <c r="G666" s="7" t="s">
        <v>4580</v>
      </c>
      <c r="H666" s="12">
        <v>0.02</v>
      </c>
      <c r="I666" s="7" t="s">
        <v>2268</v>
      </c>
      <c r="J666" s="7" t="str" cm="1">
        <f t="array" ref="J66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6" s="7" t="s">
        <v>4768</v>
      </c>
    </row>
    <row r="667" spans="1:11">
      <c r="A667" s="7" t="s">
        <v>3664</v>
      </c>
      <c r="B667" s="11">
        <v>45663</v>
      </c>
      <c r="C667" s="7">
        <v>2025</v>
      </c>
      <c r="D667" s="7" t="s">
        <v>3665</v>
      </c>
      <c r="E667" s="7" t="s">
        <v>2257</v>
      </c>
      <c r="F667" s="7" t="s">
        <v>4598</v>
      </c>
      <c r="G667" s="7" t="s">
        <v>4581</v>
      </c>
      <c r="H667" s="12">
        <v>0.03</v>
      </c>
      <c r="I667" s="7" t="s">
        <v>2586</v>
      </c>
      <c r="J667" s="7" t="str" cm="1">
        <f t="array" ref="J66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7" s="7" t="s">
        <v>4768</v>
      </c>
    </row>
    <row r="668" spans="1:11">
      <c r="A668" s="7" t="s">
        <v>3666</v>
      </c>
      <c r="B668" s="11">
        <v>45665</v>
      </c>
      <c r="C668" s="7">
        <v>2025</v>
      </c>
      <c r="D668" s="7" t="s">
        <v>3667</v>
      </c>
      <c r="E668" s="7" t="s">
        <v>1610</v>
      </c>
      <c r="F668" s="7" t="s">
        <v>4599</v>
      </c>
      <c r="G668" s="7" t="s">
        <v>4578</v>
      </c>
      <c r="H668" s="12">
        <v>0.61</v>
      </c>
      <c r="I668" s="7" t="s">
        <v>2420</v>
      </c>
      <c r="J668" s="7" t="str" cm="1">
        <f t="array" ref="J66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8" s="7" t="s">
        <v>4768</v>
      </c>
    </row>
    <row r="669" spans="1:11">
      <c r="A669" s="7" t="s">
        <v>3668</v>
      </c>
      <c r="B669" s="11">
        <v>45668</v>
      </c>
      <c r="C669" s="7">
        <v>2025</v>
      </c>
      <c r="D669" s="7" t="s">
        <v>3669</v>
      </c>
      <c r="E669" s="7" t="s">
        <v>1403</v>
      </c>
      <c r="F669" s="7" t="s">
        <v>4598</v>
      </c>
      <c r="G669" s="7" t="s">
        <v>4585</v>
      </c>
      <c r="H669" s="12">
        <v>0.11</v>
      </c>
      <c r="I669" s="7" t="s">
        <v>2316</v>
      </c>
      <c r="J669" s="7" t="str" cm="1">
        <f t="array" ref="J66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69" s="7" t="s">
        <v>4768</v>
      </c>
    </row>
    <row r="670" spans="1:11">
      <c r="A670" s="7" t="s">
        <v>3670</v>
      </c>
      <c r="B670" s="11">
        <v>45669</v>
      </c>
      <c r="C670" s="7">
        <v>2025</v>
      </c>
      <c r="D670" s="7" t="s">
        <v>3671</v>
      </c>
      <c r="E670" s="7" t="s">
        <v>2321</v>
      </c>
      <c r="F670" s="7" t="s">
        <v>4598</v>
      </c>
      <c r="G670" s="7" t="s">
        <v>4581</v>
      </c>
      <c r="H670" s="12">
        <v>0.04</v>
      </c>
      <c r="I670" s="7" t="s">
        <v>2586</v>
      </c>
      <c r="J670" s="7" t="str" cm="1">
        <f t="array" ref="J67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70" s="7" t="s">
        <v>4768</v>
      </c>
    </row>
    <row r="671" spans="1:11">
      <c r="A671" s="7" t="s">
        <v>3672</v>
      </c>
      <c r="B671" s="11">
        <v>45674</v>
      </c>
      <c r="C671" s="7">
        <v>2025</v>
      </c>
      <c r="D671" s="7" t="s">
        <v>3673</v>
      </c>
      <c r="E671" s="7" t="s">
        <v>3674</v>
      </c>
      <c r="F671" s="7" t="s">
        <v>4599</v>
      </c>
      <c r="G671" s="7" t="s">
        <v>4580</v>
      </c>
      <c r="H671" s="12">
        <v>3</v>
      </c>
      <c r="I671" s="7" t="s">
        <v>3675</v>
      </c>
      <c r="J671" s="7" t="str" cm="1">
        <f t="array" ref="J67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71" s="7" t="s">
        <v>4743</v>
      </c>
    </row>
    <row r="672" spans="1:11">
      <c r="A672" s="7" t="s">
        <v>3676</v>
      </c>
      <c r="B672" s="11">
        <v>45683</v>
      </c>
      <c r="C672" s="7">
        <v>2025</v>
      </c>
      <c r="D672" s="7" t="s">
        <v>3677</v>
      </c>
      <c r="E672" s="7" t="s">
        <v>2324</v>
      </c>
      <c r="F672" s="7" t="s">
        <v>4598</v>
      </c>
      <c r="G672" s="7" t="s">
        <v>4580</v>
      </c>
      <c r="H672" s="12">
        <v>2.44</v>
      </c>
      <c r="I672" s="7" t="s">
        <v>2268</v>
      </c>
      <c r="J672" s="7" t="str" cm="1">
        <f t="array" ref="J67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72" s="7" t="s">
        <v>4768</v>
      </c>
    </row>
    <row r="673" spans="1:11">
      <c r="A673" s="7" t="s">
        <v>3678</v>
      </c>
      <c r="B673" s="11">
        <v>45690</v>
      </c>
      <c r="C673" s="7">
        <v>2025</v>
      </c>
      <c r="D673" s="7" t="s">
        <v>3679</v>
      </c>
      <c r="E673" s="7" t="s">
        <v>130</v>
      </c>
      <c r="F673" s="7" t="s">
        <v>4598</v>
      </c>
      <c r="G673" s="7" t="s">
        <v>4581</v>
      </c>
      <c r="H673" s="12">
        <v>0.39</v>
      </c>
      <c r="I673" s="7" t="s">
        <v>2586</v>
      </c>
      <c r="J673" s="7" t="str" cm="1">
        <f t="array" ref="J67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73" s="7" t="s">
        <v>4768</v>
      </c>
    </row>
    <row r="674" spans="1:11">
      <c r="A674" s="7" t="s">
        <v>3680</v>
      </c>
      <c r="B674" s="11">
        <v>45710</v>
      </c>
      <c r="C674" s="7">
        <v>2025</v>
      </c>
      <c r="D674" s="7" t="s">
        <v>3681</v>
      </c>
      <c r="E674" s="7" t="s">
        <v>23</v>
      </c>
      <c r="F674" s="7" t="s">
        <v>4598</v>
      </c>
      <c r="G674" s="7" t="s">
        <v>4580</v>
      </c>
      <c r="H674" s="12">
        <v>7.0000000000000007E-2</v>
      </c>
      <c r="I674" s="7" t="s">
        <v>2268</v>
      </c>
      <c r="J674" s="7" t="str" cm="1">
        <f t="array" ref="J67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74" s="7" t="s">
        <v>4768</v>
      </c>
    </row>
    <row r="675" spans="1:11">
      <c r="A675" s="7" t="s">
        <v>3682</v>
      </c>
      <c r="B675" s="11">
        <v>45714</v>
      </c>
      <c r="C675" s="7">
        <v>2025</v>
      </c>
      <c r="D675" s="7" t="s">
        <v>2999</v>
      </c>
      <c r="E675" s="7" t="s">
        <v>304</v>
      </c>
      <c r="F675" s="7" t="s">
        <v>4598</v>
      </c>
      <c r="G675" s="7" t="s">
        <v>4580</v>
      </c>
      <c r="H675" s="12">
        <v>0.06</v>
      </c>
      <c r="I675" s="7" t="s">
        <v>2268</v>
      </c>
      <c r="J675" s="7" t="str" cm="1">
        <f t="array" ref="J67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75" s="7" t="s">
        <v>4768</v>
      </c>
    </row>
    <row r="676" spans="1:11">
      <c r="A676" s="7" t="s">
        <v>3683</v>
      </c>
      <c r="B676" s="11">
        <v>45728</v>
      </c>
      <c r="C676" s="7">
        <v>2025</v>
      </c>
      <c r="D676" s="7" t="s">
        <v>3684</v>
      </c>
      <c r="E676" s="7" t="s">
        <v>2267</v>
      </c>
      <c r="F676" s="7" t="s">
        <v>4598</v>
      </c>
      <c r="G676" s="7" t="s">
        <v>4581</v>
      </c>
      <c r="H676" s="12">
        <v>1.85</v>
      </c>
      <c r="I676" s="7" t="s">
        <v>2586</v>
      </c>
      <c r="J676" s="7" t="str" cm="1">
        <f t="array" ref="J67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76" s="7" t="s">
        <v>4768</v>
      </c>
    </row>
    <row r="677" spans="1:11">
      <c r="A677" s="7" t="s">
        <v>3685</v>
      </c>
      <c r="B677" s="11">
        <v>45731</v>
      </c>
      <c r="C677" s="7">
        <v>2025</v>
      </c>
      <c r="D677" s="7" t="s">
        <v>3686</v>
      </c>
      <c r="E677" s="7" t="s">
        <v>125</v>
      </c>
      <c r="F677" s="7" t="s">
        <v>4599</v>
      </c>
      <c r="G677" s="7" t="s">
        <v>4587</v>
      </c>
      <c r="H677" s="12">
        <v>0.5</v>
      </c>
      <c r="I677" s="7" t="s">
        <v>2387</v>
      </c>
      <c r="J677" s="7" t="str" cm="1">
        <f t="array" ref="J67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77" s="7" t="s">
        <v>4768</v>
      </c>
    </row>
    <row r="678" spans="1:11">
      <c r="A678" s="7" t="s">
        <v>3687</v>
      </c>
      <c r="B678" s="11">
        <v>45743</v>
      </c>
      <c r="C678" s="7">
        <v>2025</v>
      </c>
      <c r="D678" s="7" t="s">
        <v>3688</v>
      </c>
      <c r="E678" s="7" t="s">
        <v>1610</v>
      </c>
      <c r="F678" s="7" t="s">
        <v>4598</v>
      </c>
      <c r="G678" s="7" t="s">
        <v>4580</v>
      </c>
      <c r="H678" s="12">
        <v>0.02</v>
      </c>
      <c r="I678" s="7" t="s">
        <v>2268</v>
      </c>
      <c r="J678" s="7" t="str" cm="1">
        <f t="array" ref="J67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78" s="7" t="s">
        <v>4768</v>
      </c>
    </row>
    <row r="679" spans="1:11">
      <c r="A679" s="7" t="s">
        <v>3689</v>
      </c>
      <c r="B679" s="11">
        <v>45752</v>
      </c>
      <c r="C679" s="7">
        <v>2025</v>
      </c>
      <c r="D679" s="7" t="s">
        <v>3690</v>
      </c>
      <c r="E679" s="7" t="s">
        <v>146</v>
      </c>
      <c r="F679" s="7" t="s">
        <v>4598</v>
      </c>
      <c r="G679" s="7" t="s">
        <v>4583</v>
      </c>
      <c r="H679" s="12">
        <v>0.03</v>
      </c>
      <c r="I679" s="7" t="s">
        <v>2363</v>
      </c>
      <c r="J679" s="7" t="str" cm="1">
        <f t="array" ref="J67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79" s="7" t="s">
        <v>4768</v>
      </c>
    </row>
    <row r="680" spans="1:11">
      <c r="A680" s="7" t="s">
        <v>3691</v>
      </c>
      <c r="B680" s="11">
        <v>45756</v>
      </c>
      <c r="C680" s="7">
        <v>2025</v>
      </c>
      <c r="D680" s="7" t="s">
        <v>3692</v>
      </c>
      <c r="E680" s="7" t="s">
        <v>53</v>
      </c>
      <c r="F680" s="7" t="s">
        <v>4599</v>
      </c>
      <c r="G680" s="7" t="s">
        <v>4580</v>
      </c>
      <c r="H680" s="12">
        <v>0.01</v>
      </c>
      <c r="I680" s="7" t="s">
        <v>2261</v>
      </c>
      <c r="J680" s="7" t="str" cm="1">
        <f t="array" ref="J68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80" s="7" t="s">
        <v>4768</v>
      </c>
    </row>
    <row r="681" spans="1:11">
      <c r="A681" s="7" t="s">
        <v>3693</v>
      </c>
      <c r="B681" s="11">
        <v>45757</v>
      </c>
      <c r="C681" s="7">
        <v>2025</v>
      </c>
      <c r="D681" s="7" t="s">
        <v>3694</v>
      </c>
      <c r="E681" s="7" t="s">
        <v>2267</v>
      </c>
      <c r="F681" s="7" t="s">
        <v>4599</v>
      </c>
      <c r="G681" s="7" t="s">
        <v>4580</v>
      </c>
      <c r="H681" s="12">
        <v>7.0000000000000007E-2</v>
      </c>
      <c r="I681" s="7" t="s">
        <v>2261</v>
      </c>
      <c r="J681" s="7" t="str" cm="1">
        <f t="array" ref="J68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81" s="7" t="s">
        <v>4768</v>
      </c>
    </row>
    <row r="682" spans="1:11">
      <c r="A682" s="7" t="s">
        <v>3695</v>
      </c>
      <c r="B682" s="11">
        <v>45768</v>
      </c>
      <c r="C682" s="7">
        <v>2025</v>
      </c>
      <c r="D682" s="7" t="s">
        <v>3696</v>
      </c>
      <c r="E682" s="7" t="s">
        <v>1676</v>
      </c>
      <c r="F682" s="7" t="s">
        <v>4602</v>
      </c>
      <c r="G682" s="7" t="s">
        <v>4582</v>
      </c>
      <c r="H682" s="12">
        <v>0.04</v>
      </c>
      <c r="I682" s="7" t="s">
        <v>3090</v>
      </c>
      <c r="J682" s="7" t="str" cm="1">
        <f t="array" ref="J68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82" s="7" t="s">
        <v>4768</v>
      </c>
    </row>
    <row r="683" spans="1:11">
      <c r="A683" s="7" t="s">
        <v>3697</v>
      </c>
      <c r="B683" s="11">
        <v>45773</v>
      </c>
      <c r="C683" s="7">
        <v>2025</v>
      </c>
      <c r="D683" s="7" t="s">
        <v>3698</v>
      </c>
      <c r="E683" s="7" t="s">
        <v>2278</v>
      </c>
      <c r="F683" s="7" t="s">
        <v>4598</v>
      </c>
      <c r="G683" s="7" t="s">
        <v>4585</v>
      </c>
      <c r="H683" s="12">
        <v>0.85</v>
      </c>
      <c r="I683" s="7" t="s">
        <v>2316</v>
      </c>
      <c r="J683" s="7" t="str" cm="1">
        <f t="array" ref="J68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83" s="7" t="s">
        <v>4768</v>
      </c>
    </row>
    <row r="684" spans="1:11">
      <c r="A684" s="7" t="s">
        <v>3699</v>
      </c>
      <c r="B684" s="11">
        <v>45779</v>
      </c>
      <c r="C684" s="7">
        <v>2025</v>
      </c>
      <c r="D684" s="7" t="s">
        <v>3700</v>
      </c>
      <c r="E684" s="7" t="s">
        <v>67</v>
      </c>
      <c r="F684" s="7" t="s">
        <v>4600</v>
      </c>
      <c r="G684" s="7" t="s">
        <v>4586</v>
      </c>
      <c r="H684" s="12">
        <v>0.36</v>
      </c>
      <c r="I684" s="7" t="s">
        <v>3701</v>
      </c>
      <c r="J684" s="7" t="str" cm="1">
        <f t="array" ref="J68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84" s="7" t="s">
        <v>4768</v>
      </c>
    </row>
    <row r="685" spans="1:11">
      <c r="A685" s="7" t="s">
        <v>3702</v>
      </c>
      <c r="B685" s="11">
        <v>45801</v>
      </c>
      <c r="C685" s="7">
        <v>2025</v>
      </c>
      <c r="D685" s="7" t="s">
        <v>3508</v>
      </c>
      <c r="E685" s="7" t="s">
        <v>2275</v>
      </c>
      <c r="F685" s="7" t="s">
        <v>4598</v>
      </c>
      <c r="G685" s="7" t="s">
        <v>4580</v>
      </c>
      <c r="H685" s="12">
        <v>0.01</v>
      </c>
      <c r="I685" s="7" t="s">
        <v>2268</v>
      </c>
      <c r="J685" s="7" t="str" cm="1">
        <f t="array" ref="J68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85" s="7" t="s">
        <v>4768</v>
      </c>
    </row>
    <row r="686" spans="1:11">
      <c r="A686" s="7" t="s">
        <v>3703</v>
      </c>
      <c r="B686" s="11">
        <v>45816</v>
      </c>
      <c r="C686" s="7">
        <v>2025</v>
      </c>
      <c r="D686" s="7" t="s">
        <v>3704</v>
      </c>
      <c r="E686" s="7" t="s">
        <v>1610</v>
      </c>
      <c r="F686" s="7" t="s">
        <v>4598</v>
      </c>
      <c r="G686" s="7" t="s">
        <v>4587</v>
      </c>
      <c r="H686" s="12">
        <v>0.23</v>
      </c>
      <c r="I686" s="7" t="s">
        <v>2285</v>
      </c>
      <c r="J686" s="7" t="str" cm="1">
        <f t="array" ref="J68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86" s="7" t="s">
        <v>4768</v>
      </c>
    </row>
    <row r="687" spans="1:11">
      <c r="A687" s="7" t="s">
        <v>3705</v>
      </c>
      <c r="B687" s="11">
        <v>45818</v>
      </c>
      <c r="C687" s="7">
        <v>2025</v>
      </c>
      <c r="D687" s="7" t="s">
        <v>3706</v>
      </c>
      <c r="E687" s="7" t="s">
        <v>9</v>
      </c>
      <c r="F687" s="7" t="s">
        <v>4601</v>
      </c>
      <c r="G687" s="7" t="s">
        <v>4580</v>
      </c>
      <c r="H687" s="12">
        <v>2.2599999999999998</v>
      </c>
      <c r="I687" s="7" t="s">
        <v>2472</v>
      </c>
      <c r="J687" s="7" t="str" cm="1">
        <f t="array" ref="J687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687" s="7" t="s">
        <v>4768</v>
      </c>
    </row>
    <row r="688" spans="1:11">
      <c r="A688" s="7" t="s">
        <v>3707</v>
      </c>
      <c r="B688" s="11">
        <v>45823</v>
      </c>
      <c r="C688" s="7">
        <v>2025</v>
      </c>
      <c r="D688" s="7" t="s">
        <v>3708</v>
      </c>
      <c r="E688" s="7" t="s">
        <v>376</v>
      </c>
      <c r="F688" s="7" t="s">
        <v>4598</v>
      </c>
      <c r="G688" s="7" t="s">
        <v>4579</v>
      </c>
      <c r="H688" s="12">
        <v>6</v>
      </c>
      <c r="I688" s="7" t="s">
        <v>3709</v>
      </c>
      <c r="J688" s="7" t="str" cm="1">
        <f t="array" ref="J688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688" s="7" t="s">
        <v>4743</v>
      </c>
    </row>
    <row r="689" spans="1:11">
      <c r="A689" s="7" t="s">
        <v>3710</v>
      </c>
      <c r="B689" s="11">
        <v>45827</v>
      </c>
      <c r="C689" s="7">
        <v>2025</v>
      </c>
      <c r="D689" s="7" t="s">
        <v>3711</v>
      </c>
      <c r="E689" s="7" t="s">
        <v>1365</v>
      </c>
      <c r="F689" s="7" t="s">
        <v>4598</v>
      </c>
      <c r="G689" s="7" t="s">
        <v>4582</v>
      </c>
      <c r="H689" s="12">
        <v>0.03</v>
      </c>
      <c r="I689" s="7" t="s">
        <v>2356</v>
      </c>
      <c r="J689" s="7" t="str" cm="1">
        <f t="array" ref="J68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89" s="7" t="s">
        <v>4768</v>
      </c>
    </row>
    <row r="690" spans="1:11">
      <c r="A690" s="7" t="s">
        <v>3712</v>
      </c>
      <c r="B690" s="11">
        <v>45831</v>
      </c>
      <c r="C690" s="7">
        <v>2025</v>
      </c>
      <c r="D690" s="7" t="s">
        <v>3713</v>
      </c>
      <c r="E690" s="7" t="s">
        <v>2257</v>
      </c>
      <c r="F690" s="7" t="s">
        <v>4598</v>
      </c>
      <c r="G690" s="7" t="s">
        <v>4578</v>
      </c>
      <c r="H690" s="12">
        <v>0.34</v>
      </c>
      <c r="I690" s="7" t="s">
        <v>2251</v>
      </c>
      <c r="J690" s="7" t="str" cm="1">
        <f t="array" ref="J69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0" s="7" t="s">
        <v>4768</v>
      </c>
    </row>
    <row r="691" spans="1:11">
      <c r="A691" s="7" t="s">
        <v>3714</v>
      </c>
      <c r="B691" s="11">
        <v>45832</v>
      </c>
      <c r="C691" s="7">
        <v>2025</v>
      </c>
      <c r="D691" s="7" t="s">
        <v>3715</v>
      </c>
      <c r="E691" s="7" t="s">
        <v>146</v>
      </c>
      <c r="F691" s="7" t="s">
        <v>4601</v>
      </c>
      <c r="G691" s="7" t="s">
        <v>4580</v>
      </c>
      <c r="H691" s="12">
        <v>0.2</v>
      </c>
      <c r="I691" s="7" t="s">
        <v>2472</v>
      </c>
      <c r="J691" s="7" t="str" cm="1">
        <f t="array" ref="J69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1" s="7" t="s">
        <v>4768</v>
      </c>
    </row>
    <row r="692" spans="1:11">
      <c r="A692" s="7" t="s">
        <v>3716</v>
      </c>
      <c r="B692" s="11">
        <v>45846</v>
      </c>
      <c r="C692" s="7">
        <v>2025</v>
      </c>
      <c r="D692" s="7" t="s">
        <v>3717</v>
      </c>
      <c r="E692" s="7" t="s">
        <v>125</v>
      </c>
      <c r="F692" s="7" t="s">
        <v>4598</v>
      </c>
      <c r="G692" s="7" t="s">
        <v>4579</v>
      </c>
      <c r="H692" s="12">
        <v>0.48</v>
      </c>
      <c r="I692" s="7" t="s">
        <v>2374</v>
      </c>
      <c r="J692" s="7" t="str" cm="1">
        <f t="array" ref="J69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2" s="7" t="s">
        <v>4768</v>
      </c>
    </row>
    <row r="693" spans="1:11">
      <c r="A693" s="7" t="s">
        <v>3718</v>
      </c>
      <c r="B693" s="11">
        <v>45846</v>
      </c>
      <c r="C693" s="7">
        <v>2025</v>
      </c>
      <c r="D693" s="7" t="s">
        <v>3719</v>
      </c>
      <c r="E693" s="7" t="s">
        <v>2324</v>
      </c>
      <c r="F693" s="7" t="s">
        <v>4599</v>
      </c>
      <c r="G693" s="7" t="s">
        <v>4605</v>
      </c>
      <c r="H693" s="12">
        <v>0.14000000000000001</v>
      </c>
      <c r="I693" s="7" t="s">
        <v>2458</v>
      </c>
      <c r="J693" s="7" t="str" cm="1">
        <f t="array" ref="J69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3" s="7" t="s">
        <v>4768</v>
      </c>
    </row>
    <row r="694" spans="1:11">
      <c r="A694" s="7" t="s">
        <v>3720</v>
      </c>
      <c r="B694" s="11">
        <v>45850</v>
      </c>
      <c r="C694" s="7">
        <v>2025</v>
      </c>
      <c r="D694" s="7" t="s">
        <v>3721</v>
      </c>
      <c r="E694" s="7" t="s">
        <v>1365</v>
      </c>
      <c r="F694" s="7" t="s">
        <v>4598</v>
      </c>
      <c r="G694" s="7" t="s">
        <v>4581</v>
      </c>
      <c r="H694" s="12">
        <v>0.09</v>
      </c>
      <c r="I694" s="7" t="s">
        <v>2586</v>
      </c>
      <c r="J694" s="7" t="str" cm="1">
        <f t="array" ref="J69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4" s="7" t="s">
        <v>4768</v>
      </c>
    </row>
    <row r="695" spans="1:11">
      <c r="A695" s="7" t="s">
        <v>3722</v>
      </c>
      <c r="B695" s="11">
        <v>45856</v>
      </c>
      <c r="C695" s="7">
        <v>2025</v>
      </c>
      <c r="D695" s="7" t="s">
        <v>3723</v>
      </c>
      <c r="E695" s="7" t="s">
        <v>2257</v>
      </c>
      <c r="F695" s="7" t="s">
        <v>4598</v>
      </c>
      <c r="G695" s="7" t="s">
        <v>4585</v>
      </c>
      <c r="H695" s="12">
        <v>0.42</v>
      </c>
      <c r="I695" s="7" t="s">
        <v>2316</v>
      </c>
      <c r="J695" s="7" t="str" cm="1">
        <f t="array" ref="J69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5" s="7" t="s">
        <v>4768</v>
      </c>
    </row>
    <row r="696" spans="1:11">
      <c r="A696" s="7" t="s">
        <v>3724</v>
      </c>
      <c r="B696" s="11">
        <v>45859</v>
      </c>
      <c r="C696" s="7">
        <v>2025</v>
      </c>
      <c r="D696" s="7" t="s">
        <v>3725</v>
      </c>
      <c r="E696" s="7" t="s">
        <v>125</v>
      </c>
      <c r="F696" s="7" t="s">
        <v>4600</v>
      </c>
      <c r="G696" s="7" t="s">
        <v>4580</v>
      </c>
      <c r="H696" s="12">
        <v>0.46</v>
      </c>
      <c r="I696" s="7" t="s">
        <v>2525</v>
      </c>
      <c r="J696" s="7" t="str" cm="1">
        <f t="array" ref="J696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6" s="7" t="s">
        <v>4768</v>
      </c>
    </row>
    <row r="697" spans="1:11">
      <c r="A697" s="7" t="s">
        <v>3726</v>
      </c>
      <c r="B697" s="11">
        <v>45862</v>
      </c>
      <c r="C697" s="7">
        <v>2025</v>
      </c>
      <c r="D697" s="7" t="s">
        <v>3727</v>
      </c>
      <c r="E697" s="7" t="s">
        <v>1610</v>
      </c>
      <c r="F697" s="7" t="s">
        <v>4598</v>
      </c>
      <c r="G697" s="7" t="s">
        <v>4582</v>
      </c>
      <c r="H697" s="12">
        <v>0.66</v>
      </c>
      <c r="I697" s="7" t="s">
        <v>2356</v>
      </c>
      <c r="J697" s="7" t="str" cm="1">
        <f t="array" ref="J69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7" s="7" t="s">
        <v>4768</v>
      </c>
    </row>
    <row r="698" spans="1:11">
      <c r="A698" s="7" t="s">
        <v>3728</v>
      </c>
      <c r="B698" s="11">
        <v>45871</v>
      </c>
      <c r="C698" s="7">
        <v>2025</v>
      </c>
      <c r="D698" s="7" t="s">
        <v>3729</v>
      </c>
      <c r="E698" s="7" t="s">
        <v>304</v>
      </c>
      <c r="F698" s="7" t="s">
        <v>4598</v>
      </c>
      <c r="G698" s="7" t="s">
        <v>4587</v>
      </c>
      <c r="H698" s="12">
        <v>0.32</v>
      </c>
      <c r="I698" s="7" t="s">
        <v>2285</v>
      </c>
      <c r="J698" s="7" t="str" cm="1">
        <f t="array" ref="J69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8" s="7" t="s">
        <v>4768</v>
      </c>
    </row>
    <row r="699" spans="1:11">
      <c r="A699" s="7" t="s">
        <v>3730</v>
      </c>
      <c r="B699" s="11">
        <v>45878</v>
      </c>
      <c r="C699" s="7">
        <v>2025</v>
      </c>
      <c r="D699" s="7" t="s">
        <v>3731</v>
      </c>
      <c r="E699" s="7" t="s">
        <v>17</v>
      </c>
      <c r="F699" s="7" t="s">
        <v>4598</v>
      </c>
      <c r="G699" s="7" t="s">
        <v>4582</v>
      </c>
      <c r="H699" s="12">
        <v>0.03</v>
      </c>
      <c r="I699" s="7" t="s">
        <v>2356</v>
      </c>
      <c r="J699" s="7" t="str" cm="1">
        <f t="array" ref="J69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699" s="7" t="s">
        <v>4768</v>
      </c>
    </row>
    <row r="700" spans="1:11">
      <c r="A700" s="7" t="s">
        <v>3732</v>
      </c>
      <c r="B700" s="11">
        <v>45883</v>
      </c>
      <c r="C700" s="7">
        <v>2025</v>
      </c>
      <c r="D700" s="7" t="s">
        <v>3733</v>
      </c>
      <c r="E700" s="7" t="s">
        <v>2440</v>
      </c>
      <c r="F700" s="7" t="s">
        <v>4599</v>
      </c>
      <c r="G700" s="7" t="s">
        <v>4580</v>
      </c>
      <c r="H700" s="12">
        <v>0.13</v>
      </c>
      <c r="I700" s="7" t="s">
        <v>2261</v>
      </c>
      <c r="J700" s="7" t="str" cm="1">
        <f t="array" ref="J700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00" s="7" t="s">
        <v>4768</v>
      </c>
    </row>
    <row r="701" spans="1:11">
      <c r="A701" s="7" t="s">
        <v>3734</v>
      </c>
      <c r="B701" s="11">
        <v>45887</v>
      </c>
      <c r="C701" s="7">
        <v>2025</v>
      </c>
      <c r="D701" s="7" t="s">
        <v>3735</v>
      </c>
      <c r="E701" s="7" t="s">
        <v>2278</v>
      </c>
      <c r="F701" s="7" t="s">
        <v>4598</v>
      </c>
      <c r="G701" s="7" t="s">
        <v>4580</v>
      </c>
      <c r="H701" s="12">
        <v>0.53</v>
      </c>
      <c r="I701" s="7" t="s">
        <v>2268</v>
      </c>
      <c r="J701" s="7" t="str" cm="1">
        <f t="array" ref="J70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01" s="7" t="s">
        <v>4768</v>
      </c>
    </row>
    <row r="702" spans="1:11">
      <c r="A702" s="7" t="s">
        <v>3736</v>
      </c>
      <c r="B702" s="11">
        <v>45904</v>
      </c>
      <c r="C702" s="7">
        <v>2025</v>
      </c>
      <c r="D702" s="7" t="s">
        <v>3737</v>
      </c>
      <c r="E702" s="7" t="s">
        <v>17</v>
      </c>
      <c r="F702" s="7" t="s">
        <v>4599</v>
      </c>
      <c r="G702" s="7" t="s">
        <v>4585</v>
      </c>
      <c r="H702" s="12">
        <v>0.04</v>
      </c>
      <c r="I702" s="7" t="s">
        <v>2333</v>
      </c>
      <c r="J702" s="7" t="str" cm="1">
        <f t="array" ref="J70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02" s="7" t="s">
        <v>4768</v>
      </c>
    </row>
    <row r="703" spans="1:11">
      <c r="A703" s="7" t="s">
        <v>3738</v>
      </c>
      <c r="B703" s="11">
        <v>45931</v>
      </c>
      <c r="C703" s="7">
        <v>2025</v>
      </c>
      <c r="D703" s="7" t="s">
        <v>2735</v>
      </c>
      <c r="E703" s="7" t="s">
        <v>2250</v>
      </c>
      <c r="F703" s="7" t="s">
        <v>4598</v>
      </c>
      <c r="G703" s="7" t="s">
        <v>4580</v>
      </c>
      <c r="H703" s="12">
        <v>0.35</v>
      </c>
      <c r="I703" s="7" t="s">
        <v>2268</v>
      </c>
      <c r="J703" s="7" t="str" cm="1">
        <f t="array" ref="J70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03" s="7" t="s">
        <v>4768</v>
      </c>
    </row>
    <row r="704" spans="1:11">
      <c r="A704" s="7" t="s">
        <v>3739</v>
      </c>
      <c r="B704" s="11">
        <v>45931</v>
      </c>
      <c r="C704" s="7">
        <v>2025</v>
      </c>
      <c r="D704" s="7" t="s">
        <v>3740</v>
      </c>
      <c r="E704" s="7" t="s">
        <v>9</v>
      </c>
      <c r="F704" s="7" t="s">
        <v>4598</v>
      </c>
      <c r="G704" s="7" t="s">
        <v>4580</v>
      </c>
      <c r="H704" s="12">
        <v>0.1</v>
      </c>
      <c r="I704" s="7" t="s">
        <v>2268</v>
      </c>
      <c r="J704" s="7" t="str" cm="1">
        <f t="array" ref="J70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04" s="7" t="s">
        <v>4768</v>
      </c>
    </row>
    <row r="705" spans="1:11">
      <c r="A705" s="7" t="s">
        <v>3741</v>
      </c>
      <c r="B705" s="11">
        <v>45934</v>
      </c>
      <c r="C705" s="7">
        <v>2025</v>
      </c>
      <c r="D705" s="7" t="s">
        <v>3742</v>
      </c>
      <c r="E705" s="7" t="s">
        <v>1608</v>
      </c>
      <c r="F705" s="7" t="s">
        <v>4599</v>
      </c>
      <c r="G705" s="7" t="s">
        <v>4582</v>
      </c>
      <c r="H705" s="12">
        <v>8.09</v>
      </c>
      <c r="I705" s="7" t="s">
        <v>2288</v>
      </c>
      <c r="J705" s="7" t="str" cm="1">
        <f t="array" ref="J705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705" s="7" t="s">
        <v>4768</v>
      </c>
    </row>
    <row r="706" spans="1:11">
      <c r="A706" s="7" t="s">
        <v>3743</v>
      </c>
      <c r="B706" s="11">
        <v>45936</v>
      </c>
      <c r="C706" s="7">
        <v>2025</v>
      </c>
      <c r="D706" s="7" t="s">
        <v>3744</v>
      </c>
      <c r="E706" s="7" t="s">
        <v>215</v>
      </c>
      <c r="F706" s="7" t="s">
        <v>4598</v>
      </c>
      <c r="G706" s="7" t="s">
        <v>4581</v>
      </c>
      <c r="H706" s="12">
        <v>1.33</v>
      </c>
      <c r="I706" s="7" t="s">
        <v>2586</v>
      </c>
      <c r="J706" s="7" t="str" cm="1">
        <f t="array" ref="J70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706" s="7" t="s">
        <v>4768</v>
      </c>
    </row>
    <row r="707" spans="1:11">
      <c r="A707" s="7" t="s">
        <v>3745</v>
      </c>
      <c r="B707" s="11">
        <v>45952</v>
      </c>
      <c r="C707" s="7">
        <v>2025</v>
      </c>
      <c r="D707" s="7" t="s">
        <v>3746</v>
      </c>
      <c r="E707" s="7" t="s">
        <v>53</v>
      </c>
      <c r="F707" s="7" t="s">
        <v>4599</v>
      </c>
      <c r="G707" s="7" t="s">
        <v>4580</v>
      </c>
      <c r="H707" s="12">
        <v>0.15</v>
      </c>
      <c r="I707" s="7" t="s">
        <v>2261</v>
      </c>
      <c r="J707" s="7" t="str" cm="1">
        <f t="array" ref="J70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07" s="7" t="s">
        <v>4768</v>
      </c>
    </row>
    <row r="708" spans="1:11">
      <c r="A708" s="7" t="s">
        <v>3747</v>
      </c>
      <c r="B708" s="11">
        <v>45955</v>
      </c>
      <c r="C708" s="7">
        <v>2025</v>
      </c>
      <c r="D708" s="7" t="s">
        <v>3748</v>
      </c>
      <c r="E708" s="7" t="s">
        <v>2275</v>
      </c>
      <c r="F708" s="7" t="s">
        <v>4598</v>
      </c>
      <c r="G708" s="7" t="s">
        <v>4587</v>
      </c>
      <c r="H708" s="12">
        <v>0.46</v>
      </c>
      <c r="I708" s="7" t="s">
        <v>2285</v>
      </c>
      <c r="J708" s="7" t="str" cm="1">
        <f t="array" ref="J70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08" s="7" t="s">
        <v>4768</v>
      </c>
    </row>
    <row r="709" spans="1:11">
      <c r="A709" s="7" t="s">
        <v>3749</v>
      </c>
      <c r="B709" s="11">
        <v>45968</v>
      </c>
      <c r="C709" s="7">
        <v>2025</v>
      </c>
      <c r="D709" s="7" t="s">
        <v>3750</v>
      </c>
      <c r="E709" s="7" t="s">
        <v>2282</v>
      </c>
      <c r="F709" s="7" t="s">
        <v>4599</v>
      </c>
      <c r="G709" s="7" t="s">
        <v>4578</v>
      </c>
      <c r="H709" s="12">
        <v>0.04</v>
      </c>
      <c r="I709" s="7" t="s">
        <v>2420</v>
      </c>
      <c r="J709" s="7" t="str" cm="1">
        <f t="array" ref="J70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09" s="7" t="s">
        <v>4768</v>
      </c>
    </row>
    <row r="710" spans="1:11">
      <c r="A710" s="7" t="s">
        <v>3751</v>
      </c>
      <c r="B710" s="11">
        <v>45969</v>
      </c>
      <c r="C710" s="7">
        <v>2025</v>
      </c>
      <c r="D710" s="7" t="s">
        <v>3752</v>
      </c>
      <c r="E710" s="7" t="s">
        <v>31</v>
      </c>
      <c r="F710" s="7" t="s">
        <v>4598</v>
      </c>
      <c r="G710" s="7" t="s">
        <v>4587</v>
      </c>
      <c r="H710" s="12">
        <v>5.41</v>
      </c>
      <c r="I710" s="7" t="s">
        <v>2285</v>
      </c>
      <c r="J710" s="7" t="str" cm="1">
        <f t="array" ref="J710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710" s="7" t="s">
        <v>4768</v>
      </c>
    </row>
    <row r="711" spans="1:11">
      <c r="A711" s="7" t="s">
        <v>3753</v>
      </c>
      <c r="B711" s="11">
        <v>45977</v>
      </c>
      <c r="C711" s="7">
        <v>2025</v>
      </c>
      <c r="D711" s="7" t="s">
        <v>3754</v>
      </c>
      <c r="E711" s="7" t="s">
        <v>125</v>
      </c>
      <c r="F711" s="7" t="s">
        <v>4600</v>
      </c>
      <c r="G711" s="7" t="s">
        <v>4581</v>
      </c>
      <c r="H711" s="12">
        <v>3.18</v>
      </c>
      <c r="I711" s="7" t="s">
        <v>3152</v>
      </c>
      <c r="J711" s="7" t="str" cm="1">
        <f t="array" ref="J711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711" s="7" t="s">
        <v>4768</v>
      </c>
    </row>
    <row r="712" spans="1:11">
      <c r="A712" s="7" t="s">
        <v>3755</v>
      </c>
      <c r="B712" s="11">
        <v>45983</v>
      </c>
      <c r="C712" s="7">
        <v>2025</v>
      </c>
      <c r="D712" s="7" t="s">
        <v>3756</v>
      </c>
      <c r="E712" s="7" t="s">
        <v>2254</v>
      </c>
      <c r="F712" s="7" t="s">
        <v>4598</v>
      </c>
      <c r="G712" s="7" t="s">
        <v>4580</v>
      </c>
      <c r="H712" s="12">
        <v>1.1299999999999999</v>
      </c>
      <c r="I712" s="7" t="s">
        <v>2268</v>
      </c>
      <c r="J712" s="7" t="str" cm="1">
        <f t="array" ref="J712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712" s="7" t="s">
        <v>4768</v>
      </c>
    </row>
    <row r="713" spans="1:11">
      <c r="A713" s="7" t="s">
        <v>3757</v>
      </c>
      <c r="B713" s="11">
        <v>45983</v>
      </c>
      <c r="C713" s="7">
        <v>2025</v>
      </c>
      <c r="D713" s="7" t="s">
        <v>3758</v>
      </c>
      <c r="E713" s="7" t="s">
        <v>215</v>
      </c>
      <c r="F713" s="7" t="s">
        <v>4598</v>
      </c>
      <c r="G713" s="7" t="s">
        <v>4585</v>
      </c>
      <c r="H713" s="12">
        <v>3.49</v>
      </c>
      <c r="I713" s="7" t="s">
        <v>2316</v>
      </c>
      <c r="J713" s="7" t="str" cm="1">
        <f t="array" ref="J713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713" s="7" t="s">
        <v>4768</v>
      </c>
    </row>
    <row r="714" spans="1:11">
      <c r="A714" s="7" t="s">
        <v>3759</v>
      </c>
      <c r="B714" s="11">
        <v>46010</v>
      </c>
      <c r="C714" s="7">
        <v>2025</v>
      </c>
      <c r="D714" s="7" t="s">
        <v>3760</v>
      </c>
      <c r="E714" s="7" t="s">
        <v>2321</v>
      </c>
      <c r="F714" s="7" t="s">
        <v>4598</v>
      </c>
      <c r="G714" s="7" t="s">
        <v>4580</v>
      </c>
      <c r="H714" s="12">
        <v>0.03</v>
      </c>
      <c r="I714" s="7" t="s">
        <v>2268</v>
      </c>
      <c r="J714" s="7" t="str" cm="1">
        <f t="array" ref="J714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14" s="7" t="s">
        <v>4768</v>
      </c>
    </row>
    <row r="715" spans="1:11">
      <c r="A715" s="7" t="s">
        <v>3761</v>
      </c>
      <c r="B715" s="11">
        <v>46015</v>
      </c>
      <c r="C715" s="7">
        <v>2025</v>
      </c>
      <c r="D715" s="7" t="s">
        <v>3762</v>
      </c>
      <c r="E715" s="7" t="s">
        <v>23</v>
      </c>
      <c r="F715" s="7" t="s">
        <v>4599</v>
      </c>
      <c r="G715" s="7" t="s">
        <v>4578</v>
      </c>
      <c r="H715" s="12">
        <v>0.71</v>
      </c>
      <c r="I715" s="7" t="s">
        <v>2420</v>
      </c>
      <c r="J715" s="7" t="str" cm="1">
        <f t="array" ref="J715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15" s="7" t="s">
        <v>4768</v>
      </c>
    </row>
    <row r="716" spans="1:11">
      <c r="A716" s="7" t="s">
        <v>3763</v>
      </c>
      <c r="B716" s="11">
        <v>46017</v>
      </c>
      <c r="C716" s="7">
        <v>2025</v>
      </c>
      <c r="D716" s="7" t="s">
        <v>3764</v>
      </c>
      <c r="E716" s="7" t="s">
        <v>2254</v>
      </c>
      <c r="F716" s="7" t="s">
        <v>4601</v>
      </c>
      <c r="G716" s="7" t="s">
        <v>4581</v>
      </c>
      <c r="H716" s="12">
        <v>1.91</v>
      </c>
      <c r="I716" s="7" t="s">
        <v>2727</v>
      </c>
      <c r="J716" s="7" t="str" cm="1">
        <f t="array" ref="J716">_xlfn.IFS(drug_approvals13[[#This Row],[peak_sales_usd_bn_est]]&gt;=5,"Mega Blockbuster",drug_approvals13[[#This Row],[peak_sales_usd_bn_est]]&gt;=1,"Blockbuster",drug_approvals13[[#This Row],[peak_sales_usd_bn_est]]&lt;1,"Low sales" )</f>
        <v>Blockbuster</v>
      </c>
      <c r="K716" s="7" t="s">
        <v>4768</v>
      </c>
    </row>
    <row r="717" spans="1:11">
      <c r="A717" s="7" t="s">
        <v>3765</v>
      </c>
      <c r="B717" s="11">
        <v>46027</v>
      </c>
      <c r="C717" s="7">
        <v>2026</v>
      </c>
      <c r="D717" s="7" t="s">
        <v>3766</v>
      </c>
      <c r="E717" s="7" t="s">
        <v>2321</v>
      </c>
      <c r="F717" s="7" t="s">
        <v>4601</v>
      </c>
      <c r="G717" s="7" t="s">
        <v>4584</v>
      </c>
      <c r="H717" s="12">
        <v>0.18</v>
      </c>
      <c r="I717" s="7" t="s">
        <v>2841</v>
      </c>
      <c r="J717" s="7" t="str" cm="1">
        <f t="array" ref="J717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17" s="7" t="s">
        <v>4768</v>
      </c>
    </row>
    <row r="718" spans="1:11">
      <c r="A718" s="7" t="s">
        <v>3767</v>
      </c>
      <c r="B718" s="11">
        <v>46047</v>
      </c>
      <c r="C718" s="7">
        <v>2026</v>
      </c>
      <c r="D718" s="7" t="s">
        <v>3224</v>
      </c>
      <c r="E718" s="7" t="s">
        <v>2632</v>
      </c>
      <c r="F718" s="7" t="s">
        <v>4599</v>
      </c>
      <c r="G718" s="7" t="s">
        <v>4582</v>
      </c>
      <c r="H718" s="12">
        <v>0.34</v>
      </c>
      <c r="I718" s="7" t="s">
        <v>2288</v>
      </c>
      <c r="J718" s="7" t="str" cm="1">
        <f t="array" ref="J718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18" s="7" t="s">
        <v>4768</v>
      </c>
    </row>
    <row r="719" spans="1:11">
      <c r="A719" s="7" t="s">
        <v>3768</v>
      </c>
      <c r="B719" s="11">
        <v>46077</v>
      </c>
      <c r="C719" s="7">
        <v>2026</v>
      </c>
      <c r="D719" s="7" t="s">
        <v>3769</v>
      </c>
      <c r="E719" s="7" t="s">
        <v>23</v>
      </c>
      <c r="F719" s="7" t="s">
        <v>4598</v>
      </c>
      <c r="G719" s="7" t="s">
        <v>4580</v>
      </c>
      <c r="H719" s="12">
        <v>0.64</v>
      </c>
      <c r="I719" s="7" t="s">
        <v>2268</v>
      </c>
      <c r="J719" s="7" t="str" cm="1">
        <f t="array" ref="J719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19" s="7" t="s">
        <v>4768</v>
      </c>
    </row>
    <row r="720" spans="1:11">
      <c r="A720" s="7" t="s">
        <v>3770</v>
      </c>
      <c r="B720" s="11">
        <v>46106</v>
      </c>
      <c r="C720" s="7">
        <v>2026</v>
      </c>
      <c r="D720" s="7" t="s">
        <v>2386</v>
      </c>
      <c r="E720" s="7" t="s">
        <v>31</v>
      </c>
      <c r="F720" s="7" t="s">
        <v>4600</v>
      </c>
      <c r="G720" s="7" t="s">
        <v>4579</v>
      </c>
      <c r="H720" s="12">
        <v>7.05</v>
      </c>
      <c r="I720" s="7" t="s">
        <v>2991</v>
      </c>
      <c r="J720" s="7" t="str" cm="1">
        <f t="array" ref="J720">_xlfn.IFS(drug_approvals13[[#This Row],[peak_sales_usd_bn_est]]&gt;=5,"Mega Blockbuster",drug_approvals13[[#This Row],[peak_sales_usd_bn_est]]&gt;=1,"Blockbuster",drug_approvals13[[#This Row],[peak_sales_usd_bn_est]]&lt;1,"Low sales" )</f>
        <v>Mega Blockbuster</v>
      </c>
      <c r="K720" s="7" t="s">
        <v>4768</v>
      </c>
    </row>
    <row r="721" spans="1:11">
      <c r="A721" s="7" t="s">
        <v>3771</v>
      </c>
      <c r="B721" s="11">
        <v>46114</v>
      </c>
      <c r="C721" s="7">
        <v>2026</v>
      </c>
      <c r="D721" s="7" t="s">
        <v>3295</v>
      </c>
      <c r="E721" s="7" t="s">
        <v>1365</v>
      </c>
      <c r="F721" s="7" t="s">
        <v>4602</v>
      </c>
      <c r="G721" s="7" t="s">
        <v>4580</v>
      </c>
      <c r="H721" s="12">
        <v>0.3</v>
      </c>
      <c r="I721" s="7" t="s">
        <v>2510</v>
      </c>
      <c r="J721" s="7" t="str" cm="1">
        <f t="array" ref="J721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21" s="7" t="s">
        <v>4768</v>
      </c>
    </row>
    <row r="722" spans="1:11">
      <c r="A722" s="7" t="s">
        <v>3772</v>
      </c>
      <c r="B722" s="11">
        <v>46121</v>
      </c>
      <c r="C722" s="7">
        <v>2026</v>
      </c>
      <c r="D722" s="7" t="s">
        <v>3773</v>
      </c>
      <c r="E722" s="7" t="s">
        <v>1365</v>
      </c>
      <c r="F722" s="7" t="s">
        <v>4602</v>
      </c>
      <c r="G722" s="7" t="s">
        <v>4580</v>
      </c>
      <c r="H722" s="12">
        <v>0.12</v>
      </c>
      <c r="I722" s="7" t="s">
        <v>2510</v>
      </c>
      <c r="J722" s="7" t="str" cm="1">
        <f t="array" ref="J722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22" s="7" t="s">
        <v>4768</v>
      </c>
    </row>
    <row r="723" spans="1:11">
      <c r="A723" s="7" t="s">
        <v>3774</v>
      </c>
      <c r="B723" s="11">
        <v>46133</v>
      </c>
      <c r="C723" s="7">
        <v>2026</v>
      </c>
      <c r="D723" s="7" t="s">
        <v>2999</v>
      </c>
      <c r="E723" s="7" t="s">
        <v>130</v>
      </c>
      <c r="F723" s="7" t="s">
        <v>4599</v>
      </c>
      <c r="G723" s="7" t="s">
        <v>4580</v>
      </c>
      <c r="H723" s="12">
        <v>0.01</v>
      </c>
      <c r="I723" s="7" t="s">
        <v>2261</v>
      </c>
      <c r="J723" s="7" t="str" cm="1">
        <f t="array" ref="J723">_xlfn.IFS(drug_approvals13[[#This Row],[peak_sales_usd_bn_est]]&gt;=5,"Mega Blockbuster",drug_approvals13[[#This Row],[peak_sales_usd_bn_est]]&gt;=1,"Blockbuster",drug_approvals13[[#This Row],[peak_sales_usd_bn_est]]&lt;1,"Low sales" )</f>
        <v>Low sales</v>
      </c>
      <c r="K723" s="7" t="s">
        <v>4768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74A8-A3D2-4B04-9083-A3AA19F0B275}">
  <dimension ref="A1:K490"/>
  <sheetViews>
    <sheetView workbookViewId="0">
      <selection activeCell="K1" sqref="K1"/>
    </sheetView>
  </sheetViews>
  <sheetFormatPr defaultRowHeight="14.4"/>
  <cols>
    <col min="1" max="1" width="6.88671875" bestFit="1" customWidth="1"/>
    <col min="2" max="2" width="20.33203125" customWidth="1"/>
    <col min="3" max="3" width="11.77734375" bestFit="1" customWidth="1"/>
    <col min="4" max="4" width="14.109375" bestFit="1" customWidth="1"/>
    <col min="5" max="5" width="16.88671875" customWidth="1"/>
    <col min="6" max="6" width="17.44140625" bestFit="1" customWidth="1"/>
    <col min="7" max="7" width="22.109375" bestFit="1" customWidth="1"/>
    <col min="8" max="8" width="26.109375" bestFit="1" customWidth="1"/>
    <col min="9" max="9" width="18.44140625" bestFit="1" customWidth="1"/>
    <col min="10" max="10" width="17.44140625" bestFit="1" customWidth="1"/>
    <col min="11" max="11" width="19" style="8" bestFit="1" customWidth="1"/>
  </cols>
  <sheetData>
    <row r="1" spans="1:11">
      <c r="A1" t="s">
        <v>2</v>
      </c>
      <c r="B1" t="s">
        <v>4590</v>
      </c>
      <c r="C1" t="s">
        <v>3775</v>
      </c>
      <c r="D1" t="s">
        <v>4740</v>
      </c>
      <c r="E1" t="s">
        <v>4597</v>
      </c>
      <c r="F1" t="s">
        <v>3776</v>
      </c>
      <c r="G1" t="s">
        <v>3777</v>
      </c>
      <c r="H1" t="s">
        <v>3778</v>
      </c>
      <c r="I1" t="s">
        <v>3779</v>
      </c>
      <c r="J1" t="s">
        <v>3780</v>
      </c>
      <c r="K1"/>
    </row>
    <row r="2" spans="1:11">
      <c r="A2">
        <v>2010</v>
      </c>
      <c r="B2" t="s">
        <v>3781</v>
      </c>
      <c r="C2" t="s">
        <v>3782</v>
      </c>
      <c r="D2" t="s">
        <v>3783</v>
      </c>
      <c r="E2" t="s">
        <v>4591</v>
      </c>
      <c r="F2" s="9">
        <v>62.17</v>
      </c>
      <c r="G2" s="9">
        <v>18.899999999999999</v>
      </c>
      <c r="H2" s="10">
        <v>11.74</v>
      </c>
      <c r="I2" s="10">
        <v>7.46</v>
      </c>
      <c r="J2">
        <v>74</v>
      </c>
      <c r="K2"/>
    </row>
    <row r="3" spans="1:11">
      <c r="A3">
        <v>2011</v>
      </c>
      <c r="B3" t="s">
        <v>3781</v>
      </c>
      <c r="C3" t="s">
        <v>3782</v>
      </c>
      <c r="D3" t="s">
        <v>3783</v>
      </c>
      <c r="E3" t="s">
        <v>4591</v>
      </c>
      <c r="F3" s="9">
        <v>64.739999999999995</v>
      </c>
      <c r="G3" s="9">
        <v>24.8</v>
      </c>
      <c r="H3" s="10">
        <v>16.07</v>
      </c>
      <c r="I3" s="10">
        <v>7.77</v>
      </c>
      <c r="J3">
        <v>75</v>
      </c>
      <c r="K3"/>
    </row>
    <row r="4" spans="1:11">
      <c r="A4">
        <v>2012</v>
      </c>
      <c r="B4" t="s">
        <v>3781</v>
      </c>
      <c r="C4" t="s">
        <v>3782</v>
      </c>
      <c r="D4" t="s">
        <v>3783</v>
      </c>
      <c r="E4" t="s">
        <v>4591</v>
      </c>
      <c r="F4" s="9">
        <v>61.3</v>
      </c>
      <c r="G4" s="9">
        <v>18.100000000000001</v>
      </c>
      <c r="H4" s="10">
        <v>11.09</v>
      </c>
      <c r="I4" s="10">
        <v>7.36</v>
      </c>
      <c r="J4">
        <v>74</v>
      </c>
      <c r="K4"/>
    </row>
    <row r="5" spans="1:11">
      <c r="A5">
        <v>2013</v>
      </c>
      <c r="B5" t="s">
        <v>3781</v>
      </c>
      <c r="C5" t="s">
        <v>3782</v>
      </c>
      <c r="D5" t="s">
        <v>3783</v>
      </c>
      <c r="E5" t="s">
        <v>4591</v>
      </c>
      <c r="F5" s="9">
        <v>66.959999999999994</v>
      </c>
      <c r="G5" s="9">
        <v>21.1</v>
      </c>
      <c r="H5" s="10">
        <v>14.1</v>
      </c>
      <c r="I5" s="10">
        <v>8.0299999999999994</v>
      </c>
      <c r="J5">
        <v>76</v>
      </c>
      <c r="K5"/>
    </row>
    <row r="6" spans="1:11">
      <c r="A6">
        <v>2014</v>
      </c>
      <c r="B6" t="s">
        <v>3781</v>
      </c>
      <c r="C6" t="s">
        <v>3782</v>
      </c>
      <c r="D6" t="s">
        <v>3783</v>
      </c>
      <c r="E6" t="s">
        <v>4591</v>
      </c>
      <c r="F6" s="9">
        <v>68.37</v>
      </c>
      <c r="G6" s="9">
        <v>19.399999999999999</v>
      </c>
      <c r="H6" s="10">
        <v>13.29</v>
      </c>
      <c r="I6" s="10">
        <v>8.1999999999999993</v>
      </c>
      <c r="J6">
        <v>76</v>
      </c>
      <c r="K6"/>
    </row>
    <row r="7" spans="1:11">
      <c r="A7">
        <v>2015</v>
      </c>
      <c r="B7" t="s">
        <v>3781</v>
      </c>
      <c r="C7" t="s">
        <v>3782</v>
      </c>
      <c r="D7" t="s">
        <v>3783</v>
      </c>
      <c r="E7" t="s">
        <v>4591</v>
      </c>
      <c r="F7" s="9">
        <v>71.97</v>
      </c>
      <c r="G7" s="9">
        <v>24.3</v>
      </c>
      <c r="H7" s="10">
        <v>17.510000000000002</v>
      </c>
      <c r="I7" s="10">
        <v>8.64</v>
      </c>
      <c r="J7">
        <v>78</v>
      </c>
      <c r="K7"/>
    </row>
    <row r="8" spans="1:11">
      <c r="A8">
        <v>2016</v>
      </c>
      <c r="B8" t="s">
        <v>3781</v>
      </c>
      <c r="C8" t="s">
        <v>3782</v>
      </c>
      <c r="D8" t="s">
        <v>3783</v>
      </c>
      <c r="E8" t="s">
        <v>4591</v>
      </c>
      <c r="F8" s="9">
        <v>74.08</v>
      </c>
      <c r="G8" s="9">
        <v>25.4</v>
      </c>
      <c r="H8" s="10">
        <v>18.8</v>
      </c>
      <c r="I8" s="10">
        <v>8.89</v>
      </c>
      <c r="J8">
        <v>78</v>
      </c>
      <c r="K8"/>
    </row>
    <row r="9" spans="1:11">
      <c r="A9">
        <v>2017</v>
      </c>
      <c r="B9" t="s">
        <v>3781</v>
      </c>
      <c r="C9" t="s">
        <v>3782</v>
      </c>
      <c r="D9" t="s">
        <v>3783</v>
      </c>
      <c r="E9" t="s">
        <v>4591</v>
      </c>
      <c r="F9" s="9">
        <v>78.87</v>
      </c>
      <c r="G9" s="9">
        <v>19.399999999999999</v>
      </c>
      <c r="H9" s="10">
        <v>15.32</v>
      </c>
      <c r="I9" s="10">
        <v>9.4600000000000009</v>
      </c>
      <c r="J9">
        <v>80</v>
      </c>
      <c r="K9"/>
    </row>
    <row r="10" spans="1:11">
      <c r="A10">
        <v>2018</v>
      </c>
      <c r="B10" t="s">
        <v>3781</v>
      </c>
      <c r="C10" t="s">
        <v>3782</v>
      </c>
      <c r="D10" t="s">
        <v>3783</v>
      </c>
      <c r="E10" t="s">
        <v>4591</v>
      </c>
      <c r="F10" s="9">
        <v>82.51</v>
      </c>
      <c r="G10" s="9">
        <v>19.100000000000001</v>
      </c>
      <c r="H10" s="10">
        <v>15.78</v>
      </c>
      <c r="I10" s="10">
        <v>9.9</v>
      </c>
      <c r="J10">
        <v>81</v>
      </c>
      <c r="K10"/>
    </row>
    <row r="11" spans="1:11">
      <c r="A11">
        <v>2019</v>
      </c>
      <c r="B11" t="s">
        <v>3781</v>
      </c>
      <c r="C11" t="s">
        <v>3782</v>
      </c>
      <c r="D11" t="s">
        <v>3783</v>
      </c>
      <c r="E11" t="s">
        <v>4591</v>
      </c>
      <c r="F11" s="9">
        <v>84.29</v>
      </c>
      <c r="G11" s="9">
        <v>21.9</v>
      </c>
      <c r="H11" s="10">
        <v>18.420000000000002</v>
      </c>
      <c r="I11" s="10">
        <v>10.119999999999999</v>
      </c>
      <c r="J11">
        <v>81</v>
      </c>
      <c r="K11"/>
    </row>
    <row r="12" spans="1:11">
      <c r="A12">
        <v>2020</v>
      </c>
      <c r="B12" t="s">
        <v>3781</v>
      </c>
      <c r="C12" t="s">
        <v>3782</v>
      </c>
      <c r="D12" t="s">
        <v>3783</v>
      </c>
      <c r="E12" t="s">
        <v>4591</v>
      </c>
      <c r="F12" s="9">
        <v>82.14</v>
      </c>
      <c r="G12" s="9">
        <v>20</v>
      </c>
      <c r="H12" s="10">
        <v>16.39</v>
      </c>
      <c r="I12" s="10">
        <v>9.86</v>
      </c>
      <c r="J12">
        <v>81</v>
      </c>
      <c r="K12"/>
    </row>
    <row r="13" spans="1:11">
      <c r="A13">
        <v>2021</v>
      </c>
      <c r="B13" t="s">
        <v>3781</v>
      </c>
      <c r="C13" t="s">
        <v>3782</v>
      </c>
      <c r="D13" t="s">
        <v>3783</v>
      </c>
      <c r="E13" t="s">
        <v>4591</v>
      </c>
      <c r="F13" s="9">
        <v>92.07</v>
      </c>
      <c r="G13" s="9">
        <v>21.5</v>
      </c>
      <c r="H13" s="10">
        <v>19.829999999999998</v>
      </c>
      <c r="I13" s="10">
        <v>11.05</v>
      </c>
      <c r="J13">
        <v>83</v>
      </c>
      <c r="K13"/>
    </row>
    <row r="14" spans="1:11">
      <c r="A14">
        <v>2022</v>
      </c>
      <c r="B14" t="s">
        <v>3781</v>
      </c>
      <c r="C14" t="s">
        <v>3782</v>
      </c>
      <c r="D14" t="s">
        <v>3783</v>
      </c>
      <c r="E14" t="s">
        <v>4591</v>
      </c>
      <c r="F14" s="9">
        <v>93.69</v>
      </c>
      <c r="G14" s="9">
        <v>20.9</v>
      </c>
      <c r="H14" s="10">
        <v>19.62</v>
      </c>
      <c r="I14" s="10">
        <v>11.24</v>
      </c>
      <c r="J14">
        <v>84</v>
      </c>
      <c r="K14"/>
    </row>
    <row r="15" spans="1:11">
      <c r="A15">
        <v>2023</v>
      </c>
      <c r="B15" t="s">
        <v>3781</v>
      </c>
      <c r="C15" t="s">
        <v>3782</v>
      </c>
      <c r="D15" t="s">
        <v>3783</v>
      </c>
      <c r="E15" t="s">
        <v>4591</v>
      </c>
      <c r="F15" s="9">
        <v>86.57</v>
      </c>
      <c r="G15" s="9">
        <v>23.1</v>
      </c>
      <c r="H15" s="10">
        <v>19.989999999999998</v>
      </c>
      <c r="I15" s="10">
        <v>10.39</v>
      </c>
      <c r="J15">
        <v>82</v>
      </c>
      <c r="K15"/>
    </row>
    <row r="16" spans="1:11">
      <c r="A16">
        <v>2024</v>
      </c>
      <c r="B16" t="s">
        <v>3781</v>
      </c>
      <c r="C16" t="s">
        <v>3782</v>
      </c>
      <c r="D16" t="s">
        <v>3783</v>
      </c>
      <c r="E16" t="s">
        <v>4591</v>
      </c>
      <c r="F16" s="9">
        <v>89.91</v>
      </c>
      <c r="G16" s="9">
        <v>23.3</v>
      </c>
      <c r="H16" s="10">
        <v>20.94</v>
      </c>
      <c r="I16" s="10">
        <v>10.79</v>
      </c>
      <c r="J16">
        <v>83</v>
      </c>
      <c r="K16"/>
    </row>
    <row r="17" spans="1:11">
      <c r="A17">
        <v>2025</v>
      </c>
      <c r="B17" t="s">
        <v>3781</v>
      </c>
      <c r="C17" t="s">
        <v>3782</v>
      </c>
      <c r="D17" t="s">
        <v>3783</v>
      </c>
      <c r="E17" t="s">
        <v>4591</v>
      </c>
      <c r="F17" s="9">
        <v>98</v>
      </c>
      <c r="G17" s="9">
        <v>20.8</v>
      </c>
      <c r="H17" s="10">
        <v>20.36</v>
      </c>
      <c r="I17" s="10">
        <v>11.76</v>
      </c>
      <c r="J17">
        <v>85</v>
      </c>
      <c r="K17"/>
    </row>
    <row r="18" spans="1:11">
      <c r="A18">
        <v>2026</v>
      </c>
      <c r="B18" t="s">
        <v>3781</v>
      </c>
      <c r="C18" t="s">
        <v>3782</v>
      </c>
      <c r="D18" t="s">
        <v>3783</v>
      </c>
      <c r="E18" t="s">
        <v>4591</v>
      </c>
      <c r="F18" s="9">
        <v>93.55</v>
      </c>
      <c r="G18" s="9">
        <v>19.600000000000001</v>
      </c>
      <c r="H18" s="10">
        <v>18.3</v>
      </c>
      <c r="I18" s="10">
        <v>11.23</v>
      </c>
      <c r="J18">
        <v>84</v>
      </c>
      <c r="K18"/>
    </row>
    <row r="19" spans="1:11">
      <c r="A19">
        <v>2010</v>
      </c>
      <c r="B19" t="s">
        <v>9</v>
      </c>
      <c r="C19" t="s">
        <v>3784</v>
      </c>
      <c r="D19" t="s">
        <v>3783</v>
      </c>
      <c r="E19" t="s">
        <v>4592</v>
      </c>
      <c r="F19" s="9">
        <v>69.06</v>
      </c>
      <c r="G19" s="9">
        <v>31.4</v>
      </c>
      <c r="H19" s="10">
        <v>21.68</v>
      </c>
      <c r="I19" s="10">
        <v>12.43</v>
      </c>
      <c r="J19">
        <v>115</v>
      </c>
      <c r="K19"/>
    </row>
    <row r="20" spans="1:11">
      <c r="A20">
        <v>2011</v>
      </c>
      <c r="B20" t="s">
        <v>9</v>
      </c>
      <c r="C20" t="s">
        <v>3784</v>
      </c>
      <c r="D20" t="s">
        <v>3783</v>
      </c>
      <c r="E20" t="s">
        <v>4592</v>
      </c>
      <c r="F20" s="9">
        <v>63.8</v>
      </c>
      <c r="G20" s="9">
        <v>25.5</v>
      </c>
      <c r="H20" s="10">
        <v>16.260000000000002</v>
      </c>
      <c r="I20" s="10">
        <v>11.48</v>
      </c>
      <c r="J20">
        <v>112</v>
      </c>
      <c r="K20"/>
    </row>
    <row r="21" spans="1:11">
      <c r="A21">
        <v>2012</v>
      </c>
      <c r="B21" t="s">
        <v>9</v>
      </c>
      <c r="C21" t="s">
        <v>3784</v>
      </c>
      <c r="D21" t="s">
        <v>3783</v>
      </c>
      <c r="E21" t="s">
        <v>4592</v>
      </c>
      <c r="F21" s="9">
        <v>58.77</v>
      </c>
      <c r="G21" s="9">
        <v>30</v>
      </c>
      <c r="H21" s="10">
        <v>17.600000000000001</v>
      </c>
      <c r="I21" s="10">
        <v>10.58</v>
      </c>
      <c r="J21">
        <v>110</v>
      </c>
      <c r="K21"/>
    </row>
    <row r="22" spans="1:11">
      <c r="A22">
        <v>2013</v>
      </c>
      <c r="B22" t="s">
        <v>9</v>
      </c>
      <c r="C22" t="s">
        <v>3784</v>
      </c>
      <c r="D22" t="s">
        <v>3783</v>
      </c>
      <c r="E22" t="s">
        <v>4592</v>
      </c>
      <c r="F22" s="9">
        <v>57.73</v>
      </c>
      <c r="G22" s="9">
        <v>29.6</v>
      </c>
      <c r="H22" s="10">
        <v>17.11</v>
      </c>
      <c r="I22" s="10">
        <v>10.39</v>
      </c>
      <c r="J22">
        <v>109</v>
      </c>
      <c r="K22"/>
    </row>
    <row r="23" spans="1:11">
      <c r="A23">
        <v>2014</v>
      </c>
      <c r="B23" t="s">
        <v>9</v>
      </c>
      <c r="C23" t="s">
        <v>3784</v>
      </c>
      <c r="D23" t="s">
        <v>3783</v>
      </c>
      <c r="E23" t="s">
        <v>4592</v>
      </c>
      <c r="F23" s="9">
        <v>51.64</v>
      </c>
      <c r="G23" s="9">
        <v>28.7</v>
      </c>
      <c r="H23" s="10">
        <v>14.82</v>
      </c>
      <c r="I23" s="10">
        <v>9.2899999999999991</v>
      </c>
      <c r="J23">
        <v>105</v>
      </c>
      <c r="K23"/>
    </row>
    <row r="24" spans="1:11">
      <c r="A24">
        <v>2015</v>
      </c>
      <c r="B24" t="s">
        <v>9</v>
      </c>
      <c r="C24" t="s">
        <v>3784</v>
      </c>
      <c r="D24" t="s">
        <v>3783</v>
      </c>
      <c r="E24" t="s">
        <v>4592</v>
      </c>
      <c r="F24" s="9">
        <v>49.07</v>
      </c>
      <c r="G24" s="9">
        <v>28.7</v>
      </c>
      <c r="H24" s="10">
        <v>14.06</v>
      </c>
      <c r="I24" s="10">
        <v>8.83</v>
      </c>
      <c r="J24">
        <v>104</v>
      </c>
      <c r="K24"/>
    </row>
    <row r="25" spans="1:11">
      <c r="A25">
        <v>2016</v>
      </c>
      <c r="B25" t="s">
        <v>9</v>
      </c>
      <c r="C25" t="s">
        <v>3784</v>
      </c>
      <c r="D25" t="s">
        <v>3783</v>
      </c>
      <c r="E25" t="s">
        <v>4592</v>
      </c>
      <c r="F25" s="9">
        <v>51.8</v>
      </c>
      <c r="G25" s="9">
        <v>28.7</v>
      </c>
      <c r="H25" s="10">
        <v>14.85</v>
      </c>
      <c r="I25" s="10">
        <v>9.32</v>
      </c>
      <c r="J25">
        <v>106</v>
      </c>
      <c r="K25"/>
    </row>
    <row r="26" spans="1:11">
      <c r="A26">
        <v>2017</v>
      </c>
      <c r="B26" t="s">
        <v>9</v>
      </c>
      <c r="C26" t="s">
        <v>3784</v>
      </c>
      <c r="D26" t="s">
        <v>3783</v>
      </c>
      <c r="E26" t="s">
        <v>4592</v>
      </c>
      <c r="F26" s="9">
        <v>53.1</v>
      </c>
      <c r="G26" s="9">
        <v>28.2</v>
      </c>
      <c r="H26" s="10">
        <v>14.98</v>
      </c>
      <c r="I26" s="10">
        <v>9.56</v>
      </c>
      <c r="J26">
        <v>106</v>
      </c>
      <c r="K26"/>
    </row>
    <row r="27" spans="1:11">
      <c r="A27">
        <v>2018</v>
      </c>
      <c r="B27" t="s">
        <v>9</v>
      </c>
      <c r="C27" t="s">
        <v>3784</v>
      </c>
      <c r="D27" t="s">
        <v>3783</v>
      </c>
      <c r="E27" t="s">
        <v>4592</v>
      </c>
      <c r="F27" s="9">
        <v>54.07</v>
      </c>
      <c r="G27" s="9">
        <v>29.9</v>
      </c>
      <c r="H27" s="10">
        <v>16.16</v>
      </c>
      <c r="I27" s="10">
        <v>9.73</v>
      </c>
      <c r="J27">
        <v>107</v>
      </c>
      <c r="K27"/>
    </row>
    <row r="28" spans="1:11">
      <c r="A28">
        <v>2019</v>
      </c>
      <c r="B28" t="s">
        <v>9</v>
      </c>
      <c r="C28" t="s">
        <v>3784</v>
      </c>
      <c r="D28" t="s">
        <v>3783</v>
      </c>
      <c r="E28" t="s">
        <v>4592</v>
      </c>
      <c r="F28" s="9">
        <v>45.71</v>
      </c>
      <c r="G28" s="9">
        <v>27</v>
      </c>
      <c r="H28" s="10">
        <v>12.36</v>
      </c>
      <c r="I28" s="10">
        <v>8.23</v>
      </c>
      <c r="J28">
        <v>102</v>
      </c>
      <c r="K28"/>
    </row>
    <row r="29" spans="1:11">
      <c r="A29">
        <v>2020</v>
      </c>
      <c r="B29" t="s">
        <v>9</v>
      </c>
      <c r="C29" t="s">
        <v>3784</v>
      </c>
      <c r="D29" t="s">
        <v>3783</v>
      </c>
      <c r="E29" t="s">
        <v>4592</v>
      </c>
      <c r="F29" s="9">
        <v>41.31</v>
      </c>
      <c r="G29" s="9">
        <v>26.1</v>
      </c>
      <c r="H29" s="10">
        <v>10.78</v>
      </c>
      <c r="I29" s="10">
        <v>7.44</v>
      </c>
      <c r="J29">
        <v>99</v>
      </c>
      <c r="K29"/>
    </row>
    <row r="30" spans="1:11">
      <c r="A30">
        <v>2021</v>
      </c>
      <c r="B30" t="s">
        <v>9</v>
      </c>
      <c r="C30" t="s">
        <v>3784</v>
      </c>
      <c r="D30" t="s">
        <v>3783</v>
      </c>
      <c r="E30" t="s">
        <v>4592</v>
      </c>
      <c r="F30" s="9">
        <v>80.63</v>
      </c>
      <c r="G30" s="9">
        <v>39.5</v>
      </c>
      <c r="H30" s="10">
        <v>31.84</v>
      </c>
      <c r="I30" s="10">
        <v>14.51</v>
      </c>
      <c r="J30">
        <v>121</v>
      </c>
      <c r="K30"/>
    </row>
    <row r="31" spans="1:11">
      <c r="A31">
        <v>2022</v>
      </c>
      <c r="B31" t="s">
        <v>9</v>
      </c>
      <c r="C31" t="s">
        <v>3784</v>
      </c>
      <c r="D31" t="s">
        <v>3783</v>
      </c>
      <c r="E31" t="s">
        <v>4592</v>
      </c>
      <c r="F31" s="9">
        <v>97.73</v>
      </c>
      <c r="G31" s="9">
        <v>37.9</v>
      </c>
      <c r="H31" s="10">
        <v>37.04</v>
      </c>
      <c r="I31" s="10">
        <v>17.59</v>
      </c>
      <c r="J31">
        <v>128</v>
      </c>
      <c r="K31"/>
    </row>
    <row r="32" spans="1:11">
      <c r="A32">
        <v>2023</v>
      </c>
      <c r="B32" t="s">
        <v>9</v>
      </c>
      <c r="C32" t="s">
        <v>3784</v>
      </c>
      <c r="D32" t="s">
        <v>3783</v>
      </c>
      <c r="E32" t="s">
        <v>4592</v>
      </c>
      <c r="F32" s="9">
        <v>55.62</v>
      </c>
      <c r="G32" s="9">
        <v>14</v>
      </c>
      <c r="H32" s="10">
        <v>7.78</v>
      </c>
      <c r="I32" s="10">
        <v>10.01</v>
      </c>
      <c r="J32">
        <v>108</v>
      </c>
      <c r="K32"/>
    </row>
    <row r="33" spans="1:11">
      <c r="A33">
        <v>2024</v>
      </c>
      <c r="B33" t="s">
        <v>9</v>
      </c>
      <c r="C33" t="s">
        <v>3784</v>
      </c>
      <c r="D33" t="s">
        <v>3783</v>
      </c>
      <c r="E33" t="s">
        <v>4592</v>
      </c>
      <c r="F33" s="9">
        <v>63.91</v>
      </c>
      <c r="G33" s="9">
        <v>16.8</v>
      </c>
      <c r="H33" s="10">
        <v>10.71</v>
      </c>
      <c r="I33" s="10">
        <v>11.5</v>
      </c>
      <c r="J33">
        <v>112</v>
      </c>
      <c r="K33"/>
    </row>
    <row r="34" spans="1:11">
      <c r="A34">
        <v>2025</v>
      </c>
      <c r="B34" t="s">
        <v>9</v>
      </c>
      <c r="C34" t="s">
        <v>3784</v>
      </c>
      <c r="D34" t="s">
        <v>3783</v>
      </c>
      <c r="E34" t="s">
        <v>4592</v>
      </c>
      <c r="F34" s="9">
        <v>65.69</v>
      </c>
      <c r="G34" s="9">
        <v>17.399999999999999</v>
      </c>
      <c r="H34" s="10">
        <v>11.42</v>
      </c>
      <c r="I34" s="10">
        <v>11.82</v>
      </c>
      <c r="J34">
        <v>113</v>
      </c>
      <c r="K34"/>
    </row>
    <row r="35" spans="1:11">
      <c r="A35">
        <v>2026</v>
      </c>
      <c r="B35" t="s">
        <v>9</v>
      </c>
      <c r="C35" t="s">
        <v>3784</v>
      </c>
      <c r="D35" t="s">
        <v>3783</v>
      </c>
      <c r="E35" t="s">
        <v>4592</v>
      </c>
      <c r="F35" s="9">
        <v>64.319999999999993</v>
      </c>
      <c r="G35" s="9">
        <v>13.6</v>
      </c>
      <c r="H35" s="10">
        <v>8.76</v>
      </c>
      <c r="I35" s="10">
        <v>11.58</v>
      </c>
      <c r="J35">
        <v>113</v>
      </c>
      <c r="K35"/>
    </row>
    <row r="36" spans="1:11">
      <c r="A36">
        <v>2010</v>
      </c>
      <c r="B36" t="s">
        <v>17</v>
      </c>
      <c r="C36" t="s">
        <v>3785</v>
      </c>
      <c r="D36" t="s">
        <v>3786</v>
      </c>
      <c r="E36" t="s">
        <v>4592</v>
      </c>
      <c r="F36" s="9">
        <v>52.84</v>
      </c>
      <c r="G36" s="9">
        <v>27.4</v>
      </c>
      <c r="H36" s="10">
        <v>14.49</v>
      </c>
      <c r="I36" s="10">
        <v>9.51</v>
      </c>
      <c r="J36">
        <v>106</v>
      </c>
      <c r="K36"/>
    </row>
    <row r="37" spans="1:11">
      <c r="A37">
        <v>2011</v>
      </c>
      <c r="B37" t="s">
        <v>17</v>
      </c>
      <c r="C37" t="s">
        <v>3785</v>
      </c>
      <c r="D37" t="s">
        <v>3786</v>
      </c>
      <c r="E37" t="s">
        <v>4592</v>
      </c>
      <c r="F37" s="9">
        <v>49.34</v>
      </c>
      <c r="G37" s="9">
        <v>24.6</v>
      </c>
      <c r="H37" s="10">
        <v>12.14</v>
      </c>
      <c r="I37" s="10">
        <v>8.8800000000000008</v>
      </c>
      <c r="J37">
        <v>104</v>
      </c>
      <c r="K37"/>
    </row>
    <row r="38" spans="1:11">
      <c r="A38">
        <v>2012</v>
      </c>
      <c r="B38" t="s">
        <v>17</v>
      </c>
      <c r="C38" t="s">
        <v>3785</v>
      </c>
      <c r="D38" t="s">
        <v>3786</v>
      </c>
      <c r="E38" t="s">
        <v>4592</v>
      </c>
      <c r="F38" s="9">
        <v>49.63</v>
      </c>
      <c r="G38" s="9">
        <v>29.5</v>
      </c>
      <c r="H38" s="10">
        <v>14.64</v>
      </c>
      <c r="I38" s="10">
        <v>8.93</v>
      </c>
      <c r="J38">
        <v>104</v>
      </c>
      <c r="K38"/>
    </row>
    <row r="39" spans="1:11">
      <c r="A39">
        <v>2013</v>
      </c>
      <c r="B39" t="s">
        <v>17</v>
      </c>
      <c r="C39" t="s">
        <v>3785</v>
      </c>
      <c r="D39" t="s">
        <v>3786</v>
      </c>
      <c r="E39" t="s">
        <v>4592</v>
      </c>
      <c r="F39" s="9">
        <v>51</v>
      </c>
      <c r="G39" s="9">
        <v>30.1</v>
      </c>
      <c r="H39" s="10">
        <v>15.34</v>
      </c>
      <c r="I39" s="10">
        <v>9.18</v>
      </c>
      <c r="J39">
        <v>105</v>
      </c>
      <c r="K39"/>
    </row>
    <row r="40" spans="1:11">
      <c r="A40">
        <v>2014</v>
      </c>
      <c r="B40" t="s">
        <v>17</v>
      </c>
      <c r="C40" t="s">
        <v>3785</v>
      </c>
      <c r="D40" t="s">
        <v>3786</v>
      </c>
      <c r="E40" t="s">
        <v>4592</v>
      </c>
      <c r="F40" s="9">
        <v>49.9</v>
      </c>
      <c r="G40" s="9">
        <v>28.5</v>
      </c>
      <c r="H40" s="10">
        <v>14.21</v>
      </c>
      <c r="I40" s="10">
        <v>8.98</v>
      </c>
      <c r="J40">
        <v>104</v>
      </c>
      <c r="K40"/>
    </row>
    <row r="41" spans="1:11">
      <c r="A41">
        <v>2015</v>
      </c>
      <c r="B41" t="s">
        <v>17</v>
      </c>
      <c r="C41" t="s">
        <v>3785</v>
      </c>
      <c r="D41" t="s">
        <v>3786</v>
      </c>
      <c r="E41" t="s">
        <v>4592</v>
      </c>
      <c r="F41" s="9">
        <v>51.25</v>
      </c>
      <c r="G41" s="9">
        <v>27.1</v>
      </c>
      <c r="H41" s="10">
        <v>13.88</v>
      </c>
      <c r="I41" s="10">
        <v>9.23</v>
      </c>
      <c r="J41">
        <v>105</v>
      </c>
      <c r="K41"/>
    </row>
    <row r="42" spans="1:11">
      <c r="A42">
        <v>2016</v>
      </c>
      <c r="B42" t="s">
        <v>17</v>
      </c>
      <c r="C42" t="s">
        <v>3785</v>
      </c>
      <c r="D42" t="s">
        <v>3786</v>
      </c>
      <c r="E42" t="s">
        <v>4592</v>
      </c>
      <c r="F42" s="9">
        <v>53.19</v>
      </c>
      <c r="G42" s="9">
        <v>26</v>
      </c>
      <c r="H42" s="10">
        <v>13.84</v>
      </c>
      <c r="I42" s="10">
        <v>9.57</v>
      </c>
      <c r="J42">
        <v>106</v>
      </c>
      <c r="K42"/>
    </row>
    <row r="43" spans="1:11">
      <c r="A43">
        <v>2017</v>
      </c>
      <c r="B43" t="s">
        <v>17</v>
      </c>
      <c r="C43" t="s">
        <v>3785</v>
      </c>
      <c r="D43" t="s">
        <v>3786</v>
      </c>
      <c r="E43" t="s">
        <v>4592</v>
      </c>
      <c r="F43" s="9">
        <v>54.04</v>
      </c>
      <c r="G43" s="9">
        <v>26.9</v>
      </c>
      <c r="H43" s="10">
        <v>14.51</v>
      </c>
      <c r="I43" s="10">
        <v>9.73</v>
      </c>
      <c r="J43">
        <v>107</v>
      </c>
      <c r="K43"/>
    </row>
    <row r="44" spans="1:11">
      <c r="A44">
        <v>2018</v>
      </c>
      <c r="B44" t="s">
        <v>17</v>
      </c>
      <c r="C44" t="s">
        <v>3785</v>
      </c>
      <c r="D44" t="s">
        <v>3786</v>
      </c>
      <c r="E44" t="s">
        <v>4592</v>
      </c>
      <c r="F44" s="9">
        <v>54.8</v>
      </c>
      <c r="G44" s="9">
        <v>29.5</v>
      </c>
      <c r="H44" s="10">
        <v>16.14</v>
      </c>
      <c r="I44" s="10">
        <v>9.86</v>
      </c>
      <c r="J44">
        <v>107</v>
      </c>
      <c r="K44"/>
    </row>
    <row r="45" spans="1:11">
      <c r="A45">
        <v>2019</v>
      </c>
      <c r="B45" t="s">
        <v>17</v>
      </c>
      <c r="C45" t="s">
        <v>3785</v>
      </c>
      <c r="D45" t="s">
        <v>3786</v>
      </c>
      <c r="E45" t="s">
        <v>4592</v>
      </c>
      <c r="F45" s="9">
        <v>58.62</v>
      </c>
      <c r="G45" s="9">
        <v>28</v>
      </c>
      <c r="H45" s="10">
        <v>16.440000000000001</v>
      </c>
      <c r="I45" s="10">
        <v>10.55</v>
      </c>
      <c r="J45">
        <v>110</v>
      </c>
      <c r="K45"/>
    </row>
    <row r="46" spans="1:11">
      <c r="A46">
        <v>2020</v>
      </c>
      <c r="B46" t="s">
        <v>17</v>
      </c>
      <c r="C46" t="s">
        <v>3785</v>
      </c>
      <c r="D46" t="s">
        <v>3786</v>
      </c>
      <c r="E46" t="s">
        <v>4592</v>
      </c>
      <c r="F46" s="9">
        <v>63</v>
      </c>
      <c r="G46" s="9">
        <v>29.3</v>
      </c>
      <c r="H46" s="10">
        <v>18.48</v>
      </c>
      <c r="I46" s="10">
        <v>11.34</v>
      </c>
      <c r="J46">
        <v>112</v>
      </c>
      <c r="K46"/>
    </row>
    <row r="47" spans="1:11">
      <c r="A47">
        <v>2021</v>
      </c>
      <c r="B47" t="s">
        <v>17</v>
      </c>
      <c r="C47" t="s">
        <v>3785</v>
      </c>
      <c r="D47" t="s">
        <v>3786</v>
      </c>
      <c r="E47" t="s">
        <v>4592</v>
      </c>
      <c r="F47" s="9">
        <v>66.72</v>
      </c>
      <c r="G47" s="9">
        <v>27.7</v>
      </c>
      <c r="H47" s="10">
        <v>18.48</v>
      </c>
      <c r="I47" s="10">
        <v>12.01</v>
      </c>
      <c r="J47">
        <v>114</v>
      </c>
      <c r="K47"/>
    </row>
    <row r="48" spans="1:11">
      <c r="A48">
        <v>2022</v>
      </c>
      <c r="B48" t="s">
        <v>17</v>
      </c>
      <c r="C48" t="s">
        <v>3785</v>
      </c>
      <c r="D48" t="s">
        <v>3786</v>
      </c>
      <c r="E48" t="s">
        <v>4592</v>
      </c>
      <c r="F48" s="9">
        <v>67.83</v>
      </c>
      <c r="G48" s="9">
        <v>27.8</v>
      </c>
      <c r="H48" s="10">
        <v>18.829999999999998</v>
      </c>
      <c r="I48" s="10">
        <v>12.21</v>
      </c>
      <c r="J48">
        <v>114</v>
      </c>
      <c r="K48"/>
    </row>
    <row r="49" spans="1:11">
      <c r="A49">
        <v>2023</v>
      </c>
      <c r="B49" t="s">
        <v>17</v>
      </c>
      <c r="C49" t="s">
        <v>3785</v>
      </c>
      <c r="D49" t="s">
        <v>3786</v>
      </c>
      <c r="E49" t="s">
        <v>4592</v>
      </c>
      <c r="F49" s="9">
        <v>62.36</v>
      </c>
      <c r="G49" s="9">
        <v>23.7</v>
      </c>
      <c r="H49" s="10">
        <v>14.75</v>
      </c>
      <c r="I49" s="10">
        <v>11.23</v>
      </c>
      <c r="J49">
        <v>112</v>
      </c>
      <c r="K49"/>
    </row>
    <row r="50" spans="1:11">
      <c r="A50">
        <v>2024</v>
      </c>
      <c r="B50" t="s">
        <v>17</v>
      </c>
      <c r="C50" t="s">
        <v>3785</v>
      </c>
      <c r="D50" t="s">
        <v>3786</v>
      </c>
      <c r="E50" t="s">
        <v>4592</v>
      </c>
      <c r="F50" s="9">
        <v>62.47</v>
      </c>
      <c r="G50" s="9">
        <v>25</v>
      </c>
      <c r="H50" s="10">
        <v>15.62</v>
      </c>
      <c r="I50" s="10">
        <v>11.24</v>
      </c>
      <c r="J50">
        <v>112</v>
      </c>
      <c r="K50"/>
    </row>
    <row r="51" spans="1:11">
      <c r="A51">
        <v>2025</v>
      </c>
      <c r="B51" t="s">
        <v>17</v>
      </c>
      <c r="C51" t="s">
        <v>3785</v>
      </c>
      <c r="D51" t="s">
        <v>3786</v>
      </c>
      <c r="E51" t="s">
        <v>4592</v>
      </c>
      <c r="F51" s="9">
        <v>68.31</v>
      </c>
      <c r="G51" s="9">
        <v>25.3</v>
      </c>
      <c r="H51" s="10">
        <v>17.27</v>
      </c>
      <c r="I51" s="10">
        <v>12.3</v>
      </c>
      <c r="J51">
        <v>115</v>
      </c>
      <c r="K51"/>
    </row>
    <row r="52" spans="1:11">
      <c r="A52">
        <v>2026</v>
      </c>
      <c r="B52" t="s">
        <v>17</v>
      </c>
      <c r="C52" t="s">
        <v>3785</v>
      </c>
      <c r="D52" t="s">
        <v>3786</v>
      </c>
      <c r="E52" t="s">
        <v>4592</v>
      </c>
      <c r="F52" s="9">
        <v>69.209999999999994</v>
      </c>
      <c r="G52" s="9">
        <v>31.9</v>
      </c>
      <c r="H52" s="10">
        <v>22.08</v>
      </c>
      <c r="I52" s="10">
        <v>12.46</v>
      </c>
      <c r="J52">
        <v>115</v>
      </c>
      <c r="K52"/>
    </row>
    <row r="53" spans="1:11">
      <c r="A53">
        <v>2010</v>
      </c>
      <c r="B53" t="s">
        <v>125</v>
      </c>
      <c r="C53" t="s">
        <v>3787</v>
      </c>
      <c r="D53" t="s">
        <v>3786</v>
      </c>
      <c r="E53" t="s">
        <v>4592</v>
      </c>
      <c r="F53" s="9">
        <v>50.06</v>
      </c>
      <c r="G53" s="9">
        <v>30.2</v>
      </c>
      <c r="H53" s="10">
        <v>15.13</v>
      </c>
      <c r="I53" s="10">
        <v>9.01</v>
      </c>
      <c r="J53">
        <v>104</v>
      </c>
      <c r="K53"/>
    </row>
    <row r="54" spans="1:11">
      <c r="A54">
        <v>2011</v>
      </c>
      <c r="B54" t="s">
        <v>125</v>
      </c>
      <c r="C54" t="s">
        <v>3787</v>
      </c>
      <c r="D54" t="s">
        <v>3786</v>
      </c>
      <c r="E54" t="s">
        <v>4592</v>
      </c>
      <c r="F54" s="9">
        <v>48.97</v>
      </c>
      <c r="G54" s="9">
        <v>27.4</v>
      </c>
      <c r="H54" s="10">
        <v>13.41</v>
      </c>
      <c r="I54" s="10">
        <v>8.81</v>
      </c>
      <c r="J54">
        <v>104</v>
      </c>
      <c r="K54"/>
    </row>
    <row r="55" spans="1:11">
      <c r="A55">
        <v>2012</v>
      </c>
      <c r="B55" t="s">
        <v>125</v>
      </c>
      <c r="C55" t="s">
        <v>3787</v>
      </c>
      <c r="D55" t="s">
        <v>3786</v>
      </c>
      <c r="E55" t="s">
        <v>4592</v>
      </c>
      <c r="F55" s="9">
        <v>48.71</v>
      </c>
      <c r="G55" s="9">
        <v>27</v>
      </c>
      <c r="H55" s="10">
        <v>13.14</v>
      </c>
      <c r="I55" s="10">
        <v>8.77</v>
      </c>
      <c r="J55">
        <v>104</v>
      </c>
      <c r="K55"/>
    </row>
    <row r="56" spans="1:11">
      <c r="A56">
        <v>2013</v>
      </c>
      <c r="B56" t="s">
        <v>125</v>
      </c>
      <c r="C56" t="s">
        <v>3787</v>
      </c>
      <c r="D56" t="s">
        <v>3786</v>
      </c>
      <c r="E56" t="s">
        <v>4592</v>
      </c>
      <c r="F56" s="9">
        <v>51.15</v>
      </c>
      <c r="G56" s="9">
        <v>22.8</v>
      </c>
      <c r="H56" s="10">
        <v>11.67</v>
      </c>
      <c r="I56" s="10">
        <v>9.2100000000000009</v>
      </c>
      <c r="J56">
        <v>105</v>
      </c>
      <c r="K56"/>
    </row>
    <row r="57" spans="1:11">
      <c r="A57">
        <v>2014</v>
      </c>
      <c r="B57" t="s">
        <v>125</v>
      </c>
      <c r="C57" t="s">
        <v>3787</v>
      </c>
      <c r="D57" t="s">
        <v>3786</v>
      </c>
      <c r="E57" t="s">
        <v>4592</v>
      </c>
      <c r="F57" s="9">
        <v>50.29</v>
      </c>
      <c r="G57" s="9">
        <v>28.7</v>
      </c>
      <c r="H57" s="10">
        <v>14.44</v>
      </c>
      <c r="I57" s="10">
        <v>9.0500000000000007</v>
      </c>
      <c r="J57">
        <v>105</v>
      </c>
      <c r="K57"/>
    </row>
    <row r="58" spans="1:11">
      <c r="A58">
        <v>2015</v>
      </c>
      <c r="B58" t="s">
        <v>125</v>
      </c>
      <c r="C58" t="s">
        <v>3787</v>
      </c>
      <c r="D58" t="s">
        <v>3786</v>
      </c>
      <c r="E58" t="s">
        <v>4592</v>
      </c>
      <c r="F58" s="9">
        <v>48.53</v>
      </c>
      <c r="G58" s="9">
        <v>23.7</v>
      </c>
      <c r="H58" s="10">
        <v>11.48</v>
      </c>
      <c r="I58" s="10">
        <v>8.73</v>
      </c>
      <c r="J58">
        <v>103</v>
      </c>
      <c r="K58"/>
    </row>
    <row r="59" spans="1:11">
      <c r="A59">
        <v>2016</v>
      </c>
      <c r="B59" t="s">
        <v>125</v>
      </c>
      <c r="C59" t="s">
        <v>3787</v>
      </c>
      <c r="D59" t="s">
        <v>3786</v>
      </c>
      <c r="E59" t="s">
        <v>4592</v>
      </c>
      <c r="F59" s="9">
        <v>50.34</v>
      </c>
      <c r="G59" s="9">
        <v>26.4</v>
      </c>
      <c r="H59" s="10">
        <v>13.3</v>
      </c>
      <c r="I59" s="10">
        <v>9.06</v>
      </c>
      <c r="J59">
        <v>105</v>
      </c>
      <c r="K59"/>
    </row>
    <row r="60" spans="1:11">
      <c r="A60">
        <v>2017</v>
      </c>
      <c r="B60" t="s">
        <v>125</v>
      </c>
      <c r="C60" t="s">
        <v>3787</v>
      </c>
      <c r="D60" t="s">
        <v>3786</v>
      </c>
      <c r="E60" t="s">
        <v>4592</v>
      </c>
      <c r="F60" s="9">
        <v>51.42</v>
      </c>
      <c r="G60" s="9">
        <v>28.1</v>
      </c>
      <c r="H60" s="10">
        <v>14.43</v>
      </c>
      <c r="I60" s="10">
        <v>9.26</v>
      </c>
      <c r="J60">
        <v>105</v>
      </c>
      <c r="K60"/>
    </row>
    <row r="61" spans="1:11">
      <c r="A61">
        <v>2018</v>
      </c>
      <c r="B61" t="s">
        <v>125</v>
      </c>
      <c r="C61" t="s">
        <v>3787</v>
      </c>
      <c r="D61" t="s">
        <v>3786</v>
      </c>
      <c r="E61" t="s">
        <v>4592</v>
      </c>
      <c r="F61" s="9">
        <v>54.45</v>
      </c>
      <c r="G61" s="9">
        <v>27.3</v>
      </c>
      <c r="H61" s="10">
        <v>14.86</v>
      </c>
      <c r="I61" s="10">
        <v>9.8000000000000007</v>
      </c>
      <c r="J61">
        <v>107</v>
      </c>
      <c r="K61"/>
    </row>
    <row r="62" spans="1:11">
      <c r="A62">
        <v>2019</v>
      </c>
      <c r="B62" t="s">
        <v>125</v>
      </c>
      <c r="C62" t="s">
        <v>3787</v>
      </c>
      <c r="D62" t="s">
        <v>3786</v>
      </c>
      <c r="E62" t="s">
        <v>4592</v>
      </c>
      <c r="F62" s="9">
        <v>48.78</v>
      </c>
      <c r="G62" s="9">
        <v>28.5</v>
      </c>
      <c r="H62" s="10">
        <v>13.92</v>
      </c>
      <c r="I62" s="10">
        <v>8.7799999999999994</v>
      </c>
      <c r="J62">
        <v>104</v>
      </c>
      <c r="K62"/>
    </row>
    <row r="63" spans="1:11">
      <c r="A63">
        <v>2020</v>
      </c>
      <c r="B63" t="s">
        <v>125</v>
      </c>
      <c r="C63" t="s">
        <v>3787</v>
      </c>
      <c r="D63" t="s">
        <v>3786</v>
      </c>
      <c r="E63" t="s">
        <v>4592</v>
      </c>
      <c r="F63" s="9">
        <v>49.02</v>
      </c>
      <c r="G63" s="9">
        <v>32.1</v>
      </c>
      <c r="H63" s="10">
        <v>15.73</v>
      </c>
      <c r="I63" s="10">
        <v>8.82</v>
      </c>
      <c r="J63">
        <v>104</v>
      </c>
      <c r="K63"/>
    </row>
    <row r="64" spans="1:11">
      <c r="A64">
        <v>2021</v>
      </c>
      <c r="B64" t="s">
        <v>125</v>
      </c>
      <c r="C64" t="s">
        <v>3787</v>
      </c>
      <c r="D64" t="s">
        <v>3786</v>
      </c>
      <c r="E64" t="s">
        <v>4592</v>
      </c>
      <c r="F64" s="9">
        <v>50.86</v>
      </c>
      <c r="G64" s="9">
        <v>29.1</v>
      </c>
      <c r="H64" s="10">
        <v>14.78</v>
      </c>
      <c r="I64" s="10">
        <v>9.15</v>
      </c>
      <c r="J64">
        <v>105</v>
      </c>
      <c r="K64"/>
    </row>
    <row r="65" spans="1:11">
      <c r="A65">
        <v>2022</v>
      </c>
      <c r="B65" t="s">
        <v>125</v>
      </c>
      <c r="C65" t="s">
        <v>3787</v>
      </c>
      <c r="D65" t="s">
        <v>3786</v>
      </c>
      <c r="E65" t="s">
        <v>4592</v>
      </c>
      <c r="F65" s="9">
        <v>52.77</v>
      </c>
      <c r="G65" s="9">
        <v>24.4</v>
      </c>
      <c r="H65" s="10">
        <v>12.89</v>
      </c>
      <c r="I65" s="10">
        <v>9.5</v>
      </c>
      <c r="J65">
        <v>106</v>
      </c>
      <c r="K65"/>
    </row>
    <row r="66" spans="1:11">
      <c r="A66">
        <v>2023</v>
      </c>
      <c r="B66" t="s">
        <v>125</v>
      </c>
      <c r="C66" t="s">
        <v>3787</v>
      </c>
      <c r="D66" t="s">
        <v>3786</v>
      </c>
      <c r="E66" t="s">
        <v>4592</v>
      </c>
      <c r="F66" s="9">
        <v>46.5</v>
      </c>
      <c r="G66" s="9">
        <v>25.2</v>
      </c>
      <c r="H66" s="10">
        <v>11.73</v>
      </c>
      <c r="I66" s="10">
        <v>8.3699999999999992</v>
      </c>
      <c r="J66">
        <v>102</v>
      </c>
      <c r="K66"/>
    </row>
    <row r="67" spans="1:11">
      <c r="A67">
        <v>2024</v>
      </c>
      <c r="B67" t="s">
        <v>125</v>
      </c>
      <c r="C67" t="s">
        <v>3787</v>
      </c>
      <c r="D67" t="s">
        <v>3786</v>
      </c>
      <c r="E67" t="s">
        <v>4592</v>
      </c>
      <c r="F67" s="9">
        <v>49.72</v>
      </c>
      <c r="G67" s="9">
        <v>23.9</v>
      </c>
      <c r="H67" s="10">
        <v>11.87</v>
      </c>
      <c r="I67" s="10">
        <v>8.9499999999999993</v>
      </c>
      <c r="J67">
        <v>104</v>
      </c>
      <c r="K67"/>
    </row>
    <row r="68" spans="1:11">
      <c r="A68">
        <v>2025</v>
      </c>
      <c r="B68" t="s">
        <v>125</v>
      </c>
      <c r="C68" t="s">
        <v>3787</v>
      </c>
      <c r="D68" t="s">
        <v>3786</v>
      </c>
      <c r="E68" t="s">
        <v>4592</v>
      </c>
      <c r="F68" s="9">
        <v>53.15</v>
      </c>
      <c r="G68" s="9">
        <v>27.3</v>
      </c>
      <c r="H68" s="10">
        <v>14.53</v>
      </c>
      <c r="I68" s="10">
        <v>9.57</v>
      </c>
      <c r="J68">
        <v>106</v>
      </c>
      <c r="K68"/>
    </row>
    <row r="69" spans="1:11">
      <c r="A69">
        <v>2026</v>
      </c>
      <c r="B69" t="s">
        <v>125</v>
      </c>
      <c r="C69" t="s">
        <v>3787</v>
      </c>
      <c r="D69" t="s">
        <v>3786</v>
      </c>
      <c r="E69" t="s">
        <v>4592</v>
      </c>
      <c r="F69" s="9">
        <v>51.67</v>
      </c>
      <c r="G69" s="9">
        <v>25</v>
      </c>
      <c r="H69" s="10">
        <v>12.89</v>
      </c>
      <c r="I69" s="10">
        <v>9.3000000000000007</v>
      </c>
      <c r="J69">
        <v>105</v>
      </c>
      <c r="K69"/>
    </row>
    <row r="70" spans="1:11">
      <c r="A70">
        <v>2010</v>
      </c>
      <c r="B70" t="s">
        <v>215</v>
      </c>
      <c r="C70" t="s">
        <v>3788</v>
      </c>
      <c r="D70" t="s">
        <v>3783</v>
      </c>
      <c r="E70" t="s">
        <v>4592</v>
      </c>
      <c r="F70" s="9">
        <v>46.33</v>
      </c>
      <c r="G70" s="9">
        <v>30.5</v>
      </c>
      <c r="H70" s="10">
        <v>14.14</v>
      </c>
      <c r="I70" s="10">
        <v>8.34</v>
      </c>
      <c r="J70">
        <v>102</v>
      </c>
      <c r="K70"/>
    </row>
    <row r="71" spans="1:11">
      <c r="A71">
        <v>2011</v>
      </c>
      <c r="B71" t="s">
        <v>215</v>
      </c>
      <c r="C71" t="s">
        <v>3788</v>
      </c>
      <c r="D71" t="s">
        <v>3783</v>
      </c>
      <c r="E71" t="s">
        <v>4592</v>
      </c>
      <c r="F71" s="9">
        <v>47.37</v>
      </c>
      <c r="G71" s="9">
        <v>36.700000000000003</v>
      </c>
      <c r="H71" s="10">
        <v>17.41</v>
      </c>
      <c r="I71" s="10">
        <v>8.5299999999999994</v>
      </c>
      <c r="J71">
        <v>103</v>
      </c>
      <c r="K71"/>
    </row>
    <row r="72" spans="1:11">
      <c r="A72">
        <v>2012</v>
      </c>
      <c r="B72" t="s">
        <v>215</v>
      </c>
      <c r="C72" t="s">
        <v>3788</v>
      </c>
      <c r="D72" t="s">
        <v>3783</v>
      </c>
      <c r="E72" t="s">
        <v>4592</v>
      </c>
      <c r="F72" s="9">
        <v>43.88</v>
      </c>
      <c r="G72" s="9">
        <v>25</v>
      </c>
      <c r="H72" s="10">
        <v>10.98</v>
      </c>
      <c r="I72" s="10">
        <v>7.9</v>
      </c>
      <c r="J72">
        <v>100</v>
      </c>
      <c r="K72"/>
    </row>
    <row r="73" spans="1:11">
      <c r="A73">
        <v>2013</v>
      </c>
      <c r="B73" t="s">
        <v>215</v>
      </c>
      <c r="C73" t="s">
        <v>3788</v>
      </c>
      <c r="D73" t="s">
        <v>3783</v>
      </c>
      <c r="E73" t="s">
        <v>4592</v>
      </c>
      <c r="F73" s="9">
        <v>39.450000000000003</v>
      </c>
      <c r="G73" s="9">
        <v>28.8</v>
      </c>
      <c r="H73" s="10">
        <v>11.36</v>
      </c>
      <c r="I73" s="10">
        <v>7.1</v>
      </c>
      <c r="J73">
        <v>97</v>
      </c>
      <c r="K73"/>
    </row>
    <row r="74" spans="1:11">
      <c r="A74">
        <v>2014</v>
      </c>
      <c r="B74" t="s">
        <v>215</v>
      </c>
      <c r="C74" t="s">
        <v>3788</v>
      </c>
      <c r="D74" t="s">
        <v>3783</v>
      </c>
      <c r="E74" t="s">
        <v>4592</v>
      </c>
      <c r="F74" s="9">
        <v>39.799999999999997</v>
      </c>
      <c r="G74" s="9">
        <v>26.8</v>
      </c>
      <c r="H74" s="10">
        <v>10.65</v>
      </c>
      <c r="I74" s="10">
        <v>7.16</v>
      </c>
      <c r="J74">
        <v>97</v>
      </c>
      <c r="K74"/>
    </row>
    <row r="75" spans="1:11">
      <c r="A75">
        <v>2015</v>
      </c>
      <c r="B75" t="s">
        <v>215</v>
      </c>
      <c r="C75" t="s">
        <v>3788</v>
      </c>
      <c r="D75" t="s">
        <v>3783</v>
      </c>
      <c r="E75" t="s">
        <v>4592</v>
      </c>
      <c r="F75" s="9">
        <v>38.78</v>
      </c>
      <c r="G75" s="9">
        <v>27.6</v>
      </c>
      <c r="H75" s="10">
        <v>10.69</v>
      </c>
      <c r="I75" s="10">
        <v>6.98</v>
      </c>
      <c r="J75">
        <v>97</v>
      </c>
      <c r="K75"/>
    </row>
    <row r="76" spans="1:11">
      <c r="A76">
        <v>2016</v>
      </c>
      <c r="B76" t="s">
        <v>215</v>
      </c>
      <c r="C76" t="s">
        <v>3788</v>
      </c>
      <c r="D76" t="s">
        <v>3783</v>
      </c>
      <c r="E76" t="s">
        <v>4592</v>
      </c>
      <c r="F76" s="9">
        <v>41.75</v>
      </c>
      <c r="G76" s="9">
        <v>28.5</v>
      </c>
      <c r="H76" s="10">
        <v>11.89</v>
      </c>
      <c r="I76" s="10">
        <v>7.51</v>
      </c>
      <c r="J76">
        <v>99</v>
      </c>
      <c r="K76"/>
    </row>
    <row r="77" spans="1:11">
      <c r="A77">
        <v>2017</v>
      </c>
      <c r="B77" t="s">
        <v>215</v>
      </c>
      <c r="C77" t="s">
        <v>3788</v>
      </c>
      <c r="D77" t="s">
        <v>3783</v>
      </c>
      <c r="E77" t="s">
        <v>4592</v>
      </c>
      <c r="F77" s="9">
        <v>41.17</v>
      </c>
      <c r="G77" s="9">
        <v>24.9</v>
      </c>
      <c r="H77" s="10">
        <v>10.25</v>
      </c>
      <c r="I77" s="10">
        <v>7.41</v>
      </c>
      <c r="J77">
        <v>98</v>
      </c>
      <c r="K77"/>
    </row>
    <row r="78" spans="1:11">
      <c r="A78">
        <v>2018</v>
      </c>
      <c r="B78" t="s">
        <v>215</v>
      </c>
      <c r="C78" t="s">
        <v>3788</v>
      </c>
      <c r="D78" t="s">
        <v>3783</v>
      </c>
      <c r="E78" t="s">
        <v>4592</v>
      </c>
      <c r="F78" s="9">
        <v>40.229999999999997</v>
      </c>
      <c r="G78" s="9">
        <v>26.5</v>
      </c>
      <c r="H78" s="10">
        <v>10.68</v>
      </c>
      <c r="I78" s="10">
        <v>7.24</v>
      </c>
      <c r="J78">
        <v>98</v>
      </c>
      <c r="K78"/>
    </row>
    <row r="79" spans="1:11">
      <c r="A79">
        <v>2019</v>
      </c>
      <c r="B79" t="s">
        <v>215</v>
      </c>
      <c r="C79" t="s">
        <v>3788</v>
      </c>
      <c r="D79" t="s">
        <v>3783</v>
      </c>
      <c r="E79" t="s">
        <v>4592</v>
      </c>
      <c r="F79" s="9">
        <v>45.03</v>
      </c>
      <c r="G79" s="9">
        <v>33.299999999999997</v>
      </c>
      <c r="H79" s="10">
        <v>15</v>
      </c>
      <c r="I79" s="10">
        <v>8.1</v>
      </c>
      <c r="J79">
        <v>101</v>
      </c>
      <c r="K79"/>
    </row>
    <row r="80" spans="1:11">
      <c r="A80">
        <v>2020</v>
      </c>
      <c r="B80" t="s">
        <v>215</v>
      </c>
      <c r="C80" t="s">
        <v>3788</v>
      </c>
      <c r="D80" t="s">
        <v>3783</v>
      </c>
      <c r="E80" t="s">
        <v>4592</v>
      </c>
      <c r="F80" s="9">
        <v>48.09</v>
      </c>
      <c r="G80" s="9">
        <v>30.9</v>
      </c>
      <c r="H80" s="10">
        <v>14.88</v>
      </c>
      <c r="I80" s="10">
        <v>8.66</v>
      </c>
      <c r="J80">
        <v>103</v>
      </c>
      <c r="K80"/>
    </row>
    <row r="81" spans="1:11">
      <c r="A81">
        <v>2021</v>
      </c>
      <c r="B81" t="s">
        <v>215</v>
      </c>
      <c r="C81" t="s">
        <v>3788</v>
      </c>
      <c r="D81" t="s">
        <v>3783</v>
      </c>
      <c r="E81" t="s">
        <v>4592</v>
      </c>
      <c r="F81" s="9">
        <v>52.8</v>
      </c>
      <c r="G81" s="9">
        <v>24.4</v>
      </c>
      <c r="H81" s="10">
        <v>12.91</v>
      </c>
      <c r="I81" s="10">
        <v>9.5</v>
      </c>
      <c r="J81">
        <v>106</v>
      </c>
      <c r="K81"/>
    </row>
    <row r="82" spans="1:11">
      <c r="A82">
        <v>2022</v>
      </c>
      <c r="B82" t="s">
        <v>215</v>
      </c>
      <c r="C82" t="s">
        <v>3788</v>
      </c>
      <c r="D82" t="s">
        <v>3783</v>
      </c>
      <c r="E82" t="s">
        <v>4592</v>
      </c>
      <c r="F82" s="9">
        <v>57.61</v>
      </c>
      <c r="G82" s="9">
        <v>25.8</v>
      </c>
      <c r="H82" s="10">
        <v>14.88</v>
      </c>
      <c r="I82" s="10">
        <v>10.37</v>
      </c>
      <c r="J82">
        <v>109</v>
      </c>
      <c r="K82"/>
    </row>
    <row r="83" spans="1:11">
      <c r="A83">
        <v>2023</v>
      </c>
      <c r="B83" t="s">
        <v>215</v>
      </c>
      <c r="C83" t="s">
        <v>3788</v>
      </c>
      <c r="D83" t="s">
        <v>3783</v>
      </c>
      <c r="E83" t="s">
        <v>4592</v>
      </c>
      <c r="F83" s="9">
        <v>64.06</v>
      </c>
      <c r="G83" s="9">
        <v>25.5</v>
      </c>
      <c r="H83" s="10">
        <v>16.36</v>
      </c>
      <c r="I83" s="10">
        <v>11.53</v>
      </c>
      <c r="J83">
        <v>113</v>
      </c>
      <c r="K83"/>
    </row>
    <row r="84" spans="1:11">
      <c r="A84">
        <v>2024</v>
      </c>
      <c r="B84" t="s">
        <v>215</v>
      </c>
      <c r="C84" t="s">
        <v>3788</v>
      </c>
      <c r="D84" t="s">
        <v>3783</v>
      </c>
      <c r="E84" t="s">
        <v>4592</v>
      </c>
      <c r="F84" s="9">
        <v>65.84</v>
      </c>
      <c r="G84" s="9">
        <v>25.3</v>
      </c>
      <c r="H84" s="10">
        <v>16.649999999999999</v>
      </c>
      <c r="I84" s="10">
        <v>11.85</v>
      </c>
      <c r="J84">
        <v>113</v>
      </c>
      <c r="K84"/>
    </row>
    <row r="85" spans="1:11">
      <c r="A85">
        <v>2025</v>
      </c>
      <c r="B85" t="s">
        <v>215</v>
      </c>
      <c r="C85" t="s">
        <v>3788</v>
      </c>
      <c r="D85" t="s">
        <v>3783</v>
      </c>
      <c r="E85" t="s">
        <v>4592</v>
      </c>
      <c r="F85" s="9">
        <v>69</v>
      </c>
      <c r="G85" s="9">
        <v>29.2</v>
      </c>
      <c r="H85" s="10">
        <v>20.12</v>
      </c>
      <c r="I85" s="10">
        <v>12.42</v>
      </c>
      <c r="J85">
        <v>115</v>
      </c>
      <c r="K85"/>
    </row>
    <row r="86" spans="1:11">
      <c r="A86">
        <v>2026</v>
      </c>
      <c r="B86" t="s">
        <v>215</v>
      </c>
      <c r="C86" t="s">
        <v>3788</v>
      </c>
      <c r="D86" t="s">
        <v>3783</v>
      </c>
      <c r="E86" t="s">
        <v>4592</v>
      </c>
      <c r="F86" s="9">
        <v>69.67</v>
      </c>
      <c r="G86" s="9">
        <v>27.9</v>
      </c>
      <c r="H86" s="10">
        <v>19.420000000000002</v>
      </c>
      <c r="I86" s="10">
        <v>12.54</v>
      </c>
      <c r="J86">
        <v>115</v>
      </c>
      <c r="K86"/>
    </row>
    <row r="87" spans="1:11">
      <c r="A87">
        <v>2013</v>
      </c>
      <c r="B87" t="s">
        <v>3860</v>
      </c>
      <c r="C87" t="s">
        <v>3789</v>
      </c>
      <c r="D87" t="s">
        <v>3783</v>
      </c>
      <c r="E87" t="s">
        <v>4592</v>
      </c>
      <c r="F87" s="9">
        <v>18.43</v>
      </c>
      <c r="G87" s="9">
        <v>29.3</v>
      </c>
      <c r="H87" s="10">
        <v>5.41</v>
      </c>
      <c r="I87" s="10">
        <v>3.32</v>
      </c>
      <c r="J87">
        <v>77</v>
      </c>
      <c r="K87"/>
    </row>
    <row r="88" spans="1:11">
      <c r="A88">
        <v>2014</v>
      </c>
      <c r="B88" t="s">
        <v>3860</v>
      </c>
      <c r="C88" t="s">
        <v>3789</v>
      </c>
      <c r="D88" t="s">
        <v>3783</v>
      </c>
      <c r="E88" t="s">
        <v>4592</v>
      </c>
      <c r="F88" s="9">
        <v>20.57</v>
      </c>
      <c r="G88" s="9">
        <v>24.3</v>
      </c>
      <c r="H88" s="10">
        <v>5</v>
      </c>
      <c r="I88" s="10">
        <v>3.7</v>
      </c>
      <c r="J88">
        <v>80</v>
      </c>
      <c r="K88"/>
    </row>
    <row r="89" spans="1:11">
      <c r="A89">
        <v>2015</v>
      </c>
      <c r="B89" t="s">
        <v>3860</v>
      </c>
      <c r="C89" t="s">
        <v>3789</v>
      </c>
      <c r="D89" t="s">
        <v>3783</v>
      </c>
      <c r="E89" t="s">
        <v>4592</v>
      </c>
      <c r="F89" s="9">
        <v>22.04</v>
      </c>
      <c r="G89" s="9">
        <v>28.5</v>
      </c>
      <c r="H89" s="10">
        <v>6.28</v>
      </c>
      <c r="I89" s="10">
        <v>3.97</v>
      </c>
      <c r="J89">
        <v>82</v>
      </c>
      <c r="K89"/>
    </row>
    <row r="90" spans="1:11">
      <c r="A90">
        <v>2016</v>
      </c>
      <c r="B90" t="s">
        <v>3860</v>
      </c>
      <c r="C90" t="s">
        <v>3789</v>
      </c>
      <c r="D90" t="s">
        <v>3783</v>
      </c>
      <c r="E90" t="s">
        <v>4592</v>
      </c>
      <c r="F90" s="9">
        <v>27.47</v>
      </c>
      <c r="G90" s="9">
        <v>28.5</v>
      </c>
      <c r="H90" s="10">
        <v>7.82</v>
      </c>
      <c r="I90" s="10">
        <v>4.9400000000000004</v>
      </c>
      <c r="J90">
        <v>87</v>
      </c>
      <c r="K90"/>
    </row>
    <row r="91" spans="1:11">
      <c r="A91">
        <v>2017</v>
      </c>
      <c r="B91" t="s">
        <v>3860</v>
      </c>
      <c r="C91" t="s">
        <v>3789</v>
      </c>
      <c r="D91" t="s">
        <v>3783</v>
      </c>
      <c r="E91" t="s">
        <v>4592</v>
      </c>
      <c r="F91" s="9">
        <v>29.4</v>
      </c>
      <c r="G91" s="9">
        <v>28.9</v>
      </c>
      <c r="H91" s="10">
        <v>8.48</v>
      </c>
      <c r="I91" s="10">
        <v>5.29</v>
      </c>
      <c r="J91">
        <v>89</v>
      </c>
      <c r="K91"/>
    </row>
    <row r="92" spans="1:11">
      <c r="A92">
        <v>2018</v>
      </c>
      <c r="B92" t="s">
        <v>3860</v>
      </c>
      <c r="C92" t="s">
        <v>3789</v>
      </c>
      <c r="D92" t="s">
        <v>3783</v>
      </c>
      <c r="E92" t="s">
        <v>4592</v>
      </c>
      <c r="F92" s="9">
        <v>34.11</v>
      </c>
      <c r="G92" s="9">
        <v>28.7</v>
      </c>
      <c r="H92" s="10">
        <v>9.7799999999999994</v>
      </c>
      <c r="I92" s="10">
        <v>6.14</v>
      </c>
      <c r="J92">
        <v>93</v>
      </c>
      <c r="K92"/>
    </row>
    <row r="93" spans="1:11">
      <c r="A93">
        <v>2019</v>
      </c>
      <c r="B93" t="s">
        <v>3860</v>
      </c>
      <c r="C93" t="s">
        <v>3789</v>
      </c>
      <c r="D93" t="s">
        <v>3783</v>
      </c>
      <c r="E93" t="s">
        <v>4592</v>
      </c>
      <c r="F93" s="9">
        <v>38.82</v>
      </c>
      <c r="G93" s="9">
        <v>31.3</v>
      </c>
      <c r="H93" s="10">
        <v>12.16</v>
      </c>
      <c r="I93" s="10">
        <v>6.99</v>
      </c>
      <c r="J93">
        <v>97</v>
      </c>
      <c r="K93"/>
    </row>
    <row r="94" spans="1:11">
      <c r="A94">
        <v>2020</v>
      </c>
      <c r="B94" t="s">
        <v>3860</v>
      </c>
      <c r="C94" t="s">
        <v>3789</v>
      </c>
      <c r="D94" t="s">
        <v>3783</v>
      </c>
      <c r="E94" t="s">
        <v>4592</v>
      </c>
      <c r="F94" s="9">
        <v>46.39</v>
      </c>
      <c r="G94" s="9">
        <v>32.6</v>
      </c>
      <c r="H94" s="10">
        <v>15.13</v>
      </c>
      <c r="I94" s="10">
        <v>8.35</v>
      </c>
      <c r="J94">
        <v>102</v>
      </c>
      <c r="K94"/>
    </row>
    <row r="95" spans="1:11">
      <c r="A95">
        <v>2021</v>
      </c>
      <c r="B95" t="s">
        <v>3860</v>
      </c>
      <c r="C95" t="s">
        <v>3789</v>
      </c>
      <c r="D95" t="s">
        <v>3783</v>
      </c>
      <c r="E95" t="s">
        <v>4592</v>
      </c>
      <c r="F95" s="9">
        <v>52.19</v>
      </c>
      <c r="G95" s="9">
        <v>24.3</v>
      </c>
      <c r="H95" s="10">
        <v>12.7</v>
      </c>
      <c r="I95" s="10">
        <v>9.39</v>
      </c>
      <c r="J95">
        <v>106</v>
      </c>
      <c r="K95"/>
    </row>
    <row r="96" spans="1:11">
      <c r="A96">
        <v>2022</v>
      </c>
      <c r="B96" t="s">
        <v>3860</v>
      </c>
      <c r="C96" t="s">
        <v>3789</v>
      </c>
      <c r="D96" t="s">
        <v>3783</v>
      </c>
      <c r="E96" t="s">
        <v>4592</v>
      </c>
      <c r="F96" s="9">
        <v>55.67</v>
      </c>
      <c r="G96" s="9">
        <v>33</v>
      </c>
      <c r="H96" s="10">
        <v>18.34</v>
      </c>
      <c r="I96" s="10">
        <v>10.02</v>
      </c>
      <c r="J96">
        <v>108</v>
      </c>
      <c r="K96"/>
    </row>
    <row r="97" spans="1:11">
      <c r="A97">
        <v>2023</v>
      </c>
      <c r="B97" t="s">
        <v>3860</v>
      </c>
      <c r="C97" t="s">
        <v>3789</v>
      </c>
      <c r="D97" t="s">
        <v>3783</v>
      </c>
      <c r="E97" t="s">
        <v>4592</v>
      </c>
      <c r="F97" s="9">
        <v>57.18</v>
      </c>
      <c r="G97" s="9">
        <v>27.5</v>
      </c>
      <c r="H97" s="10">
        <v>15.7</v>
      </c>
      <c r="I97" s="10">
        <v>10.29</v>
      </c>
      <c r="J97">
        <v>109</v>
      </c>
      <c r="K97"/>
    </row>
    <row r="98" spans="1:11">
      <c r="A98">
        <v>2024</v>
      </c>
      <c r="B98" t="s">
        <v>3860</v>
      </c>
      <c r="C98" t="s">
        <v>3789</v>
      </c>
      <c r="D98" t="s">
        <v>3783</v>
      </c>
      <c r="E98" t="s">
        <v>4592</v>
      </c>
      <c r="F98" s="9">
        <v>55.66</v>
      </c>
      <c r="G98" s="9">
        <v>32.4</v>
      </c>
      <c r="H98" s="10">
        <v>18.02</v>
      </c>
      <c r="I98" s="10">
        <v>10.02</v>
      </c>
      <c r="J98">
        <v>108</v>
      </c>
      <c r="K98"/>
    </row>
    <row r="99" spans="1:11">
      <c r="A99">
        <v>2025</v>
      </c>
      <c r="B99" t="s">
        <v>3860</v>
      </c>
      <c r="C99" t="s">
        <v>3789</v>
      </c>
      <c r="D99" t="s">
        <v>3783</v>
      </c>
      <c r="E99" t="s">
        <v>4592</v>
      </c>
      <c r="F99" s="9">
        <v>56.25</v>
      </c>
      <c r="G99" s="9">
        <v>25.3</v>
      </c>
      <c r="H99" s="10">
        <v>14.24</v>
      </c>
      <c r="I99" s="10">
        <v>10.130000000000001</v>
      </c>
      <c r="J99">
        <v>108</v>
      </c>
      <c r="K99"/>
    </row>
    <row r="100" spans="1:11">
      <c r="A100">
        <v>2026</v>
      </c>
      <c r="B100" t="s">
        <v>3860</v>
      </c>
      <c r="C100" t="s">
        <v>3789</v>
      </c>
      <c r="D100" t="s">
        <v>3783</v>
      </c>
      <c r="E100" t="s">
        <v>4592</v>
      </c>
      <c r="F100" s="9">
        <v>61.17</v>
      </c>
      <c r="G100" s="9">
        <v>26.8</v>
      </c>
      <c r="H100" s="10">
        <v>16.399999999999999</v>
      </c>
      <c r="I100" s="10">
        <v>11.01</v>
      </c>
      <c r="J100">
        <v>111</v>
      </c>
      <c r="K100"/>
    </row>
    <row r="101" spans="1:11">
      <c r="A101">
        <v>2010</v>
      </c>
      <c r="B101" t="s">
        <v>23</v>
      </c>
      <c r="C101" t="s">
        <v>3790</v>
      </c>
      <c r="D101" t="s">
        <v>3791</v>
      </c>
      <c r="E101" t="s">
        <v>4592</v>
      </c>
      <c r="F101" s="9">
        <v>32.4</v>
      </c>
      <c r="G101" s="9">
        <v>27.5</v>
      </c>
      <c r="H101" s="10">
        <v>8.91</v>
      </c>
      <c r="I101" s="10">
        <v>5.83</v>
      </c>
      <c r="J101">
        <v>92</v>
      </c>
      <c r="K101"/>
    </row>
    <row r="102" spans="1:11">
      <c r="A102">
        <v>2011</v>
      </c>
      <c r="B102" t="s">
        <v>23</v>
      </c>
      <c r="C102" t="s">
        <v>3790</v>
      </c>
      <c r="D102" t="s">
        <v>3791</v>
      </c>
      <c r="E102" t="s">
        <v>4592</v>
      </c>
      <c r="F102" s="9">
        <v>33.68</v>
      </c>
      <c r="G102" s="9">
        <v>32.200000000000003</v>
      </c>
      <c r="H102" s="10">
        <v>10.85</v>
      </c>
      <c r="I102" s="10">
        <v>6.06</v>
      </c>
      <c r="J102">
        <v>93</v>
      </c>
      <c r="K102"/>
    </row>
    <row r="103" spans="1:11">
      <c r="A103">
        <v>2012</v>
      </c>
      <c r="B103" t="s">
        <v>23</v>
      </c>
      <c r="C103" t="s">
        <v>3790</v>
      </c>
      <c r="D103" t="s">
        <v>3791</v>
      </c>
      <c r="E103" t="s">
        <v>4592</v>
      </c>
      <c r="F103" s="9">
        <v>34.369999999999997</v>
      </c>
      <c r="G103" s="9">
        <v>29.9</v>
      </c>
      <c r="H103" s="10">
        <v>10.29</v>
      </c>
      <c r="I103" s="10">
        <v>6.19</v>
      </c>
      <c r="J103">
        <v>93</v>
      </c>
      <c r="K103"/>
    </row>
    <row r="104" spans="1:11">
      <c r="A104">
        <v>2013</v>
      </c>
      <c r="B104" t="s">
        <v>23</v>
      </c>
      <c r="C104" t="s">
        <v>3790</v>
      </c>
      <c r="D104" t="s">
        <v>3791</v>
      </c>
      <c r="E104" t="s">
        <v>4592</v>
      </c>
      <c r="F104" s="9">
        <v>33.119999999999997</v>
      </c>
      <c r="G104" s="9">
        <v>27.9</v>
      </c>
      <c r="H104" s="10">
        <v>9.2200000000000006</v>
      </c>
      <c r="I104" s="10">
        <v>5.96</v>
      </c>
      <c r="J104">
        <v>92</v>
      </c>
      <c r="K104"/>
    </row>
    <row r="105" spans="1:11">
      <c r="A105">
        <v>2014</v>
      </c>
      <c r="B105" t="s">
        <v>23</v>
      </c>
      <c r="C105" t="s">
        <v>3790</v>
      </c>
      <c r="D105" t="s">
        <v>3791</v>
      </c>
      <c r="E105" t="s">
        <v>4592</v>
      </c>
      <c r="F105" s="9">
        <v>35.26</v>
      </c>
      <c r="G105" s="9">
        <v>24.3</v>
      </c>
      <c r="H105" s="10">
        <v>8.58</v>
      </c>
      <c r="I105" s="10">
        <v>6.35</v>
      </c>
      <c r="J105">
        <v>94</v>
      </c>
      <c r="K105"/>
    </row>
    <row r="106" spans="1:11">
      <c r="A106">
        <v>2015</v>
      </c>
      <c r="B106" t="s">
        <v>23</v>
      </c>
      <c r="C106" t="s">
        <v>3790</v>
      </c>
      <c r="D106" t="s">
        <v>3791</v>
      </c>
      <c r="E106" t="s">
        <v>4592</v>
      </c>
      <c r="F106" s="9">
        <v>36.14</v>
      </c>
      <c r="G106" s="9">
        <v>27</v>
      </c>
      <c r="H106" s="10">
        <v>9.76</v>
      </c>
      <c r="I106" s="10">
        <v>6.5</v>
      </c>
      <c r="J106">
        <v>95</v>
      </c>
      <c r="K106"/>
    </row>
    <row r="107" spans="1:11">
      <c r="A107">
        <v>2016</v>
      </c>
      <c r="B107" t="s">
        <v>23</v>
      </c>
      <c r="C107" t="s">
        <v>3790</v>
      </c>
      <c r="D107" t="s">
        <v>3791</v>
      </c>
      <c r="E107" t="s">
        <v>4592</v>
      </c>
      <c r="F107" s="9">
        <v>37.450000000000003</v>
      </c>
      <c r="G107" s="9">
        <v>24</v>
      </c>
      <c r="H107" s="10">
        <v>9</v>
      </c>
      <c r="I107" s="10">
        <v>6.74</v>
      </c>
      <c r="J107">
        <v>96</v>
      </c>
      <c r="K107"/>
    </row>
    <row r="108" spans="1:11">
      <c r="A108">
        <v>2017</v>
      </c>
      <c r="B108" t="s">
        <v>23</v>
      </c>
      <c r="C108" t="s">
        <v>3790</v>
      </c>
      <c r="D108" t="s">
        <v>3791</v>
      </c>
      <c r="E108" t="s">
        <v>4592</v>
      </c>
      <c r="F108" s="9">
        <v>35.799999999999997</v>
      </c>
      <c r="G108" s="9">
        <v>26.5</v>
      </c>
      <c r="H108" s="10">
        <v>9.5</v>
      </c>
      <c r="I108" s="10">
        <v>6.44</v>
      </c>
      <c r="J108">
        <v>94</v>
      </c>
      <c r="K108"/>
    </row>
    <row r="109" spans="1:11">
      <c r="A109">
        <v>2018</v>
      </c>
      <c r="B109" t="s">
        <v>23</v>
      </c>
      <c r="C109" t="s">
        <v>3790</v>
      </c>
      <c r="D109" t="s">
        <v>3791</v>
      </c>
      <c r="E109" t="s">
        <v>4592</v>
      </c>
      <c r="F109" s="9">
        <v>34.76</v>
      </c>
      <c r="G109" s="9">
        <v>31</v>
      </c>
      <c r="H109" s="10">
        <v>10.78</v>
      </c>
      <c r="I109" s="10">
        <v>6.26</v>
      </c>
      <c r="J109">
        <v>94</v>
      </c>
      <c r="K109"/>
    </row>
    <row r="110" spans="1:11">
      <c r="A110">
        <v>2019</v>
      </c>
      <c r="B110" t="s">
        <v>23</v>
      </c>
      <c r="C110" t="s">
        <v>3790</v>
      </c>
      <c r="D110" t="s">
        <v>3791</v>
      </c>
      <c r="E110" t="s">
        <v>4592</v>
      </c>
      <c r="F110" s="9">
        <v>36.130000000000003</v>
      </c>
      <c r="G110" s="9">
        <v>32</v>
      </c>
      <c r="H110" s="10">
        <v>11.57</v>
      </c>
      <c r="I110" s="10">
        <v>6.5</v>
      </c>
      <c r="J110">
        <v>95</v>
      </c>
      <c r="K110"/>
    </row>
    <row r="111" spans="1:11">
      <c r="A111">
        <v>2020</v>
      </c>
      <c r="B111" t="s">
        <v>23</v>
      </c>
      <c r="C111" t="s">
        <v>3790</v>
      </c>
      <c r="D111" t="s">
        <v>3791</v>
      </c>
      <c r="E111" t="s">
        <v>4592</v>
      </c>
      <c r="F111" s="9">
        <v>35.83</v>
      </c>
      <c r="G111" s="9">
        <v>25.9</v>
      </c>
      <c r="H111" s="10">
        <v>9.2899999999999991</v>
      </c>
      <c r="I111" s="10">
        <v>6.45</v>
      </c>
      <c r="J111">
        <v>94</v>
      </c>
      <c r="K111"/>
    </row>
    <row r="112" spans="1:11">
      <c r="A112">
        <v>2021</v>
      </c>
      <c r="B112" t="s">
        <v>23</v>
      </c>
      <c r="C112" t="s">
        <v>3790</v>
      </c>
      <c r="D112" t="s">
        <v>3791</v>
      </c>
      <c r="E112" t="s">
        <v>4592</v>
      </c>
      <c r="F112" s="9">
        <v>39.19</v>
      </c>
      <c r="G112" s="9">
        <v>28.7</v>
      </c>
      <c r="H112" s="10">
        <v>11.26</v>
      </c>
      <c r="I112" s="10">
        <v>7.05</v>
      </c>
      <c r="J112">
        <v>97</v>
      </c>
      <c r="K112"/>
    </row>
    <row r="113" spans="1:11">
      <c r="A113">
        <v>2022</v>
      </c>
      <c r="B113" t="s">
        <v>23</v>
      </c>
      <c r="C113" t="s">
        <v>3790</v>
      </c>
      <c r="D113" t="s">
        <v>3791</v>
      </c>
      <c r="E113" t="s">
        <v>4592</v>
      </c>
      <c r="F113" s="9">
        <v>43.13</v>
      </c>
      <c r="G113" s="9">
        <v>24.7</v>
      </c>
      <c r="H113" s="10">
        <v>10.67</v>
      </c>
      <c r="I113" s="10">
        <v>7.76</v>
      </c>
      <c r="J113">
        <v>100</v>
      </c>
      <c r="K113"/>
    </row>
    <row r="114" spans="1:11">
      <c r="A114">
        <v>2023</v>
      </c>
      <c r="B114" t="s">
        <v>23</v>
      </c>
      <c r="C114" t="s">
        <v>3790</v>
      </c>
      <c r="D114" t="s">
        <v>3791</v>
      </c>
      <c r="E114" t="s">
        <v>4592</v>
      </c>
      <c r="F114" s="9">
        <v>43.22</v>
      </c>
      <c r="G114" s="9">
        <v>28.7</v>
      </c>
      <c r="H114" s="10">
        <v>12.4</v>
      </c>
      <c r="I114" s="10">
        <v>7.78</v>
      </c>
      <c r="J114">
        <v>100</v>
      </c>
      <c r="K114"/>
    </row>
    <row r="115" spans="1:11">
      <c r="A115">
        <v>2024</v>
      </c>
      <c r="B115" t="s">
        <v>23</v>
      </c>
      <c r="C115" t="s">
        <v>3790</v>
      </c>
      <c r="D115" t="s">
        <v>3791</v>
      </c>
      <c r="E115" t="s">
        <v>4592</v>
      </c>
      <c r="F115" s="9">
        <v>44.22</v>
      </c>
      <c r="G115" s="9">
        <v>33.6</v>
      </c>
      <c r="H115" s="10">
        <v>14.87</v>
      </c>
      <c r="I115" s="10">
        <v>7.96</v>
      </c>
      <c r="J115">
        <v>101</v>
      </c>
      <c r="K115"/>
    </row>
    <row r="116" spans="1:11">
      <c r="A116">
        <v>2025</v>
      </c>
      <c r="B116" t="s">
        <v>23</v>
      </c>
      <c r="C116" t="s">
        <v>3790</v>
      </c>
      <c r="D116" t="s">
        <v>3791</v>
      </c>
      <c r="E116" t="s">
        <v>4592</v>
      </c>
      <c r="F116" s="9">
        <v>41.43</v>
      </c>
      <c r="G116" s="9">
        <v>27.1</v>
      </c>
      <c r="H116" s="10">
        <v>11.24</v>
      </c>
      <c r="I116" s="10">
        <v>7.46</v>
      </c>
      <c r="J116">
        <v>99</v>
      </c>
      <c r="K116"/>
    </row>
    <row r="117" spans="1:11">
      <c r="A117">
        <v>2026</v>
      </c>
      <c r="B117" t="s">
        <v>23</v>
      </c>
      <c r="C117" t="s">
        <v>3790</v>
      </c>
      <c r="D117" t="s">
        <v>3791</v>
      </c>
      <c r="E117" t="s">
        <v>4592</v>
      </c>
      <c r="F117" s="9">
        <v>42.11</v>
      </c>
      <c r="G117" s="9">
        <v>26.2</v>
      </c>
      <c r="H117" s="10">
        <v>11.04</v>
      </c>
      <c r="I117" s="10">
        <v>7.58</v>
      </c>
      <c r="J117">
        <v>99</v>
      </c>
      <c r="K117"/>
    </row>
    <row r="118" spans="1:11">
      <c r="A118">
        <v>2010</v>
      </c>
      <c r="B118" t="s">
        <v>3846</v>
      </c>
      <c r="C118" t="s">
        <v>38</v>
      </c>
      <c r="D118" t="s">
        <v>3792</v>
      </c>
      <c r="E118" t="s">
        <v>4592</v>
      </c>
      <c r="F118" s="9">
        <v>28.67</v>
      </c>
      <c r="G118" s="9">
        <v>31.6</v>
      </c>
      <c r="H118" s="10">
        <v>9.06</v>
      </c>
      <c r="I118" s="10">
        <v>5.16</v>
      </c>
      <c r="J118">
        <v>88</v>
      </c>
      <c r="K118"/>
    </row>
    <row r="119" spans="1:11">
      <c r="A119">
        <v>2011</v>
      </c>
      <c r="B119" t="s">
        <v>3846</v>
      </c>
      <c r="C119" t="s">
        <v>38</v>
      </c>
      <c r="D119" t="s">
        <v>3792</v>
      </c>
      <c r="E119" t="s">
        <v>4592</v>
      </c>
      <c r="F119" s="9">
        <v>26.91</v>
      </c>
      <c r="G119" s="9">
        <v>26</v>
      </c>
      <c r="H119" s="10">
        <v>7.01</v>
      </c>
      <c r="I119" s="10">
        <v>4.84</v>
      </c>
      <c r="J119">
        <v>87</v>
      </c>
      <c r="K119"/>
    </row>
    <row r="120" spans="1:11">
      <c r="A120">
        <v>2012</v>
      </c>
      <c r="B120" t="s">
        <v>3846</v>
      </c>
      <c r="C120" t="s">
        <v>38</v>
      </c>
      <c r="D120" t="s">
        <v>3792</v>
      </c>
      <c r="E120" t="s">
        <v>4592</v>
      </c>
      <c r="F120" s="9">
        <v>24.94</v>
      </c>
      <c r="G120" s="9">
        <v>27.5</v>
      </c>
      <c r="H120" s="10">
        <v>6.86</v>
      </c>
      <c r="I120" s="10">
        <v>4.49</v>
      </c>
      <c r="J120">
        <v>85</v>
      </c>
      <c r="K120"/>
    </row>
    <row r="121" spans="1:11">
      <c r="A121">
        <v>2013</v>
      </c>
      <c r="B121" t="s">
        <v>3846</v>
      </c>
      <c r="C121" t="s">
        <v>38</v>
      </c>
      <c r="D121" t="s">
        <v>3792</v>
      </c>
      <c r="E121" t="s">
        <v>4592</v>
      </c>
      <c r="F121" s="9">
        <v>24.89</v>
      </c>
      <c r="G121" s="9">
        <v>26.4</v>
      </c>
      <c r="H121" s="10">
        <v>6.57</v>
      </c>
      <c r="I121" s="10">
        <v>4.4800000000000004</v>
      </c>
      <c r="J121">
        <v>85</v>
      </c>
      <c r="K121"/>
    </row>
    <row r="122" spans="1:11">
      <c r="A122">
        <v>2014</v>
      </c>
      <c r="B122" t="s">
        <v>3846</v>
      </c>
      <c r="C122" t="s">
        <v>38</v>
      </c>
      <c r="D122" t="s">
        <v>3792</v>
      </c>
      <c r="E122" t="s">
        <v>4592</v>
      </c>
      <c r="F122" s="9">
        <v>24.16</v>
      </c>
      <c r="G122" s="9">
        <v>27.7</v>
      </c>
      <c r="H122" s="10">
        <v>6.7</v>
      </c>
      <c r="I122" s="10">
        <v>4.3499999999999996</v>
      </c>
      <c r="J122">
        <v>84</v>
      </c>
      <c r="K122"/>
    </row>
    <row r="123" spans="1:11">
      <c r="A123">
        <v>2015</v>
      </c>
      <c r="B123" t="s">
        <v>3846</v>
      </c>
      <c r="C123" t="s">
        <v>38</v>
      </c>
      <c r="D123" t="s">
        <v>3792</v>
      </c>
      <c r="E123" t="s">
        <v>4592</v>
      </c>
      <c r="F123" s="9">
        <v>22.67</v>
      </c>
      <c r="G123" s="9">
        <v>23.6</v>
      </c>
      <c r="H123" s="10">
        <v>5.35</v>
      </c>
      <c r="I123" s="10">
        <v>4.08</v>
      </c>
      <c r="J123">
        <v>82</v>
      </c>
      <c r="K123"/>
    </row>
    <row r="124" spans="1:11">
      <c r="A124">
        <v>2016</v>
      </c>
      <c r="B124" t="s">
        <v>3846</v>
      </c>
      <c r="C124" t="s">
        <v>38</v>
      </c>
      <c r="D124" t="s">
        <v>3792</v>
      </c>
      <c r="E124" t="s">
        <v>4592</v>
      </c>
      <c r="F124" s="9">
        <v>27.93</v>
      </c>
      <c r="G124" s="9">
        <v>24.1</v>
      </c>
      <c r="H124" s="10">
        <v>6.74</v>
      </c>
      <c r="I124" s="10">
        <v>5.03</v>
      </c>
      <c r="J124">
        <v>88</v>
      </c>
      <c r="K124"/>
    </row>
    <row r="125" spans="1:11">
      <c r="A125">
        <v>2017</v>
      </c>
      <c r="B125" t="s">
        <v>3846</v>
      </c>
      <c r="C125" t="s">
        <v>38</v>
      </c>
      <c r="D125" t="s">
        <v>3792</v>
      </c>
      <c r="E125" t="s">
        <v>4592</v>
      </c>
      <c r="F125" s="9">
        <v>27.58</v>
      </c>
      <c r="G125" s="9">
        <v>33.5</v>
      </c>
      <c r="H125" s="10">
        <v>9.24</v>
      </c>
      <c r="I125" s="10">
        <v>4.96</v>
      </c>
      <c r="J125">
        <v>87</v>
      </c>
      <c r="K125"/>
    </row>
    <row r="126" spans="1:11">
      <c r="A126">
        <v>2018</v>
      </c>
      <c r="B126" t="s">
        <v>3846</v>
      </c>
      <c r="C126" t="s">
        <v>38</v>
      </c>
      <c r="D126" t="s">
        <v>3792</v>
      </c>
      <c r="E126" t="s">
        <v>4592</v>
      </c>
      <c r="F126" s="9">
        <v>33.6</v>
      </c>
      <c r="G126" s="9">
        <v>24.5</v>
      </c>
      <c r="H126" s="10">
        <v>8.23</v>
      </c>
      <c r="I126" s="10">
        <v>6.05</v>
      </c>
      <c r="J126">
        <v>93</v>
      </c>
      <c r="K126"/>
    </row>
    <row r="127" spans="1:11">
      <c r="A127">
        <v>2019</v>
      </c>
      <c r="B127" t="s">
        <v>3846</v>
      </c>
      <c r="C127" t="s">
        <v>38</v>
      </c>
      <c r="D127" t="s">
        <v>3792</v>
      </c>
      <c r="E127" t="s">
        <v>4592</v>
      </c>
      <c r="F127" s="9">
        <v>32.090000000000003</v>
      </c>
      <c r="G127" s="9">
        <v>29</v>
      </c>
      <c r="H127" s="10">
        <v>9.32</v>
      </c>
      <c r="I127" s="10">
        <v>5.78</v>
      </c>
      <c r="J127">
        <v>91</v>
      </c>
      <c r="K127"/>
    </row>
    <row r="128" spans="1:11">
      <c r="A128">
        <v>2020</v>
      </c>
      <c r="B128" t="s">
        <v>3846</v>
      </c>
      <c r="C128" t="s">
        <v>38</v>
      </c>
      <c r="D128" t="s">
        <v>3792</v>
      </c>
      <c r="E128" t="s">
        <v>4592</v>
      </c>
      <c r="F128" s="9">
        <v>35.92</v>
      </c>
      <c r="G128" s="9">
        <v>25</v>
      </c>
      <c r="H128" s="10">
        <v>8.99</v>
      </c>
      <c r="I128" s="10">
        <v>6.46</v>
      </c>
      <c r="J128">
        <v>94</v>
      </c>
      <c r="K128"/>
    </row>
    <row r="129" spans="1:11">
      <c r="A129">
        <v>2021</v>
      </c>
      <c r="B129" t="s">
        <v>3846</v>
      </c>
      <c r="C129" t="s">
        <v>38</v>
      </c>
      <c r="D129" t="s">
        <v>3792</v>
      </c>
      <c r="E129" t="s">
        <v>4592</v>
      </c>
      <c r="F129" s="9">
        <v>31.47</v>
      </c>
      <c r="G129" s="9">
        <v>30.3</v>
      </c>
      <c r="H129" s="10">
        <v>9.5399999999999991</v>
      </c>
      <c r="I129" s="10">
        <v>5.66</v>
      </c>
      <c r="J129">
        <v>91</v>
      </c>
      <c r="K129"/>
    </row>
    <row r="130" spans="1:11">
      <c r="A130">
        <v>2022</v>
      </c>
      <c r="B130" t="s">
        <v>3846</v>
      </c>
      <c r="C130" t="s">
        <v>38</v>
      </c>
      <c r="D130" t="s">
        <v>3792</v>
      </c>
      <c r="E130" t="s">
        <v>4592</v>
      </c>
      <c r="F130" s="9">
        <v>29.68</v>
      </c>
      <c r="G130" s="9">
        <v>26.9</v>
      </c>
      <c r="H130" s="10">
        <v>7.98</v>
      </c>
      <c r="I130" s="10">
        <v>5.34</v>
      </c>
      <c r="J130">
        <v>89</v>
      </c>
      <c r="K130"/>
    </row>
    <row r="131" spans="1:11">
      <c r="A131">
        <v>2023</v>
      </c>
      <c r="B131" t="s">
        <v>3846</v>
      </c>
      <c r="C131" t="s">
        <v>38</v>
      </c>
      <c r="D131" t="s">
        <v>3792</v>
      </c>
      <c r="E131" t="s">
        <v>4592</v>
      </c>
      <c r="F131" s="9">
        <v>30.18</v>
      </c>
      <c r="G131" s="9">
        <v>23.9</v>
      </c>
      <c r="H131" s="10">
        <v>7.21</v>
      </c>
      <c r="I131" s="10">
        <v>5.43</v>
      </c>
      <c r="J131">
        <v>90</v>
      </c>
      <c r="K131"/>
    </row>
    <row r="132" spans="1:11">
      <c r="A132">
        <v>2024</v>
      </c>
      <c r="B132" t="s">
        <v>3846</v>
      </c>
      <c r="C132" t="s">
        <v>38</v>
      </c>
      <c r="D132" t="s">
        <v>3792</v>
      </c>
      <c r="E132" t="s">
        <v>4592</v>
      </c>
      <c r="F132" s="9">
        <v>31.18</v>
      </c>
      <c r="G132" s="9">
        <v>27.2</v>
      </c>
      <c r="H132" s="10">
        <v>8.48</v>
      </c>
      <c r="I132" s="10">
        <v>5.61</v>
      </c>
      <c r="J132">
        <v>91</v>
      </c>
      <c r="K132"/>
    </row>
    <row r="133" spans="1:11">
      <c r="A133">
        <v>2025</v>
      </c>
      <c r="B133" t="s">
        <v>3846</v>
      </c>
      <c r="C133" t="s">
        <v>38</v>
      </c>
      <c r="D133" t="s">
        <v>3792</v>
      </c>
      <c r="E133" t="s">
        <v>4592</v>
      </c>
      <c r="F133" s="9">
        <v>32.68</v>
      </c>
      <c r="G133" s="9">
        <v>26.3</v>
      </c>
      <c r="H133" s="10">
        <v>8.61</v>
      </c>
      <c r="I133" s="10">
        <v>5.88</v>
      </c>
      <c r="J133">
        <v>92</v>
      </c>
      <c r="K133"/>
    </row>
    <row r="134" spans="1:11">
      <c r="A134">
        <v>2026</v>
      </c>
      <c r="B134" t="s">
        <v>3846</v>
      </c>
      <c r="C134" t="s">
        <v>38</v>
      </c>
      <c r="D134" t="s">
        <v>3792</v>
      </c>
      <c r="E134" t="s">
        <v>4592</v>
      </c>
      <c r="F134" s="9">
        <v>33.979999999999997</v>
      </c>
      <c r="G134" s="9">
        <v>31</v>
      </c>
      <c r="H134" s="10">
        <v>10.55</v>
      </c>
      <c r="I134" s="10">
        <v>6.12</v>
      </c>
      <c r="J134">
        <v>93</v>
      </c>
      <c r="K134"/>
    </row>
    <row r="135" spans="1:11">
      <c r="A135">
        <v>2010</v>
      </c>
      <c r="B135" t="s">
        <v>3903</v>
      </c>
      <c r="C135" t="s">
        <v>3793</v>
      </c>
      <c r="D135" t="s">
        <v>3792</v>
      </c>
      <c r="E135" t="s">
        <v>4592</v>
      </c>
      <c r="F135" s="9">
        <v>33.46</v>
      </c>
      <c r="G135" s="9">
        <v>29.1</v>
      </c>
      <c r="H135" s="10">
        <v>9.7200000000000006</v>
      </c>
      <c r="I135" s="10">
        <v>6.02</v>
      </c>
      <c r="J135">
        <v>92</v>
      </c>
      <c r="K135"/>
    </row>
    <row r="136" spans="1:11">
      <c r="A136">
        <v>2011</v>
      </c>
      <c r="B136" t="s">
        <v>3903</v>
      </c>
      <c r="C136" t="s">
        <v>3793</v>
      </c>
      <c r="D136" t="s">
        <v>3792</v>
      </c>
      <c r="E136" t="s">
        <v>4592</v>
      </c>
      <c r="F136" s="9">
        <v>31.63</v>
      </c>
      <c r="G136" s="9">
        <v>28</v>
      </c>
      <c r="H136" s="10">
        <v>8.86</v>
      </c>
      <c r="I136" s="10">
        <v>5.69</v>
      </c>
      <c r="J136">
        <v>91</v>
      </c>
      <c r="K136"/>
    </row>
    <row r="137" spans="1:11">
      <c r="A137">
        <v>2012</v>
      </c>
      <c r="B137" t="s">
        <v>3903</v>
      </c>
      <c r="C137" t="s">
        <v>3793</v>
      </c>
      <c r="D137" t="s">
        <v>3792</v>
      </c>
      <c r="E137" t="s">
        <v>4592</v>
      </c>
      <c r="F137" s="9">
        <v>29.22</v>
      </c>
      <c r="G137" s="9">
        <v>28.9</v>
      </c>
      <c r="H137" s="10">
        <v>8.4600000000000009</v>
      </c>
      <c r="I137" s="10">
        <v>5.26</v>
      </c>
      <c r="J137">
        <v>89</v>
      </c>
      <c r="K137"/>
    </row>
    <row r="138" spans="1:11">
      <c r="A138">
        <v>2013</v>
      </c>
      <c r="B138" t="s">
        <v>3903</v>
      </c>
      <c r="C138" t="s">
        <v>3793</v>
      </c>
      <c r="D138" t="s">
        <v>3792</v>
      </c>
      <c r="E138" t="s">
        <v>4592</v>
      </c>
      <c r="F138" s="9">
        <v>28.06</v>
      </c>
      <c r="G138" s="9">
        <v>34.299999999999997</v>
      </c>
      <c r="H138" s="10">
        <v>9.6199999999999992</v>
      </c>
      <c r="I138" s="10">
        <v>5.05</v>
      </c>
      <c r="J138">
        <v>88</v>
      </c>
      <c r="K138"/>
    </row>
    <row r="139" spans="1:11">
      <c r="A139">
        <v>2014</v>
      </c>
      <c r="B139" t="s">
        <v>3903</v>
      </c>
      <c r="C139" t="s">
        <v>3793</v>
      </c>
      <c r="D139" t="s">
        <v>3792</v>
      </c>
      <c r="E139" t="s">
        <v>4592</v>
      </c>
      <c r="F139" s="9">
        <v>27.7</v>
      </c>
      <c r="G139" s="9">
        <v>29.2</v>
      </c>
      <c r="H139" s="10">
        <v>8.08</v>
      </c>
      <c r="I139" s="10">
        <v>4.99</v>
      </c>
      <c r="J139">
        <v>87</v>
      </c>
      <c r="K139"/>
    </row>
    <row r="140" spans="1:11">
      <c r="A140">
        <v>2015</v>
      </c>
      <c r="B140" t="s">
        <v>3903</v>
      </c>
      <c r="C140" t="s">
        <v>3793</v>
      </c>
      <c r="D140" t="s">
        <v>3792</v>
      </c>
      <c r="E140" t="s">
        <v>4592</v>
      </c>
      <c r="F140" s="9">
        <v>24.14</v>
      </c>
      <c r="G140" s="9">
        <v>24.7</v>
      </c>
      <c r="H140" s="10">
        <v>5.95</v>
      </c>
      <c r="I140" s="10">
        <v>4.3499999999999996</v>
      </c>
      <c r="J140">
        <v>84</v>
      </c>
      <c r="K140"/>
    </row>
    <row r="141" spans="1:11">
      <c r="A141">
        <v>2016</v>
      </c>
      <c r="B141" t="s">
        <v>3903</v>
      </c>
      <c r="C141" t="s">
        <v>3793</v>
      </c>
      <c r="D141" t="s">
        <v>3792</v>
      </c>
      <c r="E141" t="s">
        <v>4592</v>
      </c>
      <c r="F141" s="9">
        <v>24.7</v>
      </c>
      <c r="G141" s="9">
        <v>28.8</v>
      </c>
      <c r="H141" s="10">
        <v>7.11</v>
      </c>
      <c r="I141" s="10">
        <v>4.45</v>
      </c>
      <c r="J141">
        <v>84</v>
      </c>
      <c r="K141"/>
    </row>
    <row r="142" spans="1:11">
      <c r="A142">
        <v>2017</v>
      </c>
      <c r="B142" t="s">
        <v>3903</v>
      </c>
      <c r="C142" t="s">
        <v>3793</v>
      </c>
      <c r="D142" t="s">
        <v>3792</v>
      </c>
      <c r="E142" t="s">
        <v>4592</v>
      </c>
      <c r="F142" s="9">
        <v>23.3</v>
      </c>
      <c r="G142" s="9">
        <v>22.8</v>
      </c>
      <c r="H142" s="10">
        <v>5.3</v>
      </c>
      <c r="I142" s="10">
        <v>4.1900000000000004</v>
      </c>
      <c r="J142">
        <v>83</v>
      </c>
      <c r="K142"/>
    </row>
    <row r="143" spans="1:11">
      <c r="A143">
        <v>2018</v>
      </c>
      <c r="B143" t="s">
        <v>3903</v>
      </c>
      <c r="C143" t="s">
        <v>3793</v>
      </c>
      <c r="D143" t="s">
        <v>3792</v>
      </c>
      <c r="E143" t="s">
        <v>4592</v>
      </c>
      <c r="F143" s="9">
        <v>22.72</v>
      </c>
      <c r="G143" s="9">
        <v>29.4</v>
      </c>
      <c r="H143" s="10">
        <v>6.67</v>
      </c>
      <c r="I143" s="10">
        <v>4.09</v>
      </c>
      <c r="J143">
        <v>82</v>
      </c>
      <c r="K143"/>
    </row>
    <row r="144" spans="1:11">
      <c r="A144">
        <v>2019</v>
      </c>
      <c r="B144" t="s">
        <v>3903</v>
      </c>
      <c r="C144" t="s">
        <v>3793</v>
      </c>
      <c r="D144" t="s">
        <v>3792</v>
      </c>
      <c r="E144" t="s">
        <v>4592</v>
      </c>
      <c r="F144" s="9">
        <v>23.55</v>
      </c>
      <c r="G144" s="9">
        <v>26.6</v>
      </c>
      <c r="H144" s="10">
        <v>6.26</v>
      </c>
      <c r="I144" s="10">
        <v>4.24</v>
      </c>
      <c r="J144">
        <v>83</v>
      </c>
      <c r="K144"/>
    </row>
    <row r="145" spans="1:11">
      <c r="A145">
        <v>2020</v>
      </c>
      <c r="B145" t="s">
        <v>3903</v>
      </c>
      <c r="C145" t="s">
        <v>3793</v>
      </c>
      <c r="D145" t="s">
        <v>3792</v>
      </c>
      <c r="E145" t="s">
        <v>4592</v>
      </c>
      <c r="F145" s="9">
        <v>26.81</v>
      </c>
      <c r="G145" s="9">
        <v>28.2</v>
      </c>
      <c r="H145" s="10">
        <v>7.55</v>
      </c>
      <c r="I145" s="10">
        <v>4.83</v>
      </c>
      <c r="J145">
        <v>87</v>
      </c>
      <c r="K145"/>
    </row>
    <row r="146" spans="1:11">
      <c r="A146">
        <v>2021</v>
      </c>
      <c r="B146" t="s">
        <v>3903</v>
      </c>
      <c r="C146" t="s">
        <v>3793</v>
      </c>
      <c r="D146" t="s">
        <v>3792</v>
      </c>
      <c r="E146" t="s">
        <v>4592</v>
      </c>
      <c r="F146" s="9">
        <v>35.19</v>
      </c>
      <c r="G146" s="9">
        <v>27.7</v>
      </c>
      <c r="H146" s="10">
        <v>9.74</v>
      </c>
      <c r="I146" s="10">
        <v>6.33</v>
      </c>
      <c r="J146">
        <v>94</v>
      </c>
      <c r="K146"/>
    </row>
    <row r="147" spans="1:11">
      <c r="A147">
        <v>2022</v>
      </c>
      <c r="B147" t="s">
        <v>3903</v>
      </c>
      <c r="C147" t="s">
        <v>3793</v>
      </c>
      <c r="D147" t="s">
        <v>3792</v>
      </c>
      <c r="E147" t="s">
        <v>4592</v>
      </c>
      <c r="F147" s="9">
        <v>44.07</v>
      </c>
      <c r="G147" s="9">
        <v>28.5</v>
      </c>
      <c r="H147" s="10">
        <v>12.54</v>
      </c>
      <c r="I147" s="10">
        <v>7.93</v>
      </c>
      <c r="J147">
        <v>101</v>
      </c>
      <c r="K147"/>
    </row>
    <row r="148" spans="1:11">
      <c r="A148">
        <v>2023</v>
      </c>
      <c r="B148" t="s">
        <v>3903</v>
      </c>
      <c r="C148" t="s">
        <v>3793</v>
      </c>
      <c r="D148" t="s">
        <v>3792</v>
      </c>
      <c r="E148" t="s">
        <v>4592</v>
      </c>
      <c r="F148" s="9">
        <v>47.87</v>
      </c>
      <c r="G148" s="9">
        <v>20.3</v>
      </c>
      <c r="H148" s="10">
        <v>9.7200000000000006</v>
      </c>
      <c r="I148" s="10">
        <v>8.6199999999999992</v>
      </c>
      <c r="J148">
        <v>103</v>
      </c>
      <c r="K148"/>
    </row>
    <row r="149" spans="1:11">
      <c r="A149">
        <v>2024</v>
      </c>
      <c r="B149" t="s">
        <v>3903</v>
      </c>
      <c r="C149" t="s">
        <v>3793</v>
      </c>
      <c r="D149" t="s">
        <v>3792</v>
      </c>
      <c r="E149" t="s">
        <v>4592</v>
      </c>
      <c r="F149" s="9">
        <v>53.72</v>
      </c>
      <c r="G149" s="9">
        <v>28.5</v>
      </c>
      <c r="H149" s="10">
        <v>15.33</v>
      </c>
      <c r="I149" s="10">
        <v>9.67</v>
      </c>
      <c r="J149">
        <v>107</v>
      </c>
      <c r="K149"/>
    </row>
    <row r="150" spans="1:11">
      <c r="A150">
        <v>2025</v>
      </c>
      <c r="B150" t="s">
        <v>3903</v>
      </c>
      <c r="C150" t="s">
        <v>3793</v>
      </c>
      <c r="D150" t="s">
        <v>3792</v>
      </c>
      <c r="E150" t="s">
        <v>4592</v>
      </c>
      <c r="F150" s="9">
        <v>58.57</v>
      </c>
      <c r="G150" s="9">
        <v>26.9</v>
      </c>
      <c r="H150" s="10">
        <v>15.75</v>
      </c>
      <c r="I150" s="10">
        <v>10.54</v>
      </c>
      <c r="J150">
        <v>110</v>
      </c>
      <c r="K150"/>
    </row>
    <row r="151" spans="1:11">
      <c r="A151">
        <v>2026</v>
      </c>
      <c r="B151" t="s">
        <v>3903</v>
      </c>
      <c r="C151" t="s">
        <v>3793</v>
      </c>
      <c r="D151" t="s">
        <v>3792</v>
      </c>
      <c r="E151" t="s">
        <v>4592</v>
      </c>
      <c r="F151" s="9">
        <v>58.82</v>
      </c>
      <c r="G151" s="9">
        <v>29</v>
      </c>
      <c r="H151" s="10">
        <v>17.05</v>
      </c>
      <c r="I151" s="10">
        <v>10.59</v>
      </c>
      <c r="J151">
        <v>110</v>
      </c>
      <c r="K151"/>
    </row>
    <row r="152" spans="1:11">
      <c r="A152">
        <v>2010</v>
      </c>
      <c r="B152" t="s">
        <v>3794</v>
      </c>
      <c r="C152" t="s">
        <v>3795</v>
      </c>
      <c r="D152" t="s">
        <v>3783</v>
      </c>
      <c r="E152" t="s">
        <v>4592</v>
      </c>
      <c r="F152" s="9">
        <v>20.54</v>
      </c>
      <c r="G152" s="9">
        <v>23.4</v>
      </c>
      <c r="H152" s="10">
        <v>4.8099999999999996</v>
      </c>
      <c r="I152" s="10">
        <v>3.7</v>
      </c>
      <c r="J152">
        <v>80</v>
      </c>
      <c r="K152"/>
    </row>
    <row r="153" spans="1:11">
      <c r="A153">
        <v>2011</v>
      </c>
      <c r="B153" t="s">
        <v>3794</v>
      </c>
      <c r="C153" t="s">
        <v>3795</v>
      </c>
      <c r="D153" t="s">
        <v>3783</v>
      </c>
      <c r="E153" t="s">
        <v>4592</v>
      </c>
      <c r="F153" s="9">
        <v>19.420000000000002</v>
      </c>
      <c r="G153" s="9">
        <v>27</v>
      </c>
      <c r="H153" s="10">
        <v>5.25</v>
      </c>
      <c r="I153" s="10">
        <v>3.5</v>
      </c>
      <c r="J153">
        <v>78</v>
      </c>
      <c r="K153"/>
    </row>
    <row r="154" spans="1:11">
      <c r="A154">
        <v>2012</v>
      </c>
      <c r="B154" t="s">
        <v>3794</v>
      </c>
      <c r="C154" t="s">
        <v>3795</v>
      </c>
      <c r="D154" t="s">
        <v>3783</v>
      </c>
      <c r="E154" t="s">
        <v>4592</v>
      </c>
      <c r="F154" s="9">
        <v>18.309999999999999</v>
      </c>
      <c r="G154" s="9">
        <v>24.8</v>
      </c>
      <c r="H154" s="10">
        <v>4.55</v>
      </c>
      <c r="I154" s="10">
        <v>3.3</v>
      </c>
      <c r="J154">
        <v>77</v>
      </c>
      <c r="K154"/>
    </row>
    <row r="155" spans="1:11">
      <c r="A155">
        <v>2013</v>
      </c>
      <c r="B155" t="s">
        <v>3794</v>
      </c>
      <c r="C155" t="s">
        <v>3795</v>
      </c>
      <c r="D155" t="s">
        <v>3783</v>
      </c>
      <c r="E155" t="s">
        <v>4592</v>
      </c>
      <c r="F155" s="9">
        <v>17.579999999999998</v>
      </c>
      <c r="G155" s="9">
        <v>31.9</v>
      </c>
      <c r="H155" s="10">
        <v>5.61</v>
      </c>
      <c r="I155" s="10">
        <v>3.16</v>
      </c>
      <c r="J155">
        <v>76</v>
      </c>
      <c r="K155"/>
    </row>
    <row r="156" spans="1:11">
      <c r="A156">
        <v>2014</v>
      </c>
      <c r="B156" t="s">
        <v>3794</v>
      </c>
      <c r="C156" t="s">
        <v>3795</v>
      </c>
      <c r="D156" t="s">
        <v>3783</v>
      </c>
      <c r="E156" t="s">
        <v>4592</v>
      </c>
      <c r="F156" s="9">
        <v>17.48</v>
      </c>
      <c r="G156" s="9">
        <v>33.200000000000003</v>
      </c>
      <c r="H156" s="10">
        <v>5.8</v>
      </c>
      <c r="I156" s="10">
        <v>3.15</v>
      </c>
      <c r="J156">
        <v>76</v>
      </c>
      <c r="K156"/>
    </row>
    <row r="157" spans="1:11">
      <c r="A157">
        <v>2015</v>
      </c>
      <c r="B157" t="s">
        <v>3794</v>
      </c>
      <c r="C157" t="s">
        <v>3795</v>
      </c>
      <c r="D157" t="s">
        <v>3783</v>
      </c>
      <c r="E157" t="s">
        <v>4592</v>
      </c>
      <c r="F157" s="9">
        <v>17.2</v>
      </c>
      <c r="G157" s="9">
        <v>29.3</v>
      </c>
      <c r="H157" s="10">
        <v>5.04</v>
      </c>
      <c r="I157" s="10">
        <v>3.1</v>
      </c>
      <c r="J157">
        <v>76</v>
      </c>
      <c r="K157"/>
    </row>
    <row r="158" spans="1:11">
      <c r="A158">
        <v>2016</v>
      </c>
      <c r="B158" t="s">
        <v>3794</v>
      </c>
      <c r="C158" t="s">
        <v>3795</v>
      </c>
      <c r="D158" t="s">
        <v>3783</v>
      </c>
      <c r="E158" t="s">
        <v>4592</v>
      </c>
      <c r="F158" s="9">
        <v>19.600000000000001</v>
      </c>
      <c r="G158" s="9">
        <v>29.3</v>
      </c>
      <c r="H158" s="10">
        <v>5.75</v>
      </c>
      <c r="I158" s="10">
        <v>3.53</v>
      </c>
      <c r="J158">
        <v>79</v>
      </c>
      <c r="K158"/>
    </row>
    <row r="159" spans="1:11">
      <c r="A159">
        <v>2017</v>
      </c>
      <c r="B159" t="s">
        <v>3794</v>
      </c>
      <c r="C159" t="s">
        <v>3795</v>
      </c>
      <c r="D159" t="s">
        <v>3783</v>
      </c>
      <c r="E159" t="s">
        <v>4592</v>
      </c>
      <c r="F159" s="9">
        <v>21.12</v>
      </c>
      <c r="G159" s="9">
        <v>27.1</v>
      </c>
      <c r="H159" s="10">
        <v>5.73</v>
      </c>
      <c r="I159" s="10">
        <v>3.8</v>
      </c>
      <c r="J159">
        <v>81</v>
      </c>
      <c r="K159"/>
    </row>
    <row r="160" spans="1:11">
      <c r="A160">
        <v>2018</v>
      </c>
      <c r="B160" t="s">
        <v>3794</v>
      </c>
      <c r="C160" t="s">
        <v>3795</v>
      </c>
      <c r="D160" t="s">
        <v>3783</v>
      </c>
      <c r="E160" t="s">
        <v>4592</v>
      </c>
      <c r="F160" s="9">
        <v>22.65</v>
      </c>
      <c r="G160" s="9">
        <v>25.9</v>
      </c>
      <c r="H160" s="10">
        <v>5.87</v>
      </c>
      <c r="I160" s="10">
        <v>4.08</v>
      </c>
      <c r="J160">
        <v>82</v>
      </c>
      <c r="K160"/>
    </row>
    <row r="161" spans="1:11">
      <c r="A161">
        <v>2019</v>
      </c>
      <c r="B161" t="s">
        <v>3794</v>
      </c>
      <c r="C161" t="s">
        <v>3795</v>
      </c>
      <c r="D161" t="s">
        <v>3783</v>
      </c>
      <c r="E161" t="s">
        <v>4592</v>
      </c>
      <c r="F161" s="9">
        <v>33.53</v>
      </c>
      <c r="G161" s="9">
        <v>24.5</v>
      </c>
      <c r="H161" s="10">
        <v>8.1999999999999993</v>
      </c>
      <c r="I161" s="10">
        <v>6.04</v>
      </c>
      <c r="J161">
        <v>93</v>
      </c>
      <c r="K161"/>
    </row>
    <row r="162" spans="1:11">
      <c r="A162">
        <v>2020</v>
      </c>
      <c r="B162" t="s">
        <v>3794</v>
      </c>
      <c r="C162" t="s">
        <v>3795</v>
      </c>
      <c r="D162" t="s">
        <v>3783</v>
      </c>
      <c r="E162" t="s">
        <v>4592</v>
      </c>
      <c r="F162" s="9">
        <v>43.51</v>
      </c>
      <c r="G162" s="9">
        <v>27.4</v>
      </c>
      <c r="H162" s="10">
        <v>11.93</v>
      </c>
      <c r="I162" s="10">
        <v>7.83</v>
      </c>
      <c r="J162">
        <v>100</v>
      </c>
      <c r="K162"/>
    </row>
    <row r="163" spans="1:11">
      <c r="A163">
        <v>2021</v>
      </c>
      <c r="B163" t="s">
        <v>3794</v>
      </c>
      <c r="C163" t="s">
        <v>3795</v>
      </c>
      <c r="D163" t="s">
        <v>3783</v>
      </c>
      <c r="E163" t="s">
        <v>4592</v>
      </c>
      <c r="F163" s="9">
        <v>45.94</v>
      </c>
      <c r="G163" s="9">
        <v>30.3</v>
      </c>
      <c r="H163" s="10">
        <v>13.9</v>
      </c>
      <c r="I163" s="10">
        <v>8.27</v>
      </c>
      <c r="J163">
        <v>102</v>
      </c>
      <c r="K163"/>
    </row>
    <row r="164" spans="1:11">
      <c r="A164">
        <v>2022</v>
      </c>
      <c r="B164" t="s">
        <v>3794</v>
      </c>
      <c r="C164" t="s">
        <v>3795</v>
      </c>
      <c r="D164" t="s">
        <v>3783</v>
      </c>
      <c r="E164" t="s">
        <v>4592</v>
      </c>
      <c r="F164" s="9">
        <v>48.79</v>
      </c>
      <c r="G164" s="9">
        <v>30.2</v>
      </c>
      <c r="H164" s="10">
        <v>14.73</v>
      </c>
      <c r="I164" s="10">
        <v>8.7799999999999994</v>
      </c>
      <c r="J164">
        <v>104</v>
      </c>
      <c r="K164"/>
    </row>
    <row r="165" spans="1:11">
      <c r="A165">
        <v>2023</v>
      </c>
      <c r="B165" t="s">
        <v>3794</v>
      </c>
      <c r="C165" t="s">
        <v>3795</v>
      </c>
      <c r="D165" t="s">
        <v>3783</v>
      </c>
      <c r="E165" t="s">
        <v>4592</v>
      </c>
      <c r="F165" s="9">
        <v>42.93</v>
      </c>
      <c r="G165" s="9">
        <v>27.8</v>
      </c>
      <c r="H165" s="10">
        <v>11.93</v>
      </c>
      <c r="I165" s="10">
        <v>7.73</v>
      </c>
      <c r="J165">
        <v>100</v>
      </c>
      <c r="K165"/>
    </row>
    <row r="166" spans="1:11">
      <c r="A166">
        <v>2024</v>
      </c>
      <c r="B166" t="s">
        <v>3794</v>
      </c>
      <c r="C166" t="s">
        <v>3795</v>
      </c>
      <c r="D166" t="s">
        <v>3783</v>
      </c>
      <c r="E166" t="s">
        <v>4592</v>
      </c>
      <c r="F166" s="9">
        <v>46.63</v>
      </c>
      <c r="G166" s="9">
        <v>26.4</v>
      </c>
      <c r="H166" s="10">
        <v>12.33</v>
      </c>
      <c r="I166" s="10">
        <v>8.39</v>
      </c>
      <c r="J166">
        <v>102</v>
      </c>
      <c r="K166"/>
    </row>
    <row r="167" spans="1:11">
      <c r="A167">
        <v>2025</v>
      </c>
      <c r="B167" t="s">
        <v>3794</v>
      </c>
      <c r="C167" t="s">
        <v>3795</v>
      </c>
      <c r="D167" t="s">
        <v>3783</v>
      </c>
      <c r="E167" t="s">
        <v>4592</v>
      </c>
      <c r="F167" s="9">
        <v>51.43</v>
      </c>
      <c r="G167" s="9">
        <v>29.9</v>
      </c>
      <c r="H167" s="10">
        <v>15.38</v>
      </c>
      <c r="I167" s="10">
        <v>9.26</v>
      </c>
      <c r="J167">
        <v>105</v>
      </c>
      <c r="K167"/>
    </row>
    <row r="168" spans="1:11">
      <c r="A168">
        <v>2026</v>
      </c>
      <c r="B168" t="s">
        <v>3794</v>
      </c>
      <c r="C168" t="s">
        <v>3795</v>
      </c>
      <c r="D168" t="s">
        <v>3783</v>
      </c>
      <c r="E168" t="s">
        <v>4592</v>
      </c>
      <c r="F168" s="9">
        <v>48.96</v>
      </c>
      <c r="G168" s="9">
        <v>25</v>
      </c>
      <c r="H168" s="10">
        <v>12.22</v>
      </c>
      <c r="I168" s="10">
        <v>8.81</v>
      </c>
      <c r="J168">
        <v>104</v>
      </c>
      <c r="K168"/>
    </row>
    <row r="169" spans="1:11">
      <c r="A169">
        <v>2010</v>
      </c>
      <c r="B169" t="s">
        <v>376</v>
      </c>
      <c r="C169" t="s">
        <v>3796</v>
      </c>
      <c r="D169" t="s">
        <v>3783</v>
      </c>
      <c r="E169" t="s">
        <v>4592</v>
      </c>
      <c r="F169" s="9">
        <v>23.12</v>
      </c>
      <c r="G169" s="9">
        <v>24.4</v>
      </c>
      <c r="H169" s="10">
        <v>5.63</v>
      </c>
      <c r="I169" s="10">
        <v>4.16</v>
      </c>
      <c r="J169">
        <v>83</v>
      </c>
      <c r="K169"/>
    </row>
    <row r="170" spans="1:11">
      <c r="A170">
        <v>2011</v>
      </c>
      <c r="B170" t="s">
        <v>376</v>
      </c>
      <c r="C170" t="s">
        <v>3796</v>
      </c>
      <c r="D170" t="s">
        <v>3783</v>
      </c>
      <c r="E170" t="s">
        <v>4592</v>
      </c>
      <c r="F170" s="9">
        <v>22.01</v>
      </c>
      <c r="G170" s="9">
        <v>28.9</v>
      </c>
      <c r="H170" s="10">
        <v>6.37</v>
      </c>
      <c r="I170" s="10">
        <v>3.96</v>
      </c>
      <c r="J170">
        <v>82</v>
      </c>
      <c r="K170"/>
    </row>
    <row r="171" spans="1:11">
      <c r="A171">
        <v>2012</v>
      </c>
      <c r="B171" t="s">
        <v>376</v>
      </c>
      <c r="C171" t="s">
        <v>3796</v>
      </c>
      <c r="D171" t="s">
        <v>3783</v>
      </c>
      <c r="E171" t="s">
        <v>4592</v>
      </c>
      <c r="F171" s="9">
        <v>22.59</v>
      </c>
      <c r="G171" s="9">
        <v>29.8</v>
      </c>
      <c r="H171" s="10">
        <v>6.74</v>
      </c>
      <c r="I171" s="10">
        <v>4.07</v>
      </c>
      <c r="J171">
        <v>82</v>
      </c>
      <c r="K171"/>
    </row>
    <row r="172" spans="1:11">
      <c r="A172">
        <v>2013</v>
      </c>
      <c r="B172" t="s">
        <v>376</v>
      </c>
      <c r="C172" t="s">
        <v>3796</v>
      </c>
      <c r="D172" t="s">
        <v>3783</v>
      </c>
      <c r="E172" t="s">
        <v>4592</v>
      </c>
      <c r="F172" s="9">
        <v>19.77</v>
      </c>
      <c r="G172" s="9">
        <v>28.9</v>
      </c>
      <c r="H172" s="10">
        <v>5.72</v>
      </c>
      <c r="I172" s="10">
        <v>3.56</v>
      </c>
      <c r="J172">
        <v>79</v>
      </c>
      <c r="K172"/>
    </row>
    <row r="173" spans="1:11">
      <c r="A173">
        <v>2014</v>
      </c>
      <c r="B173" t="s">
        <v>376</v>
      </c>
      <c r="C173" t="s">
        <v>3796</v>
      </c>
      <c r="D173" t="s">
        <v>3783</v>
      </c>
      <c r="E173" t="s">
        <v>4592</v>
      </c>
      <c r="F173" s="9">
        <v>20.58</v>
      </c>
      <c r="G173" s="9">
        <v>29.2</v>
      </c>
      <c r="H173" s="10">
        <v>6.02</v>
      </c>
      <c r="I173" s="10">
        <v>3.71</v>
      </c>
      <c r="J173">
        <v>80</v>
      </c>
      <c r="K173"/>
    </row>
    <row r="174" spans="1:11">
      <c r="A174">
        <v>2015</v>
      </c>
      <c r="B174" t="s">
        <v>376</v>
      </c>
      <c r="C174" t="s">
        <v>3796</v>
      </c>
      <c r="D174" t="s">
        <v>3783</v>
      </c>
      <c r="E174" t="s">
        <v>4592</v>
      </c>
      <c r="F174" s="9">
        <v>20.89</v>
      </c>
      <c r="G174" s="9">
        <v>21.8</v>
      </c>
      <c r="H174" s="10">
        <v>4.5599999999999996</v>
      </c>
      <c r="I174" s="10">
        <v>3.76</v>
      </c>
      <c r="J174">
        <v>80</v>
      </c>
      <c r="K174"/>
    </row>
    <row r="175" spans="1:11">
      <c r="A175">
        <v>2016</v>
      </c>
      <c r="B175" t="s">
        <v>376</v>
      </c>
      <c r="C175" t="s">
        <v>3796</v>
      </c>
      <c r="D175" t="s">
        <v>3783</v>
      </c>
      <c r="E175" t="s">
        <v>4592</v>
      </c>
      <c r="F175" s="9">
        <v>21.09</v>
      </c>
      <c r="G175" s="9">
        <v>29.8</v>
      </c>
      <c r="H175" s="10">
        <v>6.28</v>
      </c>
      <c r="I175" s="10">
        <v>3.8</v>
      </c>
      <c r="J175">
        <v>80</v>
      </c>
      <c r="K175"/>
    </row>
    <row r="176" spans="1:11">
      <c r="A176">
        <v>2017</v>
      </c>
      <c r="B176" t="s">
        <v>376</v>
      </c>
      <c r="C176" t="s">
        <v>3796</v>
      </c>
      <c r="D176" t="s">
        <v>3783</v>
      </c>
      <c r="E176" t="s">
        <v>4592</v>
      </c>
      <c r="F176" s="9">
        <v>21.97</v>
      </c>
      <c r="G176" s="9">
        <v>32.4</v>
      </c>
      <c r="H176" s="10">
        <v>7.12</v>
      </c>
      <c r="I176" s="10">
        <v>3.95</v>
      </c>
      <c r="J176">
        <v>81</v>
      </c>
      <c r="K176"/>
    </row>
    <row r="177" spans="1:11">
      <c r="A177">
        <v>2018</v>
      </c>
      <c r="B177" t="s">
        <v>376</v>
      </c>
      <c r="C177" t="s">
        <v>3796</v>
      </c>
      <c r="D177" t="s">
        <v>3783</v>
      </c>
      <c r="E177" t="s">
        <v>4592</v>
      </c>
      <c r="F177" s="9">
        <v>24.87</v>
      </c>
      <c r="G177" s="9">
        <v>30.5</v>
      </c>
      <c r="H177" s="10">
        <v>7.6</v>
      </c>
      <c r="I177" s="10">
        <v>4.4800000000000004</v>
      </c>
      <c r="J177">
        <v>85</v>
      </c>
      <c r="K177"/>
    </row>
    <row r="178" spans="1:11">
      <c r="A178">
        <v>2019</v>
      </c>
      <c r="B178" t="s">
        <v>376</v>
      </c>
      <c r="C178" t="s">
        <v>3796</v>
      </c>
      <c r="D178" t="s">
        <v>3783</v>
      </c>
      <c r="E178" t="s">
        <v>4592</v>
      </c>
      <c r="F178" s="9">
        <v>24.13</v>
      </c>
      <c r="G178" s="9">
        <v>30.4</v>
      </c>
      <c r="H178" s="10">
        <v>7.35</v>
      </c>
      <c r="I178" s="10">
        <v>4.34</v>
      </c>
      <c r="J178">
        <v>84</v>
      </c>
      <c r="K178"/>
    </row>
    <row r="179" spans="1:11">
      <c r="A179">
        <v>2020</v>
      </c>
      <c r="B179" t="s">
        <v>376</v>
      </c>
      <c r="C179" t="s">
        <v>3796</v>
      </c>
      <c r="D179" t="s">
        <v>3783</v>
      </c>
      <c r="E179" t="s">
        <v>4592</v>
      </c>
      <c r="F179" s="9">
        <v>25.3</v>
      </c>
      <c r="G179" s="9">
        <v>28.7</v>
      </c>
      <c r="H179" s="10">
        <v>7.26</v>
      </c>
      <c r="I179" s="10">
        <v>4.55</v>
      </c>
      <c r="J179">
        <v>85</v>
      </c>
      <c r="K179"/>
    </row>
    <row r="180" spans="1:11">
      <c r="A180">
        <v>2021</v>
      </c>
      <c r="B180" t="s">
        <v>376</v>
      </c>
      <c r="C180" t="s">
        <v>3796</v>
      </c>
      <c r="D180" t="s">
        <v>3783</v>
      </c>
      <c r="E180" t="s">
        <v>4592</v>
      </c>
      <c r="F180" s="9">
        <v>26.69</v>
      </c>
      <c r="G180" s="9">
        <v>28.8</v>
      </c>
      <c r="H180" s="10">
        <v>7.69</v>
      </c>
      <c r="I180" s="10">
        <v>4.8</v>
      </c>
      <c r="J180">
        <v>86</v>
      </c>
      <c r="K180"/>
    </row>
    <row r="181" spans="1:11">
      <c r="A181">
        <v>2022</v>
      </c>
      <c r="B181" t="s">
        <v>376</v>
      </c>
      <c r="C181" t="s">
        <v>3796</v>
      </c>
      <c r="D181" t="s">
        <v>3783</v>
      </c>
      <c r="E181" t="s">
        <v>4592</v>
      </c>
      <c r="F181" s="9">
        <v>27.77</v>
      </c>
      <c r="G181" s="9">
        <v>27.6</v>
      </c>
      <c r="H181" s="10">
        <v>7.65</v>
      </c>
      <c r="I181" s="10">
        <v>5</v>
      </c>
      <c r="J181">
        <v>87</v>
      </c>
      <c r="K181"/>
    </row>
    <row r="182" spans="1:11">
      <c r="A182">
        <v>2023</v>
      </c>
      <c r="B182" t="s">
        <v>376</v>
      </c>
      <c r="C182" t="s">
        <v>3796</v>
      </c>
      <c r="D182" t="s">
        <v>3783</v>
      </c>
      <c r="E182" t="s">
        <v>4592</v>
      </c>
      <c r="F182" s="9">
        <v>33.94</v>
      </c>
      <c r="G182" s="9">
        <v>33.200000000000003</v>
      </c>
      <c r="H182" s="10">
        <v>11.25</v>
      </c>
      <c r="I182" s="10">
        <v>6.11</v>
      </c>
      <c r="J182">
        <v>93</v>
      </c>
      <c r="K182"/>
    </row>
    <row r="183" spans="1:11">
      <c r="A183">
        <v>2024</v>
      </c>
      <c r="B183" t="s">
        <v>376</v>
      </c>
      <c r="C183" t="s">
        <v>3796</v>
      </c>
      <c r="D183" t="s">
        <v>3783</v>
      </c>
      <c r="E183" t="s">
        <v>4592</v>
      </c>
      <c r="F183" s="9">
        <v>46.37</v>
      </c>
      <c r="G183" s="9">
        <v>28.8</v>
      </c>
      <c r="H183" s="10">
        <v>13.37</v>
      </c>
      <c r="I183" s="10">
        <v>8.35</v>
      </c>
      <c r="J183">
        <v>102</v>
      </c>
      <c r="K183"/>
    </row>
    <row r="184" spans="1:11">
      <c r="A184">
        <v>2025</v>
      </c>
      <c r="B184" t="s">
        <v>376</v>
      </c>
      <c r="C184" t="s">
        <v>3796</v>
      </c>
      <c r="D184" t="s">
        <v>3783</v>
      </c>
      <c r="E184" t="s">
        <v>4592</v>
      </c>
      <c r="F184" s="9">
        <v>59.78</v>
      </c>
      <c r="G184" s="9">
        <v>36.4</v>
      </c>
      <c r="H184" s="10">
        <v>21.78</v>
      </c>
      <c r="I184" s="10">
        <v>10.76</v>
      </c>
      <c r="J184">
        <v>110</v>
      </c>
      <c r="K184"/>
    </row>
    <row r="185" spans="1:11">
      <c r="A185">
        <v>2026</v>
      </c>
      <c r="B185" t="s">
        <v>376</v>
      </c>
      <c r="C185" t="s">
        <v>3796</v>
      </c>
      <c r="D185" t="s">
        <v>3783</v>
      </c>
      <c r="E185" t="s">
        <v>4592</v>
      </c>
      <c r="F185" s="9">
        <v>73.349999999999994</v>
      </c>
      <c r="G185" s="9">
        <v>29.5</v>
      </c>
      <c r="H185" s="10">
        <v>21.66</v>
      </c>
      <c r="I185" s="10">
        <v>13.2</v>
      </c>
      <c r="J185">
        <v>117</v>
      </c>
      <c r="K185"/>
    </row>
    <row r="186" spans="1:11">
      <c r="A186">
        <v>2010</v>
      </c>
      <c r="B186" t="s">
        <v>1610</v>
      </c>
      <c r="C186" t="s">
        <v>3797</v>
      </c>
      <c r="D186" t="s">
        <v>3798</v>
      </c>
      <c r="E186" t="s">
        <v>4592</v>
      </c>
      <c r="F186" s="9">
        <v>11.77</v>
      </c>
      <c r="G186" s="9">
        <v>30.5</v>
      </c>
      <c r="H186" s="10">
        <v>3.59</v>
      </c>
      <c r="I186" s="10">
        <v>2.12</v>
      </c>
      <c r="J186">
        <v>67</v>
      </c>
      <c r="K186"/>
    </row>
    <row r="187" spans="1:11">
      <c r="A187">
        <v>2011</v>
      </c>
      <c r="B187" t="s">
        <v>1610</v>
      </c>
      <c r="C187" t="s">
        <v>3797</v>
      </c>
      <c r="D187" t="s">
        <v>3798</v>
      </c>
      <c r="E187" t="s">
        <v>4592</v>
      </c>
      <c r="F187" s="9">
        <v>12.56</v>
      </c>
      <c r="G187" s="9">
        <v>32</v>
      </c>
      <c r="H187" s="10">
        <v>4.0199999999999996</v>
      </c>
      <c r="I187" s="10">
        <v>2.2599999999999998</v>
      </c>
      <c r="J187">
        <v>69</v>
      </c>
      <c r="K187"/>
    </row>
    <row r="188" spans="1:11">
      <c r="A188">
        <v>2012</v>
      </c>
      <c r="B188" t="s">
        <v>1610</v>
      </c>
      <c r="C188" t="s">
        <v>3797</v>
      </c>
      <c r="D188" t="s">
        <v>3798</v>
      </c>
      <c r="E188" t="s">
        <v>4592</v>
      </c>
      <c r="F188" s="9">
        <v>13.77</v>
      </c>
      <c r="G188" s="9">
        <v>30.5</v>
      </c>
      <c r="H188" s="10">
        <v>4.2</v>
      </c>
      <c r="I188" s="10">
        <v>2.48</v>
      </c>
      <c r="J188">
        <v>71</v>
      </c>
      <c r="K188"/>
    </row>
    <row r="189" spans="1:11">
      <c r="A189">
        <v>2013</v>
      </c>
      <c r="B189" t="s">
        <v>1610</v>
      </c>
      <c r="C189" t="s">
        <v>3797</v>
      </c>
      <c r="D189" t="s">
        <v>3798</v>
      </c>
      <c r="E189" t="s">
        <v>4592</v>
      </c>
      <c r="F189" s="9">
        <v>14.52</v>
      </c>
      <c r="G189" s="9">
        <v>35</v>
      </c>
      <c r="H189" s="10">
        <v>5.08</v>
      </c>
      <c r="I189" s="10">
        <v>2.61</v>
      </c>
      <c r="J189">
        <v>72</v>
      </c>
      <c r="K189"/>
    </row>
    <row r="190" spans="1:11">
      <c r="A190">
        <v>2014</v>
      </c>
      <c r="B190" t="s">
        <v>1610</v>
      </c>
      <c r="C190" t="s">
        <v>3797</v>
      </c>
      <c r="D190" t="s">
        <v>3798</v>
      </c>
      <c r="E190" t="s">
        <v>4592</v>
      </c>
      <c r="F190" s="9">
        <v>15.05</v>
      </c>
      <c r="G190" s="9">
        <v>22</v>
      </c>
      <c r="H190" s="10">
        <v>3.31</v>
      </c>
      <c r="I190" s="10">
        <v>2.71</v>
      </c>
      <c r="J190">
        <v>73</v>
      </c>
      <c r="K190"/>
    </row>
    <row r="191" spans="1:11">
      <c r="A191">
        <v>2015</v>
      </c>
      <c r="B191" t="s">
        <v>1610</v>
      </c>
      <c r="C191" t="s">
        <v>3797</v>
      </c>
      <c r="D191" t="s">
        <v>3798</v>
      </c>
      <c r="E191" t="s">
        <v>4592</v>
      </c>
      <c r="F191" s="9">
        <v>16.79</v>
      </c>
      <c r="G191" s="9">
        <v>26.6</v>
      </c>
      <c r="H191" s="10">
        <v>4.47</v>
      </c>
      <c r="I191" s="10">
        <v>3.02</v>
      </c>
      <c r="J191">
        <v>75</v>
      </c>
      <c r="K191"/>
    </row>
    <row r="192" spans="1:11">
      <c r="A192">
        <v>2016</v>
      </c>
      <c r="B192" t="s">
        <v>1610</v>
      </c>
      <c r="C192" t="s">
        <v>3797</v>
      </c>
      <c r="D192" t="s">
        <v>3798</v>
      </c>
      <c r="E192" t="s">
        <v>4592</v>
      </c>
      <c r="F192" s="9">
        <v>16.39</v>
      </c>
      <c r="G192" s="9">
        <v>31.9</v>
      </c>
      <c r="H192" s="10">
        <v>5.23</v>
      </c>
      <c r="I192" s="10">
        <v>2.95</v>
      </c>
      <c r="J192">
        <v>75</v>
      </c>
      <c r="K192"/>
    </row>
    <row r="193" spans="1:11">
      <c r="A193">
        <v>2017</v>
      </c>
      <c r="B193" t="s">
        <v>1610</v>
      </c>
      <c r="C193" t="s">
        <v>3797</v>
      </c>
      <c r="D193" t="s">
        <v>3798</v>
      </c>
      <c r="E193" t="s">
        <v>4592</v>
      </c>
      <c r="F193" s="9">
        <v>15.88</v>
      </c>
      <c r="G193" s="9">
        <v>24.2</v>
      </c>
      <c r="H193" s="10">
        <v>3.85</v>
      </c>
      <c r="I193" s="10">
        <v>2.86</v>
      </c>
      <c r="J193">
        <v>74</v>
      </c>
      <c r="K193"/>
    </row>
    <row r="194" spans="1:11">
      <c r="A194">
        <v>2018</v>
      </c>
      <c r="B194" t="s">
        <v>1610</v>
      </c>
      <c r="C194" t="s">
        <v>3797</v>
      </c>
      <c r="D194" t="s">
        <v>3798</v>
      </c>
      <c r="E194" t="s">
        <v>4592</v>
      </c>
      <c r="F194" s="9">
        <v>16.2</v>
      </c>
      <c r="G194" s="9">
        <v>25.6</v>
      </c>
      <c r="H194" s="10">
        <v>4.1500000000000004</v>
      </c>
      <c r="I194" s="10">
        <v>2.92</v>
      </c>
      <c r="J194">
        <v>74</v>
      </c>
      <c r="K194"/>
    </row>
    <row r="195" spans="1:11">
      <c r="A195">
        <v>2019</v>
      </c>
      <c r="B195" t="s">
        <v>1610</v>
      </c>
      <c r="C195" t="s">
        <v>3797</v>
      </c>
      <c r="D195" t="s">
        <v>3798</v>
      </c>
      <c r="E195" t="s">
        <v>4592</v>
      </c>
      <c r="F195" s="9">
        <v>18.54</v>
      </c>
      <c r="G195" s="9">
        <v>29.6</v>
      </c>
      <c r="H195" s="10">
        <v>5.48</v>
      </c>
      <c r="I195" s="10">
        <v>3.34</v>
      </c>
      <c r="J195">
        <v>77</v>
      </c>
      <c r="K195"/>
    </row>
    <row r="196" spans="1:11">
      <c r="A196">
        <v>2020</v>
      </c>
      <c r="B196" t="s">
        <v>1610</v>
      </c>
      <c r="C196" t="s">
        <v>3797</v>
      </c>
      <c r="D196" t="s">
        <v>3798</v>
      </c>
      <c r="E196" t="s">
        <v>4592</v>
      </c>
      <c r="F196" s="9">
        <v>19.760000000000002</v>
      </c>
      <c r="G196" s="9">
        <v>23.8</v>
      </c>
      <c r="H196" s="10">
        <v>4.7</v>
      </c>
      <c r="I196" s="10">
        <v>3.56</v>
      </c>
      <c r="J196">
        <v>79</v>
      </c>
      <c r="K196"/>
    </row>
    <row r="197" spans="1:11">
      <c r="A197">
        <v>2021</v>
      </c>
      <c r="B197" t="s">
        <v>1610</v>
      </c>
      <c r="C197" t="s">
        <v>3797</v>
      </c>
      <c r="D197" t="s">
        <v>3798</v>
      </c>
      <c r="E197" t="s">
        <v>4592</v>
      </c>
      <c r="F197" s="9">
        <v>21.04</v>
      </c>
      <c r="G197" s="9">
        <v>28.2</v>
      </c>
      <c r="H197" s="10">
        <v>5.93</v>
      </c>
      <c r="I197" s="10">
        <v>3.79</v>
      </c>
      <c r="J197">
        <v>80</v>
      </c>
      <c r="K197"/>
    </row>
    <row r="198" spans="1:11">
      <c r="A198">
        <v>2022</v>
      </c>
      <c r="B198" t="s">
        <v>1610</v>
      </c>
      <c r="C198" t="s">
        <v>3797</v>
      </c>
      <c r="D198" t="s">
        <v>3798</v>
      </c>
      <c r="E198" t="s">
        <v>4592</v>
      </c>
      <c r="F198" s="9">
        <v>25.14</v>
      </c>
      <c r="G198" s="9">
        <v>39.4</v>
      </c>
      <c r="H198" s="10">
        <v>9.9</v>
      </c>
      <c r="I198" s="10">
        <v>4.53</v>
      </c>
      <c r="J198">
        <v>85</v>
      </c>
      <c r="K198"/>
    </row>
    <row r="199" spans="1:11">
      <c r="A199">
        <v>2023</v>
      </c>
      <c r="B199" t="s">
        <v>1610</v>
      </c>
      <c r="C199" t="s">
        <v>3797</v>
      </c>
      <c r="D199" t="s">
        <v>3798</v>
      </c>
      <c r="E199" t="s">
        <v>4592</v>
      </c>
      <c r="F199" s="9">
        <v>34.42</v>
      </c>
      <c r="G199" s="9">
        <v>38.4</v>
      </c>
      <c r="H199" s="10">
        <v>13.22</v>
      </c>
      <c r="I199" s="10">
        <v>6.2</v>
      </c>
      <c r="J199">
        <v>93</v>
      </c>
      <c r="K199"/>
    </row>
    <row r="200" spans="1:11">
      <c r="A200">
        <v>2024</v>
      </c>
      <c r="B200" t="s">
        <v>1610</v>
      </c>
      <c r="C200" t="s">
        <v>3797</v>
      </c>
      <c r="D200" t="s">
        <v>3798</v>
      </c>
      <c r="E200" t="s">
        <v>4592</v>
      </c>
      <c r="F200" s="9">
        <v>43.07</v>
      </c>
      <c r="G200" s="9">
        <v>38.700000000000003</v>
      </c>
      <c r="H200" s="10">
        <v>16.66</v>
      </c>
      <c r="I200" s="10">
        <v>7.75</v>
      </c>
      <c r="J200">
        <v>100</v>
      </c>
      <c r="K200"/>
    </row>
    <row r="201" spans="1:11">
      <c r="A201">
        <v>2025</v>
      </c>
      <c r="B201" t="s">
        <v>1610</v>
      </c>
      <c r="C201" t="s">
        <v>3797</v>
      </c>
      <c r="D201" t="s">
        <v>3798</v>
      </c>
      <c r="E201" t="s">
        <v>4592</v>
      </c>
      <c r="F201" s="9">
        <v>49.33</v>
      </c>
      <c r="G201" s="9">
        <v>35.9</v>
      </c>
      <c r="H201" s="10">
        <v>17.7</v>
      </c>
      <c r="I201" s="10">
        <v>8.8800000000000008</v>
      </c>
      <c r="J201">
        <v>104</v>
      </c>
      <c r="K201"/>
    </row>
    <row r="202" spans="1:11">
      <c r="A202">
        <v>2026</v>
      </c>
      <c r="B202" t="s">
        <v>1610</v>
      </c>
      <c r="C202" t="s">
        <v>3797</v>
      </c>
      <c r="D202" t="s">
        <v>3798</v>
      </c>
      <c r="E202" t="s">
        <v>4592</v>
      </c>
      <c r="F202" s="9">
        <v>54.7</v>
      </c>
      <c r="G202" s="9">
        <v>38.6</v>
      </c>
      <c r="H202" s="10">
        <v>21.11</v>
      </c>
      <c r="I202" s="10">
        <v>9.85</v>
      </c>
      <c r="J202">
        <v>107</v>
      </c>
      <c r="K202"/>
    </row>
    <row r="203" spans="1:11">
      <c r="A203">
        <v>2010</v>
      </c>
      <c r="B203" t="s">
        <v>304</v>
      </c>
      <c r="C203" t="s">
        <v>3799</v>
      </c>
      <c r="D203" t="s">
        <v>3800</v>
      </c>
      <c r="E203" t="s">
        <v>4591</v>
      </c>
      <c r="F203" s="9">
        <v>48.68</v>
      </c>
      <c r="G203" s="9">
        <v>20.8</v>
      </c>
      <c r="H203" s="10">
        <v>10.14</v>
      </c>
      <c r="I203" s="10">
        <v>5.84</v>
      </c>
      <c r="J203">
        <v>69</v>
      </c>
      <c r="K203"/>
    </row>
    <row r="204" spans="1:11">
      <c r="A204">
        <v>2011</v>
      </c>
      <c r="B204" t="s">
        <v>304</v>
      </c>
      <c r="C204" t="s">
        <v>3799</v>
      </c>
      <c r="D204" t="s">
        <v>3800</v>
      </c>
      <c r="E204" t="s">
        <v>4591</v>
      </c>
      <c r="F204" s="9">
        <v>49.08</v>
      </c>
      <c r="G204" s="9">
        <v>21.2</v>
      </c>
      <c r="H204" s="10">
        <v>10.41</v>
      </c>
      <c r="I204" s="10">
        <v>5.89</v>
      </c>
      <c r="J204">
        <v>69</v>
      </c>
      <c r="K204"/>
    </row>
    <row r="205" spans="1:11">
      <c r="A205">
        <v>2012</v>
      </c>
      <c r="B205" t="s">
        <v>304</v>
      </c>
      <c r="C205" t="s">
        <v>3799</v>
      </c>
      <c r="D205" t="s">
        <v>3800</v>
      </c>
      <c r="E205" t="s">
        <v>4591</v>
      </c>
      <c r="F205" s="9">
        <v>48.97</v>
      </c>
      <c r="G205" s="9">
        <v>24.5</v>
      </c>
      <c r="H205" s="10">
        <v>11.99</v>
      </c>
      <c r="I205" s="10">
        <v>5.88</v>
      </c>
      <c r="J205">
        <v>69</v>
      </c>
      <c r="K205"/>
    </row>
    <row r="206" spans="1:11">
      <c r="A206">
        <v>2013</v>
      </c>
      <c r="B206" t="s">
        <v>304</v>
      </c>
      <c r="C206" t="s">
        <v>3799</v>
      </c>
      <c r="D206" t="s">
        <v>3800</v>
      </c>
      <c r="E206" t="s">
        <v>4591</v>
      </c>
      <c r="F206" s="9">
        <v>47.06</v>
      </c>
      <c r="G206" s="9">
        <v>18.100000000000001</v>
      </c>
      <c r="H206" s="10">
        <v>8.52</v>
      </c>
      <c r="I206" s="10">
        <v>5.65</v>
      </c>
      <c r="J206">
        <v>68</v>
      </c>
      <c r="K206"/>
    </row>
    <row r="207" spans="1:11">
      <c r="A207">
        <v>2014</v>
      </c>
      <c r="B207" t="s">
        <v>304</v>
      </c>
      <c r="C207" t="s">
        <v>3799</v>
      </c>
      <c r="D207" t="s">
        <v>3800</v>
      </c>
      <c r="E207" t="s">
        <v>4591</v>
      </c>
      <c r="F207" s="9">
        <v>48.57</v>
      </c>
      <c r="G207" s="9">
        <v>15</v>
      </c>
      <c r="H207" s="10">
        <v>7.29</v>
      </c>
      <c r="I207" s="10">
        <v>5.83</v>
      </c>
      <c r="J207">
        <v>69</v>
      </c>
      <c r="K207"/>
    </row>
    <row r="208" spans="1:11">
      <c r="A208">
        <v>2015</v>
      </c>
      <c r="B208" t="s">
        <v>304</v>
      </c>
      <c r="C208" t="s">
        <v>3799</v>
      </c>
      <c r="D208" t="s">
        <v>3800</v>
      </c>
      <c r="E208" t="s">
        <v>4591</v>
      </c>
      <c r="F208" s="9">
        <v>50.56</v>
      </c>
      <c r="G208" s="9">
        <v>24.2</v>
      </c>
      <c r="H208" s="10">
        <v>12.26</v>
      </c>
      <c r="I208" s="10">
        <v>6.07</v>
      </c>
      <c r="J208">
        <v>70</v>
      </c>
      <c r="K208"/>
    </row>
    <row r="209" spans="1:11">
      <c r="A209">
        <v>2016</v>
      </c>
      <c r="B209" t="s">
        <v>304</v>
      </c>
      <c r="C209" t="s">
        <v>3799</v>
      </c>
      <c r="D209" t="s">
        <v>3800</v>
      </c>
      <c r="E209" t="s">
        <v>4591</v>
      </c>
      <c r="F209" s="9">
        <v>49.14</v>
      </c>
      <c r="G209" s="9">
        <v>22.6</v>
      </c>
      <c r="H209" s="10">
        <v>11.1</v>
      </c>
      <c r="I209" s="10">
        <v>5.9</v>
      </c>
      <c r="J209">
        <v>69</v>
      </c>
      <c r="K209"/>
    </row>
    <row r="210" spans="1:11">
      <c r="A210">
        <v>2017</v>
      </c>
      <c r="B210" t="s">
        <v>304</v>
      </c>
      <c r="C210" t="s">
        <v>3799</v>
      </c>
      <c r="D210" t="s">
        <v>3800</v>
      </c>
      <c r="E210" t="s">
        <v>4591</v>
      </c>
      <c r="F210" s="9">
        <v>49.11</v>
      </c>
      <c r="G210" s="9">
        <v>26</v>
      </c>
      <c r="H210" s="10">
        <v>12.76</v>
      </c>
      <c r="I210" s="10">
        <v>5.89</v>
      </c>
      <c r="J210">
        <v>69</v>
      </c>
      <c r="K210"/>
    </row>
    <row r="211" spans="1:11">
      <c r="A211">
        <v>2018</v>
      </c>
      <c r="B211" t="s">
        <v>304</v>
      </c>
      <c r="C211" t="s">
        <v>3799</v>
      </c>
      <c r="D211" t="s">
        <v>3800</v>
      </c>
      <c r="E211" t="s">
        <v>4591</v>
      </c>
      <c r="F211" s="9">
        <v>45.41</v>
      </c>
      <c r="G211" s="9">
        <v>14.1</v>
      </c>
      <c r="H211" s="10">
        <v>6.38</v>
      </c>
      <c r="I211" s="10">
        <v>5.45</v>
      </c>
      <c r="J211">
        <v>67</v>
      </c>
      <c r="K211"/>
    </row>
    <row r="212" spans="1:11">
      <c r="A212">
        <v>2019</v>
      </c>
      <c r="B212" t="s">
        <v>304</v>
      </c>
      <c r="C212" t="s">
        <v>3799</v>
      </c>
      <c r="D212" t="s">
        <v>3800</v>
      </c>
      <c r="E212" t="s">
        <v>4591</v>
      </c>
      <c r="F212" s="9">
        <v>47.38</v>
      </c>
      <c r="G212" s="9">
        <v>7.5</v>
      </c>
      <c r="H212" s="10">
        <v>3.55</v>
      </c>
      <c r="I212" s="10">
        <v>5.69</v>
      </c>
      <c r="J212">
        <v>68</v>
      </c>
      <c r="K212"/>
    </row>
    <row r="213" spans="1:11">
      <c r="A213">
        <v>2020</v>
      </c>
      <c r="B213" t="s">
        <v>304</v>
      </c>
      <c r="C213" t="s">
        <v>3799</v>
      </c>
      <c r="D213" t="s">
        <v>3800</v>
      </c>
      <c r="E213" t="s">
        <v>4591</v>
      </c>
      <c r="F213" s="9">
        <v>48.13</v>
      </c>
      <c r="G213" s="9">
        <v>5.6</v>
      </c>
      <c r="H213" s="10">
        <v>2.68</v>
      </c>
      <c r="I213" s="10">
        <v>5.78</v>
      </c>
      <c r="J213">
        <v>69</v>
      </c>
      <c r="K213"/>
    </row>
    <row r="214" spans="1:11">
      <c r="A214">
        <v>2021</v>
      </c>
      <c r="B214" t="s">
        <v>304</v>
      </c>
      <c r="C214" t="s">
        <v>3799</v>
      </c>
      <c r="D214" t="s">
        <v>3800</v>
      </c>
      <c r="E214" t="s">
        <v>4591</v>
      </c>
      <c r="F214" s="9">
        <v>49.85</v>
      </c>
      <c r="G214" s="9">
        <v>8.9</v>
      </c>
      <c r="H214" s="10">
        <v>4.45</v>
      </c>
      <c r="I214" s="10">
        <v>5.98</v>
      </c>
      <c r="J214">
        <v>69</v>
      </c>
      <c r="K214"/>
    </row>
    <row r="215" spans="1:11">
      <c r="A215">
        <v>2022</v>
      </c>
      <c r="B215" t="s">
        <v>304</v>
      </c>
      <c r="C215" t="s">
        <v>3799</v>
      </c>
      <c r="D215" t="s">
        <v>3800</v>
      </c>
      <c r="E215" t="s">
        <v>4591</v>
      </c>
      <c r="F215" s="9">
        <v>54.7</v>
      </c>
      <c r="G215" s="9">
        <v>15.2</v>
      </c>
      <c r="H215" s="10">
        <v>8.2899999999999991</v>
      </c>
      <c r="I215" s="10">
        <v>6.56</v>
      </c>
      <c r="J215">
        <v>71</v>
      </c>
      <c r="K215"/>
    </row>
    <row r="216" spans="1:11">
      <c r="A216">
        <v>2023</v>
      </c>
      <c r="B216" t="s">
        <v>304</v>
      </c>
      <c r="C216" t="s">
        <v>3799</v>
      </c>
      <c r="D216" t="s">
        <v>3800</v>
      </c>
      <c r="E216" t="s">
        <v>4591</v>
      </c>
      <c r="F216" s="9">
        <v>48.54</v>
      </c>
      <c r="G216" s="9">
        <v>11.2</v>
      </c>
      <c r="H216" s="10">
        <v>5.43</v>
      </c>
      <c r="I216" s="10">
        <v>5.83</v>
      </c>
      <c r="J216">
        <v>69</v>
      </c>
      <c r="K216"/>
    </row>
    <row r="217" spans="1:11">
      <c r="A217">
        <v>2024</v>
      </c>
      <c r="B217" t="s">
        <v>304</v>
      </c>
      <c r="C217" t="s">
        <v>3799</v>
      </c>
      <c r="D217" t="s">
        <v>3800</v>
      </c>
      <c r="E217" t="s">
        <v>4591</v>
      </c>
      <c r="F217" s="9">
        <v>46.14</v>
      </c>
      <c r="G217" s="9">
        <v>11.4</v>
      </c>
      <c r="H217" s="10">
        <v>5.27</v>
      </c>
      <c r="I217" s="10">
        <v>5.54</v>
      </c>
      <c r="J217">
        <v>68</v>
      </c>
      <c r="K217"/>
    </row>
    <row r="218" spans="1:11">
      <c r="A218">
        <v>2025</v>
      </c>
      <c r="B218" t="s">
        <v>304</v>
      </c>
      <c r="C218" t="s">
        <v>3799</v>
      </c>
      <c r="D218" t="s">
        <v>3800</v>
      </c>
      <c r="E218" t="s">
        <v>4591</v>
      </c>
      <c r="F218" s="9">
        <v>48.11</v>
      </c>
      <c r="G218" s="9">
        <v>4.5</v>
      </c>
      <c r="H218" s="10">
        <v>2.17</v>
      </c>
      <c r="I218" s="10">
        <v>5.77</v>
      </c>
      <c r="J218">
        <v>69</v>
      </c>
      <c r="K218"/>
    </row>
    <row r="219" spans="1:11">
      <c r="A219">
        <v>2026</v>
      </c>
      <c r="B219" t="s">
        <v>304</v>
      </c>
      <c r="C219" t="s">
        <v>3799</v>
      </c>
      <c r="D219" t="s">
        <v>3800</v>
      </c>
      <c r="E219" t="s">
        <v>4591</v>
      </c>
      <c r="F219" s="9">
        <v>50.38</v>
      </c>
      <c r="G219" s="9">
        <v>8.1999999999999993</v>
      </c>
      <c r="H219" s="10">
        <v>4.12</v>
      </c>
      <c r="I219" s="10">
        <v>6.05</v>
      </c>
      <c r="J219">
        <v>70</v>
      </c>
      <c r="K219"/>
    </row>
    <row r="220" spans="1:11">
      <c r="A220">
        <v>2010</v>
      </c>
      <c r="B220" t="s">
        <v>1703</v>
      </c>
      <c r="C220" t="s">
        <v>3801</v>
      </c>
      <c r="D220" t="s">
        <v>3800</v>
      </c>
      <c r="E220" t="s">
        <v>4592</v>
      </c>
      <c r="F220" s="9">
        <v>17.22</v>
      </c>
      <c r="G220" s="9">
        <v>24.8</v>
      </c>
      <c r="H220" s="10">
        <v>4.2699999999999996</v>
      </c>
      <c r="I220" s="10">
        <v>3.1</v>
      </c>
      <c r="J220">
        <v>76</v>
      </c>
      <c r="K220"/>
    </row>
    <row r="221" spans="1:11">
      <c r="A221">
        <v>2011</v>
      </c>
      <c r="B221" t="s">
        <v>1703</v>
      </c>
      <c r="C221" t="s">
        <v>3801</v>
      </c>
      <c r="D221" t="s">
        <v>3800</v>
      </c>
      <c r="E221" t="s">
        <v>4592</v>
      </c>
      <c r="F221" s="9">
        <v>17</v>
      </c>
      <c r="G221" s="9">
        <v>29.3</v>
      </c>
      <c r="H221" s="10">
        <v>4.9800000000000004</v>
      </c>
      <c r="I221" s="10">
        <v>3.06</v>
      </c>
      <c r="J221">
        <v>75</v>
      </c>
      <c r="K221"/>
    </row>
    <row r="222" spans="1:11">
      <c r="A222">
        <v>2012</v>
      </c>
      <c r="B222" t="s">
        <v>1703</v>
      </c>
      <c r="C222" t="s">
        <v>3801</v>
      </c>
      <c r="D222" t="s">
        <v>3800</v>
      </c>
      <c r="E222" t="s">
        <v>4592</v>
      </c>
      <c r="F222" s="9">
        <v>17.079999999999998</v>
      </c>
      <c r="G222" s="9">
        <v>29</v>
      </c>
      <c r="H222" s="10">
        <v>4.95</v>
      </c>
      <c r="I222" s="10">
        <v>3.07</v>
      </c>
      <c r="J222">
        <v>76</v>
      </c>
      <c r="K222"/>
    </row>
    <row r="223" spans="1:11">
      <c r="A223">
        <v>2013</v>
      </c>
      <c r="B223" t="s">
        <v>1703</v>
      </c>
      <c r="C223" t="s">
        <v>3801</v>
      </c>
      <c r="D223" t="s">
        <v>3800</v>
      </c>
      <c r="E223" t="s">
        <v>4592</v>
      </c>
      <c r="F223" s="9">
        <v>17.21</v>
      </c>
      <c r="G223" s="9">
        <v>32</v>
      </c>
      <c r="H223" s="10">
        <v>5.5</v>
      </c>
      <c r="I223" s="10">
        <v>3.1</v>
      </c>
      <c r="J223">
        <v>76</v>
      </c>
      <c r="K223"/>
    </row>
    <row r="224" spans="1:11">
      <c r="A224">
        <v>2014</v>
      </c>
      <c r="B224" t="s">
        <v>1703</v>
      </c>
      <c r="C224" t="s">
        <v>3801</v>
      </c>
      <c r="D224" t="s">
        <v>3800</v>
      </c>
      <c r="E224" t="s">
        <v>4592</v>
      </c>
      <c r="F224" s="9">
        <v>16.690000000000001</v>
      </c>
      <c r="G224" s="9">
        <v>23.6</v>
      </c>
      <c r="H224" s="10">
        <v>3.93</v>
      </c>
      <c r="I224" s="10">
        <v>3</v>
      </c>
      <c r="J224">
        <v>75</v>
      </c>
      <c r="K224"/>
    </row>
    <row r="225" spans="1:11">
      <c r="A225">
        <v>2015</v>
      </c>
      <c r="B225" t="s">
        <v>1703</v>
      </c>
      <c r="C225" t="s">
        <v>3801</v>
      </c>
      <c r="D225" t="s">
        <v>3800</v>
      </c>
      <c r="E225" t="s">
        <v>4592</v>
      </c>
      <c r="F225" s="9">
        <v>17.239999999999998</v>
      </c>
      <c r="G225" s="9">
        <v>27</v>
      </c>
      <c r="H225" s="10">
        <v>4.66</v>
      </c>
      <c r="I225" s="10">
        <v>3.1</v>
      </c>
      <c r="J225">
        <v>76</v>
      </c>
      <c r="K225"/>
    </row>
    <row r="226" spans="1:11">
      <c r="A226">
        <v>2016</v>
      </c>
      <c r="B226" t="s">
        <v>1703</v>
      </c>
      <c r="C226" t="s">
        <v>3801</v>
      </c>
      <c r="D226" t="s">
        <v>3800</v>
      </c>
      <c r="E226" t="s">
        <v>4592</v>
      </c>
      <c r="F226" s="9">
        <v>19.059999999999999</v>
      </c>
      <c r="G226" s="9">
        <v>29.2</v>
      </c>
      <c r="H226" s="10">
        <v>5.56</v>
      </c>
      <c r="I226" s="10">
        <v>3.43</v>
      </c>
      <c r="J226">
        <v>78</v>
      </c>
      <c r="K226"/>
    </row>
    <row r="227" spans="1:11">
      <c r="A227">
        <v>2017</v>
      </c>
      <c r="B227" t="s">
        <v>1703</v>
      </c>
      <c r="C227" t="s">
        <v>3801</v>
      </c>
      <c r="D227" t="s">
        <v>3800</v>
      </c>
      <c r="E227" t="s">
        <v>4592</v>
      </c>
      <c r="F227" s="9">
        <v>20.09</v>
      </c>
      <c r="G227" s="9">
        <v>29</v>
      </c>
      <c r="H227" s="10">
        <v>5.83</v>
      </c>
      <c r="I227" s="10">
        <v>3.62</v>
      </c>
      <c r="J227">
        <v>79</v>
      </c>
      <c r="K227"/>
    </row>
    <row r="228" spans="1:11">
      <c r="A228">
        <v>2018</v>
      </c>
      <c r="B228" t="s">
        <v>1703</v>
      </c>
      <c r="C228" t="s">
        <v>3801</v>
      </c>
      <c r="D228" t="s">
        <v>3800</v>
      </c>
      <c r="E228" t="s">
        <v>4592</v>
      </c>
      <c r="F228" s="9">
        <v>23.22</v>
      </c>
      <c r="G228" s="9">
        <v>34.200000000000003</v>
      </c>
      <c r="H228" s="10">
        <v>7.95</v>
      </c>
      <c r="I228" s="10">
        <v>4.18</v>
      </c>
      <c r="J228">
        <v>83</v>
      </c>
      <c r="K228"/>
    </row>
    <row r="229" spans="1:11">
      <c r="A229">
        <v>2019</v>
      </c>
      <c r="B229" t="s">
        <v>1703</v>
      </c>
      <c r="C229" t="s">
        <v>3801</v>
      </c>
      <c r="D229" t="s">
        <v>3800</v>
      </c>
      <c r="E229" t="s">
        <v>4592</v>
      </c>
      <c r="F229" s="9">
        <v>22.3</v>
      </c>
      <c r="G229" s="9">
        <v>28.5</v>
      </c>
      <c r="H229" s="10">
        <v>6.35</v>
      </c>
      <c r="I229" s="10">
        <v>4.01</v>
      </c>
      <c r="J229">
        <v>82</v>
      </c>
      <c r="K229"/>
    </row>
    <row r="230" spans="1:11">
      <c r="A230">
        <v>2020</v>
      </c>
      <c r="B230" t="s">
        <v>1703</v>
      </c>
      <c r="C230" t="s">
        <v>3801</v>
      </c>
      <c r="D230" t="s">
        <v>3800</v>
      </c>
      <c r="E230" t="s">
        <v>4592</v>
      </c>
      <c r="F230" s="9">
        <v>23.34</v>
      </c>
      <c r="G230" s="9">
        <v>25.5</v>
      </c>
      <c r="H230" s="10">
        <v>5.94</v>
      </c>
      <c r="I230" s="10">
        <v>4.2</v>
      </c>
      <c r="J230">
        <v>83</v>
      </c>
      <c r="K230"/>
    </row>
    <row r="231" spans="1:11">
      <c r="A231">
        <v>2021</v>
      </c>
      <c r="B231" t="s">
        <v>1703</v>
      </c>
      <c r="C231" t="s">
        <v>3801</v>
      </c>
      <c r="D231" t="s">
        <v>3800</v>
      </c>
      <c r="E231" t="s">
        <v>4592</v>
      </c>
      <c r="F231" s="9">
        <v>24.7</v>
      </c>
      <c r="G231" s="9">
        <v>27.9</v>
      </c>
      <c r="H231" s="10">
        <v>6.9</v>
      </c>
      <c r="I231" s="10">
        <v>4.45</v>
      </c>
      <c r="J231">
        <v>84</v>
      </c>
      <c r="K231"/>
    </row>
    <row r="232" spans="1:11">
      <c r="A232">
        <v>2022</v>
      </c>
      <c r="B232" t="s">
        <v>1703</v>
      </c>
      <c r="C232" t="s">
        <v>3801</v>
      </c>
      <c r="D232" t="s">
        <v>3800</v>
      </c>
      <c r="E232" t="s">
        <v>4592</v>
      </c>
      <c r="F232" s="9">
        <v>26.55</v>
      </c>
      <c r="G232" s="9">
        <v>25.5</v>
      </c>
      <c r="H232" s="10">
        <v>6.77</v>
      </c>
      <c r="I232" s="10">
        <v>4.78</v>
      </c>
      <c r="J232">
        <v>86</v>
      </c>
      <c r="K232"/>
    </row>
    <row r="233" spans="1:11">
      <c r="A233">
        <v>2023</v>
      </c>
      <c r="B233" t="s">
        <v>1703</v>
      </c>
      <c r="C233" t="s">
        <v>3801</v>
      </c>
      <c r="D233" t="s">
        <v>3800</v>
      </c>
      <c r="E233" t="s">
        <v>4592</v>
      </c>
      <c r="F233" s="9">
        <v>25.55</v>
      </c>
      <c r="G233" s="9">
        <v>21.8</v>
      </c>
      <c r="H233" s="10">
        <v>5.57</v>
      </c>
      <c r="I233" s="10">
        <v>4.5999999999999996</v>
      </c>
      <c r="J233">
        <v>85</v>
      </c>
      <c r="K233"/>
    </row>
    <row r="234" spans="1:11">
      <c r="A234">
        <v>2024</v>
      </c>
      <c r="B234" t="s">
        <v>1703</v>
      </c>
      <c r="C234" t="s">
        <v>3801</v>
      </c>
      <c r="D234" t="s">
        <v>3800</v>
      </c>
      <c r="E234" t="s">
        <v>4592</v>
      </c>
      <c r="F234" s="9">
        <v>27.37</v>
      </c>
      <c r="G234" s="9">
        <v>26.6</v>
      </c>
      <c r="H234" s="10">
        <v>7.29</v>
      </c>
      <c r="I234" s="10">
        <v>4.93</v>
      </c>
      <c r="J234">
        <v>87</v>
      </c>
      <c r="K234"/>
    </row>
    <row r="235" spans="1:11">
      <c r="A235">
        <v>2025</v>
      </c>
      <c r="B235" t="s">
        <v>1703</v>
      </c>
      <c r="C235" t="s">
        <v>3801</v>
      </c>
      <c r="D235" t="s">
        <v>3800</v>
      </c>
      <c r="E235" t="s">
        <v>4592</v>
      </c>
      <c r="F235" s="9">
        <v>29.89</v>
      </c>
      <c r="G235" s="9">
        <v>33.799999999999997</v>
      </c>
      <c r="H235" s="10">
        <v>10.1</v>
      </c>
      <c r="I235" s="10">
        <v>5.38</v>
      </c>
      <c r="J235">
        <v>89</v>
      </c>
      <c r="K235"/>
    </row>
    <row r="236" spans="1:11">
      <c r="A236">
        <v>2026</v>
      </c>
      <c r="B236" t="s">
        <v>1703</v>
      </c>
      <c r="C236" t="s">
        <v>3801</v>
      </c>
      <c r="D236" t="s">
        <v>3800</v>
      </c>
      <c r="E236" t="s">
        <v>4592</v>
      </c>
      <c r="F236" s="9">
        <v>33.08</v>
      </c>
      <c r="G236" s="9">
        <v>25.1</v>
      </c>
      <c r="H236" s="10">
        <v>8.31</v>
      </c>
      <c r="I236" s="10">
        <v>5.95</v>
      </c>
      <c r="J236">
        <v>92</v>
      </c>
      <c r="K236"/>
    </row>
    <row r="237" spans="1:11">
      <c r="A237">
        <v>2010</v>
      </c>
      <c r="B237" t="s">
        <v>1608</v>
      </c>
      <c r="C237" t="s">
        <v>3802</v>
      </c>
      <c r="D237" t="s">
        <v>3803</v>
      </c>
      <c r="E237" t="s">
        <v>4592</v>
      </c>
      <c r="F237" s="9">
        <v>18.190000000000001</v>
      </c>
      <c r="G237" s="9">
        <v>26.8</v>
      </c>
      <c r="H237" s="10">
        <v>4.87</v>
      </c>
      <c r="I237" s="10">
        <v>3.27</v>
      </c>
      <c r="J237">
        <v>77</v>
      </c>
      <c r="K237"/>
    </row>
    <row r="238" spans="1:11">
      <c r="A238">
        <v>2011</v>
      </c>
      <c r="B238" t="s">
        <v>1608</v>
      </c>
      <c r="C238" t="s">
        <v>3802</v>
      </c>
      <c r="D238" t="s">
        <v>3803</v>
      </c>
      <c r="E238" t="s">
        <v>4592</v>
      </c>
      <c r="F238" s="9">
        <v>17.45</v>
      </c>
      <c r="G238" s="9">
        <v>28.6</v>
      </c>
      <c r="H238" s="10">
        <v>4.9800000000000004</v>
      </c>
      <c r="I238" s="10">
        <v>3.14</v>
      </c>
      <c r="J238">
        <v>76</v>
      </c>
      <c r="K238"/>
    </row>
    <row r="239" spans="1:11">
      <c r="A239">
        <v>2012</v>
      </c>
      <c r="B239" t="s">
        <v>1608</v>
      </c>
      <c r="C239" t="s">
        <v>3802</v>
      </c>
      <c r="D239" t="s">
        <v>3803</v>
      </c>
      <c r="E239" t="s">
        <v>4592</v>
      </c>
      <c r="F239" s="9">
        <v>17.52</v>
      </c>
      <c r="G239" s="9">
        <v>27</v>
      </c>
      <c r="H239" s="10">
        <v>4.7300000000000004</v>
      </c>
      <c r="I239" s="10">
        <v>3.15</v>
      </c>
      <c r="J239">
        <v>76</v>
      </c>
      <c r="K239"/>
    </row>
    <row r="240" spans="1:11">
      <c r="A240">
        <v>2013</v>
      </c>
      <c r="B240" t="s">
        <v>1608</v>
      </c>
      <c r="C240" t="s">
        <v>3802</v>
      </c>
      <c r="D240" t="s">
        <v>3803</v>
      </c>
      <c r="E240" t="s">
        <v>4592</v>
      </c>
      <c r="F240" s="9">
        <v>17.34</v>
      </c>
      <c r="G240" s="9">
        <v>24.6</v>
      </c>
      <c r="H240" s="10">
        <v>4.26</v>
      </c>
      <c r="I240" s="10">
        <v>3.12</v>
      </c>
      <c r="J240">
        <v>76</v>
      </c>
      <c r="K240"/>
    </row>
    <row r="241" spans="1:11">
      <c r="A241">
        <v>2014</v>
      </c>
      <c r="B241" t="s">
        <v>1608</v>
      </c>
      <c r="C241" t="s">
        <v>3802</v>
      </c>
      <c r="D241" t="s">
        <v>3803</v>
      </c>
      <c r="E241" t="s">
        <v>4592</v>
      </c>
      <c r="F241" s="9">
        <v>16.399999999999999</v>
      </c>
      <c r="G241" s="9">
        <v>35.799999999999997</v>
      </c>
      <c r="H241" s="10">
        <v>5.87</v>
      </c>
      <c r="I241" s="10">
        <v>2.95</v>
      </c>
      <c r="J241">
        <v>75</v>
      </c>
      <c r="K241"/>
    </row>
    <row r="242" spans="1:11">
      <c r="A242">
        <v>2015</v>
      </c>
      <c r="B242" t="s">
        <v>1608</v>
      </c>
      <c r="C242" t="s">
        <v>3802</v>
      </c>
      <c r="D242" t="s">
        <v>3803</v>
      </c>
      <c r="E242" t="s">
        <v>4592</v>
      </c>
      <c r="F242" s="9">
        <v>16.11</v>
      </c>
      <c r="G242" s="9">
        <v>32.299999999999997</v>
      </c>
      <c r="H242" s="10">
        <v>5.2</v>
      </c>
      <c r="I242" s="10">
        <v>2.9</v>
      </c>
      <c r="J242">
        <v>74</v>
      </c>
      <c r="K242"/>
    </row>
    <row r="243" spans="1:11">
      <c r="A243">
        <v>2016</v>
      </c>
      <c r="B243" t="s">
        <v>1608</v>
      </c>
      <c r="C243" t="s">
        <v>3802</v>
      </c>
      <c r="D243" t="s">
        <v>3803</v>
      </c>
      <c r="E243" t="s">
        <v>4592</v>
      </c>
      <c r="F243" s="9">
        <v>16.38</v>
      </c>
      <c r="G243" s="9">
        <v>29.7</v>
      </c>
      <c r="H243" s="10">
        <v>4.87</v>
      </c>
      <c r="I243" s="10">
        <v>2.95</v>
      </c>
      <c r="J243">
        <v>75</v>
      </c>
      <c r="K243"/>
    </row>
    <row r="244" spans="1:11">
      <c r="A244">
        <v>2017</v>
      </c>
      <c r="B244" t="s">
        <v>1608</v>
      </c>
      <c r="C244" t="s">
        <v>3802</v>
      </c>
      <c r="D244" t="s">
        <v>3803</v>
      </c>
      <c r="E244" t="s">
        <v>4592</v>
      </c>
      <c r="F244" s="9">
        <v>16.64</v>
      </c>
      <c r="G244" s="9">
        <v>27.5</v>
      </c>
      <c r="H244" s="10">
        <v>4.57</v>
      </c>
      <c r="I244" s="10">
        <v>2.99</v>
      </c>
      <c r="J244">
        <v>75</v>
      </c>
      <c r="K244"/>
    </row>
    <row r="245" spans="1:11">
      <c r="A245">
        <v>2018</v>
      </c>
      <c r="B245" t="s">
        <v>1608</v>
      </c>
      <c r="C245" t="s">
        <v>3802</v>
      </c>
      <c r="D245" t="s">
        <v>3803</v>
      </c>
      <c r="E245" t="s">
        <v>4592</v>
      </c>
      <c r="F245" s="9">
        <v>16.61</v>
      </c>
      <c r="G245" s="9">
        <v>29.3</v>
      </c>
      <c r="H245" s="10">
        <v>4.8600000000000003</v>
      </c>
      <c r="I245" s="10">
        <v>2.99</v>
      </c>
      <c r="J245">
        <v>75</v>
      </c>
      <c r="K245"/>
    </row>
    <row r="246" spans="1:11">
      <c r="A246">
        <v>2019</v>
      </c>
      <c r="B246" t="s">
        <v>1608</v>
      </c>
      <c r="C246" t="s">
        <v>3802</v>
      </c>
      <c r="D246" t="s">
        <v>3803</v>
      </c>
      <c r="E246" t="s">
        <v>4592</v>
      </c>
      <c r="F246" s="9">
        <v>23.15</v>
      </c>
      <c r="G246" s="9">
        <v>30</v>
      </c>
      <c r="H246" s="10">
        <v>6.94</v>
      </c>
      <c r="I246" s="10">
        <v>4.17</v>
      </c>
      <c r="J246">
        <v>83</v>
      </c>
      <c r="K246"/>
    </row>
    <row r="247" spans="1:11">
      <c r="A247">
        <v>2020</v>
      </c>
      <c r="B247" t="s">
        <v>1608</v>
      </c>
      <c r="C247" t="s">
        <v>3802</v>
      </c>
      <c r="D247" t="s">
        <v>3803</v>
      </c>
      <c r="E247" t="s">
        <v>4592</v>
      </c>
      <c r="F247" s="9">
        <v>31.51</v>
      </c>
      <c r="G247" s="9">
        <v>29.1</v>
      </c>
      <c r="H247" s="10">
        <v>9.17</v>
      </c>
      <c r="I247" s="10">
        <v>5.67</v>
      </c>
      <c r="J247">
        <v>91</v>
      </c>
      <c r="K247"/>
    </row>
    <row r="248" spans="1:11">
      <c r="A248">
        <v>2021</v>
      </c>
      <c r="B248" t="s">
        <v>1608</v>
      </c>
      <c r="C248" t="s">
        <v>3802</v>
      </c>
      <c r="D248" t="s">
        <v>3803</v>
      </c>
      <c r="E248" t="s">
        <v>4592</v>
      </c>
      <c r="F248" s="9">
        <v>30.24</v>
      </c>
      <c r="G248" s="9">
        <v>29.4</v>
      </c>
      <c r="H248" s="10">
        <v>8.8800000000000008</v>
      </c>
      <c r="I248" s="10">
        <v>5.44</v>
      </c>
      <c r="J248">
        <v>90</v>
      </c>
      <c r="K248"/>
    </row>
    <row r="249" spans="1:11">
      <c r="A249">
        <v>2022</v>
      </c>
      <c r="B249" t="s">
        <v>1608</v>
      </c>
      <c r="C249" t="s">
        <v>3802</v>
      </c>
      <c r="D249" t="s">
        <v>3803</v>
      </c>
      <c r="E249" t="s">
        <v>4592</v>
      </c>
      <c r="F249" s="9">
        <v>30.22</v>
      </c>
      <c r="G249" s="9">
        <v>30.8</v>
      </c>
      <c r="H249" s="10">
        <v>9.31</v>
      </c>
      <c r="I249" s="10">
        <v>5.44</v>
      </c>
      <c r="J249">
        <v>90</v>
      </c>
      <c r="K249"/>
    </row>
    <row r="250" spans="1:11">
      <c r="A250">
        <v>2023</v>
      </c>
      <c r="B250" t="s">
        <v>1608</v>
      </c>
      <c r="C250" t="s">
        <v>3802</v>
      </c>
      <c r="D250" t="s">
        <v>3803</v>
      </c>
      <c r="E250" t="s">
        <v>4592</v>
      </c>
      <c r="F250" s="9">
        <v>28.21</v>
      </c>
      <c r="G250" s="9">
        <v>27</v>
      </c>
      <c r="H250" s="10">
        <v>7.61</v>
      </c>
      <c r="I250" s="10">
        <v>5.08</v>
      </c>
      <c r="J250">
        <v>88</v>
      </c>
      <c r="K250"/>
    </row>
    <row r="251" spans="1:11">
      <c r="A251">
        <v>2024</v>
      </c>
      <c r="B251" t="s">
        <v>1608</v>
      </c>
      <c r="C251" t="s">
        <v>3802</v>
      </c>
      <c r="D251" t="s">
        <v>3803</v>
      </c>
      <c r="E251" t="s">
        <v>4592</v>
      </c>
      <c r="F251" s="9">
        <v>28.35</v>
      </c>
      <c r="G251" s="9">
        <v>23.5</v>
      </c>
      <c r="H251" s="10">
        <v>6.67</v>
      </c>
      <c r="I251" s="10">
        <v>5.0999999999999996</v>
      </c>
      <c r="J251">
        <v>88</v>
      </c>
      <c r="K251"/>
    </row>
    <row r="252" spans="1:11">
      <c r="A252">
        <v>2025</v>
      </c>
      <c r="B252" t="s">
        <v>1608</v>
      </c>
      <c r="C252" t="s">
        <v>3802</v>
      </c>
      <c r="D252" t="s">
        <v>3803</v>
      </c>
      <c r="E252" t="s">
        <v>4592</v>
      </c>
      <c r="F252" s="9">
        <v>32.35</v>
      </c>
      <c r="G252" s="9">
        <v>30.7</v>
      </c>
      <c r="H252" s="10">
        <v>9.93</v>
      </c>
      <c r="I252" s="10">
        <v>5.82</v>
      </c>
      <c r="J252">
        <v>92</v>
      </c>
      <c r="K252"/>
    </row>
    <row r="253" spans="1:11">
      <c r="A253">
        <v>2026</v>
      </c>
      <c r="B253" t="s">
        <v>1608</v>
      </c>
      <c r="C253" t="s">
        <v>3802</v>
      </c>
      <c r="D253" t="s">
        <v>3803</v>
      </c>
      <c r="E253" t="s">
        <v>4592</v>
      </c>
      <c r="F253" s="9">
        <v>31.32</v>
      </c>
      <c r="G253" s="9">
        <v>23.5</v>
      </c>
      <c r="H253" s="10">
        <v>7.36</v>
      </c>
      <c r="I253" s="10">
        <v>5.64</v>
      </c>
      <c r="J253">
        <v>91</v>
      </c>
      <c r="K253"/>
    </row>
    <row r="254" spans="1:11">
      <c r="A254">
        <v>2010</v>
      </c>
      <c r="B254" t="s">
        <v>31</v>
      </c>
      <c r="C254" t="s">
        <v>3804</v>
      </c>
      <c r="D254" t="s">
        <v>3783</v>
      </c>
      <c r="E254" t="s">
        <v>4593</v>
      </c>
      <c r="F254" s="9">
        <v>13.82</v>
      </c>
      <c r="G254" s="9">
        <v>30.4</v>
      </c>
      <c r="H254" s="10">
        <v>4.2</v>
      </c>
      <c r="I254" s="10">
        <v>3.45</v>
      </c>
      <c r="J254">
        <v>19</v>
      </c>
      <c r="K254"/>
    </row>
    <row r="255" spans="1:11">
      <c r="A255">
        <v>2011</v>
      </c>
      <c r="B255" t="s">
        <v>31</v>
      </c>
      <c r="C255" t="s">
        <v>3804</v>
      </c>
      <c r="D255" t="s">
        <v>3783</v>
      </c>
      <c r="E255" t="s">
        <v>4593</v>
      </c>
      <c r="F255" s="9">
        <v>17.66</v>
      </c>
      <c r="G255" s="9">
        <v>33.299999999999997</v>
      </c>
      <c r="H255" s="10">
        <v>5.88</v>
      </c>
      <c r="I255" s="10">
        <v>4.41</v>
      </c>
      <c r="J255">
        <v>21</v>
      </c>
      <c r="K255"/>
    </row>
    <row r="256" spans="1:11">
      <c r="A256">
        <v>2012</v>
      </c>
      <c r="B256" t="s">
        <v>31</v>
      </c>
      <c r="C256" t="s">
        <v>3804</v>
      </c>
      <c r="D256" t="s">
        <v>3783</v>
      </c>
      <c r="E256" t="s">
        <v>4593</v>
      </c>
      <c r="F256" s="9">
        <v>17.440000000000001</v>
      </c>
      <c r="G256" s="9">
        <v>33.4</v>
      </c>
      <c r="H256" s="10">
        <v>5.83</v>
      </c>
      <c r="I256" s="10">
        <v>4.3600000000000003</v>
      </c>
      <c r="J256">
        <v>21</v>
      </c>
      <c r="K256"/>
    </row>
    <row r="257" spans="1:11">
      <c r="A257">
        <v>2013</v>
      </c>
      <c r="B257" t="s">
        <v>31</v>
      </c>
      <c r="C257" t="s">
        <v>3804</v>
      </c>
      <c r="D257" t="s">
        <v>3783</v>
      </c>
      <c r="E257" t="s">
        <v>4593</v>
      </c>
      <c r="F257" s="9">
        <v>18.190000000000001</v>
      </c>
      <c r="G257" s="9">
        <v>31.1</v>
      </c>
      <c r="H257" s="10">
        <v>5.66</v>
      </c>
      <c r="I257" s="10">
        <v>4.55</v>
      </c>
      <c r="J257">
        <v>21</v>
      </c>
      <c r="K257"/>
    </row>
    <row r="258" spans="1:11">
      <c r="A258">
        <v>2014</v>
      </c>
      <c r="B258" t="s">
        <v>31</v>
      </c>
      <c r="C258" t="s">
        <v>3804</v>
      </c>
      <c r="D258" t="s">
        <v>3783</v>
      </c>
      <c r="E258" t="s">
        <v>4593</v>
      </c>
      <c r="F258" s="9">
        <v>20.440000000000001</v>
      </c>
      <c r="G258" s="9">
        <v>31.7</v>
      </c>
      <c r="H258" s="10">
        <v>6.49</v>
      </c>
      <c r="I258" s="10">
        <v>5.1100000000000003</v>
      </c>
      <c r="J258">
        <v>22</v>
      </c>
      <c r="K258"/>
    </row>
    <row r="259" spans="1:11">
      <c r="A259">
        <v>2015</v>
      </c>
      <c r="B259" t="s">
        <v>31</v>
      </c>
      <c r="C259" t="s">
        <v>3804</v>
      </c>
      <c r="D259" t="s">
        <v>3783</v>
      </c>
      <c r="E259" t="s">
        <v>4593</v>
      </c>
      <c r="F259" s="9">
        <v>22.22</v>
      </c>
      <c r="G259" s="9">
        <v>33</v>
      </c>
      <c r="H259" s="10">
        <v>7.34</v>
      </c>
      <c r="I259" s="10">
        <v>5.56</v>
      </c>
      <c r="J259">
        <v>22</v>
      </c>
      <c r="K259"/>
    </row>
    <row r="260" spans="1:11">
      <c r="A260">
        <v>2016</v>
      </c>
      <c r="B260" t="s">
        <v>31</v>
      </c>
      <c r="C260" t="s">
        <v>3804</v>
      </c>
      <c r="D260" t="s">
        <v>3783</v>
      </c>
      <c r="E260" t="s">
        <v>4593</v>
      </c>
      <c r="F260" s="9">
        <v>22.82</v>
      </c>
      <c r="G260" s="9">
        <v>29.9</v>
      </c>
      <c r="H260" s="10">
        <v>6.83</v>
      </c>
      <c r="I260" s="10">
        <v>5.7</v>
      </c>
      <c r="J260">
        <v>23</v>
      </c>
      <c r="K260"/>
    </row>
    <row r="261" spans="1:11">
      <c r="A261">
        <v>2017</v>
      </c>
      <c r="B261" t="s">
        <v>31</v>
      </c>
      <c r="C261" t="s">
        <v>3804</v>
      </c>
      <c r="D261" t="s">
        <v>3783</v>
      </c>
      <c r="E261" t="s">
        <v>4593</v>
      </c>
      <c r="F261" s="9">
        <v>23.66</v>
      </c>
      <c r="G261" s="9">
        <v>36.9</v>
      </c>
      <c r="H261" s="10">
        <v>8.73</v>
      </c>
      <c r="I261" s="10">
        <v>5.92</v>
      </c>
      <c r="J261">
        <v>23</v>
      </c>
      <c r="K261"/>
    </row>
    <row r="262" spans="1:11">
      <c r="A262">
        <v>2018</v>
      </c>
      <c r="B262" t="s">
        <v>31</v>
      </c>
      <c r="C262" t="s">
        <v>3804</v>
      </c>
      <c r="D262" t="s">
        <v>3783</v>
      </c>
      <c r="E262" t="s">
        <v>4593</v>
      </c>
      <c r="F262" s="9">
        <v>23.02</v>
      </c>
      <c r="G262" s="9">
        <v>29.3</v>
      </c>
      <c r="H262" s="10">
        <v>6.75</v>
      </c>
      <c r="I262" s="10">
        <v>5.76</v>
      </c>
      <c r="J262">
        <v>23</v>
      </c>
      <c r="K262"/>
    </row>
    <row r="263" spans="1:11">
      <c r="A263">
        <v>2019</v>
      </c>
      <c r="B263" t="s">
        <v>31</v>
      </c>
      <c r="C263" t="s">
        <v>3804</v>
      </c>
      <c r="D263" t="s">
        <v>3783</v>
      </c>
      <c r="E263" t="s">
        <v>4593</v>
      </c>
      <c r="F263" s="9">
        <v>25.55</v>
      </c>
      <c r="G263" s="9">
        <v>31.4</v>
      </c>
      <c r="H263" s="10">
        <v>8.0299999999999994</v>
      </c>
      <c r="I263" s="10">
        <v>6.39</v>
      </c>
      <c r="J263">
        <v>23</v>
      </c>
      <c r="K263"/>
    </row>
    <row r="264" spans="1:11">
      <c r="A264">
        <v>2020</v>
      </c>
      <c r="B264" t="s">
        <v>31</v>
      </c>
      <c r="C264" t="s">
        <v>3804</v>
      </c>
      <c r="D264" t="s">
        <v>3783</v>
      </c>
      <c r="E264" t="s">
        <v>4593</v>
      </c>
      <c r="F264" s="9">
        <v>26.49</v>
      </c>
      <c r="G264" s="9">
        <v>30.7</v>
      </c>
      <c r="H264" s="10">
        <v>8.1300000000000008</v>
      </c>
      <c r="I264" s="10">
        <v>6.62</v>
      </c>
      <c r="J264">
        <v>24</v>
      </c>
      <c r="K264"/>
    </row>
    <row r="265" spans="1:11">
      <c r="A265">
        <v>2021</v>
      </c>
      <c r="B265" t="s">
        <v>31</v>
      </c>
      <c r="C265" t="s">
        <v>3804</v>
      </c>
      <c r="D265" t="s">
        <v>3783</v>
      </c>
      <c r="E265" t="s">
        <v>4593</v>
      </c>
      <c r="F265" s="9">
        <v>27</v>
      </c>
      <c r="G265" s="9">
        <v>32.4</v>
      </c>
      <c r="H265" s="10">
        <v>8.75</v>
      </c>
      <c r="I265" s="10">
        <v>6.75</v>
      </c>
      <c r="J265">
        <v>24</v>
      </c>
      <c r="K265"/>
    </row>
    <row r="266" spans="1:11">
      <c r="A266">
        <v>2022</v>
      </c>
      <c r="B266" t="s">
        <v>31</v>
      </c>
      <c r="C266" t="s">
        <v>3804</v>
      </c>
      <c r="D266" t="s">
        <v>3783</v>
      </c>
      <c r="E266" t="s">
        <v>4593</v>
      </c>
      <c r="F266" s="9">
        <v>26.5</v>
      </c>
      <c r="G266" s="9">
        <v>36.700000000000003</v>
      </c>
      <c r="H266" s="10">
        <v>9.73</v>
      </c>
      <c r="I266" s="10">
        <v>6.63</v>
      </c>
      <c r="J266">
        <v>24</v>
      </c>
      <c r="K266"/>
    </row>
    <row r="267" spans="1:11">
      <c r="A267">
        <v>2023</v>
      </c>
      <c r="B267" t="s">
        <v>31</v>
      </c>
      <c r="C267" t="s">
        <v>3804</v>
      </c>
      <c r="D267" t="s">
        <v>3783</v>
      </c>
      <c r="E267" t="s">
        <v>4593</v>
      </c>
      <c r="F267" s="9">
        <v>27.9</v>
      </c>
      <c r="G267" s="9">
        <v>29.2</v>
      </c>
      <c r="H267" s="10">
        <v>8.14</v>
      </c>
      <c r="I267" s="10">
        <v>6.97</v>
      </c>
      <c r="J267">
        <v>24</v>
      </c>
      <c r="K267"/>
    </row>
    <row r="268" spans="1:11">
      <c r="A268">
        <v>2024</v>
      </c>
      <c r="B268" t="s">
        <v>31</v>
      </c>
      <c r="C268" t="s">
        <v>3804</v>
      </c>
      <c r="D268" t="s">
        <v>3783</v>
      </c>
      <c r="E268" t="s">
        <v>4593</v>
      </c>
      <c r="F268" s="9">
        <v>32.950000000000003</v>
      </c>
      <c r="G268" s="9">
        <v>33.4</v>
      </c>
      <c r="H268" s="10">
        <v>10.99</v>
      </c>
      <c r="I268" s="10">
        <v>8.24</v>
      </c>
      <c r="J268">
        <v>25</v>
      </c>
      <c r="K268"/>
    </row>
    <row r="269" spans="1:11">
      <c r="A269">
        <v>2025</v>
      </c>
      <c r="B269" t="s">
        <v>31</v>
      </c>
      <c r="C269" t="s">
        <v>3804</v>
      </c>
      <c r="D269" t="s">
        <v>3783</v>
      </c>
      <c r="E269" t="s">
        <v>4593</v>
      </c>
      <c r="F269" s="9">
        <v>34.06</v>
      </c>
      <c r="G269" s="9">
        <v>33.9</v>
      </c>
      <c r="H269" s="10">
        <v>11.55</v>
      </c>
      <c r="I269" s="10">
        <v>8.52</v>
      </c>
      <c r="J269">
        <v>25</v>
      </c>
      <c r="K269"/>
    </row>
    <row r="270" spans="1:11">
      <c r="A270">
        <v>2026</v>
      </c>
      <c r="B270" t="s">
        <v>31</v>
      </c>
      <c r="C270" t="s">
        <v>3804</v>
      </c>
      <c r="D270" t="s">
        <v>3783</v>
      </c>
      <c r="E270" t="s">
        <v>4593</v>
      </c>
      <c r="F270" s="9">
        <v>37.39</v>
      </c>
      <c r="G270" s="9">
        <v>35.4</v>
      </c>
      <c r="H270" s="10">
        <v>13.25</v>
      </c>
      <c r="I270" s="10">
        <v>9.35</v>
      </c>
      <c r="J270">
        <v>26</v>
      </c>
      <c r="K270"/>
    </row>
    <row r="271" spans="1:11">
      <c r="A271">
        <v>2010</v>
      </c>
      <c r="B271" t="s">
        <v>3805</v>
      </c>
      <c r="C271" t="s">
        <v>3806</v>
      </c>
      <c r="D271" t="s">
        <v>3783</v>
      </c>
      <c r="E271" t="s">
        <v>4593</v>
      </c>
      <c r="F271" s="9">
        <v>7.35</v>
      </c>
      <c r="G271" s="9">
        <v>29.6</v>
      </c>
      <c r="H271" s="10">
        <v>2.1800000000000002</v>
      </c>
      <c r="I271" s="10">
        <v>1.84</v>
      </c>
      <c r="J271">
        <v>16</v>
      </c>
      <c r="K271"/>
    </row>
    <row r="272" spans="1:11">
      <c r="A272">
        <v>2011</v>
      </c>
      <c r="B272" t="s">
        <v>3805</v>
      </c>
      <c r="C272" t="s">
        <v>3806</v>
      </c>
      <c r="D272" t="s">
        <v>3783</v>
      </c>
      <c r="E272" t="s">
        <v>4593</v>
      </c>
      <c r="F272" s="9">
        <v>12.21</v>
      </c>
      <c r="G272" s="9">
        <v>29.5</v>
      </c>
      <c r="H272" s="10">
        <v>3.6</v>
      </c>
      <c r="I272" s="10">
        <v>3.05</v>
      </c>
      <c r="J272">
        <v>19</v>
      </c>
      <c r="K272"/>
    </row>
    <row r="273" spans="1:11">
      <c r="A273">
        <v>2012</v>
      </c>
      <c r="B273" t="s">
        <v>3805</v>
      </c>
      <c r="C273" t="s">
        <v>3806</v>
      </c>
      <c r="D273" t="s">
        <v>3783</v>
      </c>
      <c r="E273" t="s">
        <v>4593</v>
      </c>
      <c r="F273" s="9">
        <v>17.91</v>
      </c>
      <c r="G273" s="9">
        <v>31.5</v>
      </c>
      <c r="H273" s="10">
        <v>5.64</v>
      </c>
      <c r="I273" s="10">
        <v>4.4800000000000004</v>
      </c>
      <c r="J273">
        <v>21</v>
      </c>
      <c r="K273"/>
    </row>
    <row r="274" spans="1:11">
      <c r="A274">
        <v>2013</v>
      </c>
      <c r="B274" t="s">
        <v>3805</v>
      </c>
      <c r="C274" t="s">
        <v>3806</v>
      </c>
      <c r="D274" t="s">
        <v>3783</v>
      </c>
      <c r="E274" t="s">
        <v>4593</v>
      </c>
      <c r="F274" s="9">
        <v>22.55</v>
      </c>
      <c r="G274" s="9">
        <v>31.5</v>
      </c>
      <c r="H274" s="10">
        <v>7.11</v>
      </c>
      <c r="I274" s="10">
        <v>5.64</v>
      </c>
      <c r="J274">
        <v>22</v>
      </c>
      <c r="K274"/>
    </row>
    <row r="275" spans="1:11">
      <c r="A275">
        <v>2014</v>
      </c>
      <c r="B275" t="s">
        <v>3805</v>
      </c>
      <c r="C275" t="s">
        <v>3806</v>
      </c>
      <c r="D275" t="s">
        <v>3783</v>
      </c>
      <c r="E275" t="s">
        <v>4593</v>
      </c>
      <c r="F275" s="9">
        <v>27.83</v>
      </c>
      <c r="G275" s="9">
        <v>29</v>
      </c>
      <c r="H275" s="10">
        <v>8.06</v>
      </c>
      <c r="I275" s="10">
        <v>6.96</v>
      </c>
      <c r="J275">
        <v>24</v>
      </c>
      <c r="K275"/>
    </row>
    <row r="276" spans="1:11">
      <c r="A276">
        <v>2015</v>
      </c>
      <c r="B276" t="s">
        <v>3805</v>
      </c>
      <c r="C276" t="s">
        <v>3806</v>
      </c>
      <c r="D276" t="s">
        <v>3783</v>
      </c>
      <c r="E276" t="s">
        <v>4593</v>
      </c>
      <c r="F276" s="9">
        <v>33.299999999999997</v>
      </c>
      <c r="G276" s="9">
        <v>34</v>
      </c>
      <c r="H276" s="10">
        <v>11.32</v>
      </c>
      <c r="I276" s="10">
        <v>8.32</v>
      </c>
      <c r="J276">
        <v>25</v>
      </c>
      <c r="K276"/>
    </row>
    <row r="277" spans="1:11">
      <c r="A277">
        <v>2016</v>
      </c>
      <c r="B277" t="s">
        <v>3805</v>
      </c>
      <c r="C277" t="s">
        <v>3806</v>
      </c>
      <c r="D277" t="s">
        <v>3783</v>
      </c>
      <c r="E277" t="s">
        <v>4593</v>
      </c>
      <c r="F277" s="9">
        <v>29.44</v>
      </c>
      <c r="G277" s="9">
        <v>33.700000000000003</v>
      </c>
      <c r="H277" s="10">
        <v>9.91</v>
      </c>
      <c r="I277" s="10">
        <v>7.36</v>
      </c>
      <c r="J277">
        <v>24</v>
      </c>
      <c r="K277"/>
    </row>
    <row r="278" spans="1:11">
      <c r="A278">
        <v>2017</v>
      </c>
      <c r="B278" t="s">
        <v>3805</v>
      </c>
      <c r="C278" t="s">
        <v>3806</v>
      </c>
      <c r="D278" t="s">
        <v>3783</v>
      </c>
      <c r="E278" t="s">
        <v>4593</v>
      </c>
      <c r="F278" s="9">
        <v>25.83</v>
      </c>
      <c r="G278" s="9">
        <v>38.1</v>
      </c>
      <c r="H278" s="10">
        <v>9.84</v>
      </c>
      <c r="I278" s="10">
        <v>6.46</v>
      </c>
      <c r="J278">
        <v>23</v>
      </c>
      <c r="K278"/>
    </row>
    <row r="279" spans="1:11">
      <c r="A279">
        <v>2018</v>
      </c>
      <c r="B279" t="s">
        <v>3805</v>
      </c>
      <c r="C279" t="s">
        <v>3806</v>
      </c>
      <c r="D279" t="s">
        <v>3783</v>
      </c>
      <c r="E279" t="s">
        <v>4593</v>
      </c>
      <c r="F279" s="9">
        <v>22.04</v>
      </c>
      <c r="G279" s="9">
        <v>31.1</v>
      </c>
      <c r="H279" s="10">
        <v>6.85</v>
      </c>
      <c r="I279" s="10">
        <v>5.51</v>
      </c>
      <c r="J279">
        <v>22</v>
      </c>
      <c r="K279"/>
    </row>
    <row r="280" spans="1:11">
      <c r="A280">
        <v>2019</v>
      </c>
      <c r="B280" t="s">
        <v>3805</v>
      </c>
      <c r="C280" t="s">
        <v>3806</v>
      </c>
      <c r="D280" t="s">
        <v>3783</v>
      </c>
      <c r="E280" t="s">
        <v>4593</v>
      </c>
      <c r="F280" s="9">
        <v>22.88</v>
      </c>
      <c r="G280" s="9">
        <v>28.9</v>
      </c>
      <c r="H280" s="10">
        <v>6.61</v>
      </c>
      <c r="I280" s="10">
        <v>5.72</v>
      </c>
      <c r="J280">
        <v>23</v>
      </c>
      <c r="K280"/>
    </row>
    <row r="281" spans="1:11">
      <c r="A281">
        <v>2020</v>
      </c>
      <c r="B281" t="s">
        <v>3805</v>
      </c>
      <c r="C281" t="s">
        <v>3806</v>
      </c>
      <c r="D281" t="s">
        <v>3783</v>
      </c>
      <c r="E281" t="s">
        <v>4593</v>
      </c>
      <c r="F281" s="9">
        <v>23.79</v>
      </c>
      <c r="G281" s="9">
        <v>29.3</v>
      </c>
      <c r="H281" s="10">
        <v>6.98</v>
      </c>
      <c r="I281" s="10">
        <v>5.95</v>
      </c>
      <c r="J281">
        <v>23</v>
      </c>
      <c r="K281"/>
    </row>
    <row r="282" spans="1:11">
      <c r="A282">
        <v>2021</v>
      </c>
      <c r="B282" t="s">
        <v>3805</v>
      </c>
      <c r="C282" t="s">
        <v>3806</v>
      </c>
      <c r="D282" t="s">
        <v>3783</v>
      </c>
      <c r="E282" t="s">
        <v>4593</v>
      </c>
      <c r="F282" s="9">
        <v>25.94</v>
      </c>
      <c r="G282" s="9">
        <v>33</v>
      </c>
      <c r="H282" s="10">
        <v>8.56</v>
      </c>
      <c r="I282" s="10">
        <v>6.49</v>
      </c>
      <c r="J282">
        <v>23</v>
      </c>
      <c r="K282"/>
    </row>
    <row r="283" spans="1:11">
      <c r="A283">
        <v>2022</v>
      </c>
      <c r="B283" t="s">
        <v>3805</v>
      </c>
      <c r="C283" t="s">
        <v>3806</v>
      </c>
      <c r="D283" t="s">
        <v>3783</v>
      </c>
      <c r="E283" t="s">
        <v>4593</v>
      </c>
      <c r="F283" s="9">
        <v>27.34</v>
      </c>
      <c r="G283" s="9">
        <v>29.7</v>
      </c>
      <c r="H283" s="10">
        <v>8.1199999999999992</v>
      </c>
      <c r="I283" s="10">
        <v>6.84</v>
      </c>
      <c r="J283">
        <v>24</v>
      </c>
      <c r="K283"/>
    </row>
    <row r="284" spans="1:11">
      <c r="A284">
        <v>2023</v>
      </c>
      <c r="B284" t="s">
        <v>3805</v>
      </c>
      <c r="C284" t="s">
        <v>3806</v>
      </c>
      <c r="D284" t="s">
        <v>3783</v>
      </c>
      <c r="E284" t="s">
        <v>4593</v>
      </c>
      <c r="F284" s="9">
        <v>27.84</v>
      </c>
      <c r="G284" s="9">
        <v>34.200000000000003</v>
      </c>
      <c r="H284" s="10">
        <v>9.5299999999999994</v>
      </c>
      <c r="I284" s="10">
        <v>6.96</v>
      </c>
      <c r="J284">
        <v>24</v>
      </c>
      <c r="K284"/>
    </row>
    <row r="285" spans="1:11">
      <c r="A285">
        <v>2024</v>
      </c>
      <c r="B285" t="s">
        <v>3805</v>
      </c>
      <c r="C285" t="s">
        <v>3806</v>
      </c>
      <c r="D285" t="s">
        <v>3783</v>
      </c>
      <c r="E285" t="s">
        <v>4593</v>
      </c>
      <c r="F285" s="9">
        <v>28.56</v>
      </c>
      <c r="G285" s="9">
        <v>30</v>
      </c>
      <c r="H285" s="10">
        <v>8.58</v>
      </c>
      <c r="I285" s="10">
        <v>7.14</v>
      </c>
      <c r="J285">
        <v>24</v>
      </c>
      <c r="K285"/>
    </row>
    <row r="286" spans="1:11">
      <c r="A286">
        <v>2025</v>
      </c>
      <c r="B286" t="s">
        <v>3805</v>
      </c>
      <c r="C286" t="s">
        <v>3806</v>
      </c>
      <c r="D286" t="s">
        <v>3783</v>
      </c>
      <c r="E286" t="s">
        <v>4593</v>
      </c>
      <c r="F286" s="9">
        <v>30.35</v>
      </c>
      <c r="G286" s="9">
        <v>32.6</v>
      </c>
      <c r="H286" s="10">
        <v>9.8800000000000008</v>
      </c>
      <c r="I286" s="10">
        <v>7.59</v>
      </c>
      <c r="J286">
        <v>25</v>
      </c>
      <c r="K286"/>
    </row>
    <row r="287" spans="1:11">
      <c r="A287">
        <v>2026</v>
      </c>
      <c r="B287" t="s">
        <v>3805</v>
      </c>
      <c r="C287" t="s">
        <v>3806</v>
      </c>
      <c r="D287" t="s">
        <v>3783</v>
      </c>
      <c r="E287" t="s">
        <v>4593</v>
      </c>
      <c r="F287" s="9">
        <v>29.68</v>
      </c>
      <c r="G287" s="9">
        <v>31.8</v>
      </c>
      <c r="H287" s="10">
        <v>9.44</v>
      </c>
      <c r="I287" s="10">
        <v>7.42</v>
      </c>
      <c r="J287">
        <v>24</v>
      </c>
      <c r="K287"/>
    </row>
    <row r="288" spans="1:11">
      <c r="A288">
        <v>2012</v>
      </c>
      <c r="B288" t="s">
        <v>3807</v>
      </c>
      <c r="C288" t="s">
        <v>3808</v>
      </c>
      <c r="D288" t="s">
        <v>3783</v>
      </c>
      <c r="E288" t="s">
        <v>4593</v>
      </c>
      <c r="F288" s="9">
        <v>1.51</v>
      </c>
      <c r="G288" s="9">
        <v>29.3</v>
      </c>
      <c r="H288" s="10">
        <v>0.44</v>
      </c>
      <c r="I288" s="10">
        <v>0.38</v>
      </c>
      <c r="J288">
        <v>10</v>
      </c>
      <c r="K288"/>
    </row>
    <row r="289" spans="1:11">
      <c r="A289">
        <v>2013</v>
      </c>
      <c r="B289" t="s">
        <v>3807</v>
      </c>
      <c r="C289" t="s">
        <v>3808</v>
      </c>
      <c r="D289" t="s">
        <v>3783</v>
      </c>
      <c r="E289" t="s">
        <v>4593</v>
      </c>
      <c r="F289" s="9">
        <v>1.34</v>
      </c>
      <c r="G289" s="9">
        <v>27.6</v>
      </c>
      <c r="H289" s="10">
        <v>0.37</v>
      </c>
      <c r="I289" s="10">
        <v>0.34</v>
      </c>
      <c r="J289">
        <v>9</v>
      </c>
      <c r="K289"/>
    </row>
    <row r="290" spans="1:11">
      <c r="A290">
        <v>2014</v>
      </c>
      <c r="B290" t="s">
        <v>3807</v>
      </c>
      <c r="C290" t="s">
        <v>3808</v>
      </c>
      <c r="D290" t="s">
        <v>3783</v>
      </c>
      <c r="E290" t="s">
        <v>4593</v>
      </c>
      <c r="F290" s="9">
        <v>1.21</v>
      </c>
      <c r="G290" s="9">
        <v>35.700000000000003</v>
      </c>
      <c r="H290" s="10">
        <v>0.43</v>
      </c>
      <c r="I290" s="10">
        <v>0.3</v>
      </c>
      <c r="J290">
        <v>9</v>
      </c>
      <c r="K290"/>
    </row>
    <row r="291" spans="1:11">
      <c r="A291">
        <v>2015</v>
      </c>
      <c r="B291" t="s">
        <v>3807</v>
      </c>
      <c r="C291" t="s">
        <v>3808</v>
      </c>
      <c r="D291" t="s">
        <v>3783</v>
      </c>
      <c r="E291" t="s">
        <v>4593</v>
      </c>
      <c r="F291" s="9">
        <v>0.99</v>
      </c>
      <c r="G291" s="9">
        <v>33.1</v>
      </c>
      <c r="H291" s="10">
        <v>0.33</v>
      </c>
      <c r="I291" s="10">
        <v>0.25</v>
      </c>
      <c r="J291">
        <v>8</v>
      </c>
      <c r="K291"/>
    </row>
    <row r="292" spans="1:11">
      <c r="A292">
        <v>2016</v>
      </c>
      <c r="B292" t="s">
        <v>3807</v>
      </c>
      <c r="C292" t="s">
        <v>3808</v>
      </c>
      <c r="D292" t="s">
        <v>3783</v>
      </c>
      <c r="E292" t="s">
        <v>4593</v>
      </c>
      <c r="F292" s="9">
        <v>1.55</v>
      </c>
      <c r="G292" s="9">
        <v>28.5</v>
      </c>
      <c r="H292" s="10">
        <v>0.44</v>
      </c>
      <c r="I292" s="10">
        <v>0.39</v>
      </c>
      <c r="J292">
        <v>10</v>
      </c>
      <c r="K292"/>
    </row>
    <row r="293" spans="1:11">
      <c r="A293">
        <v>2017</v>
      </c>
      <c r="B293" t="s">
        <v>3807</v>
      </c>
      <c r="C293" t="s">
        <v>3808</v>
      </c>
      <c r="D293" t="s">
        <v>3783</v>
      </c>
      <c r="E293" t="s">
        <v>4593</v>
      </c>
      <c r="F293" s="9">
        <v>2.31</v>
      </c>
      <c r="G293" s="9">
        <v>28.8</v>
      </c>
      <c r="H293" s="10">
        <v>0.67</v>
      </c>
      <c r="I293" s="10">
        <v>0.57999999999999996</v>
      </c>
      <c r="J293">
        <v>11</v>
      </c>
      <c r="K293"/>
    </row>
    <row r="294" spans="1:11">
      <c r="A294">
        <v>2018</v>
      </c>
      <c r="B294" t="s">
        <v>3807</v>
      </c>
      <c r="C294" t="s">
        <v>3808</v>
      </c>
      <c r="D294" t="s">
        <v>3783</v>
      </c>
      <c r="E294" t="s">
        <v>4593</v>
      </c>
      <c r="F294" s="9">
        <v>3.06</v>
      </c>
      <c r="G294" s="9">
        <v>38</v>
      </c>
      <c r="H294" s="10">
        <v>1.1599999999999999</v>
      </c>
      <c r="I294" s="10">
        <v>0.77</v>
      </c>
      <c r="J294">
        <v>12</v>
      </c>
      <c r="K294"/>
    </row>
    <row r="295" spans="1:11">
      <c r="A295">
        <v>2019</v>
      </c>
      <c r="B295" t="s">
        <v>3807</v>
      </c>
      <c r="C295" t="s">
        <v>3808</v>
      </c>
      <c r="D295" t="s">
        <v>3783</v>
      </c>
      <c r="E295" t="s">
        <v>4593</v>
      </c>
      <c r="F295" s="9">
        <v>4.4400000000000004</v>
      </c>
      <c r="G295" s="9">
        <v>29.5</v>
      </c>
      <c r="H295" s="10">
        <v>1.31</v>
      </c>
      <c r="I295" s="10">
        <v>1.1100000000000001</v>
      </c>
      <c r="J295">
        <v>14</v>
      </c>
      <c r="K295"/>
    </row>
    <row r="296" spans="1:11">
      <c r="A296">
        <v>2020</v>
      </c>
      <c r="B296" t="s">
        <v>3807</v>
      </c>
      <c r="C296" t="s">
        <v>3808</v>
      </c>
      <c r="D296" t="s">
        <v>3783</v>
      </c>
      <c r="E296" t="s">
        <v>4593</v>
      </c>
      <c r="F296" s="9">
        <v>6.24</v>
      </c>
      <c r="G296" s="9">
        <v>36.799999999999997</v>
      </c>
      <c r="H296" s="10">
        <v>2.2999999999999998</v>
      </c>
      <c r="I296" s="10">
        <v>1.56</v>
      </c>
      <c r="J296">
        <v>15</v>
      </c>
      <c r="K296"/>
    </row>
    <row r="297" spans="1:11">
      <c r="A297">
        <v>2021</v>
      </c>
      <c r="B297" t="s">
        <v>3807</v>
      </c>
      <c r="C297" t="s">
        <v>3808</v>
      </c>
      <c r="D297" t="s">
        <v>3783</v>
      </c>
      <c r="E297" t="s">
        <v>4593</v>
      </c>
      <c r="F297" s="9">
        <v>7.28</v>
      </c>
      <c r="G297" s="9">
        <v>32.700000000000003</v>
      </c>
      <c r="H297" s="10">
        <v>2.38</v>
      </c>
      <c r="I297" s="10">
        <v>1.82</v>
      </c>
      <c r="J297">
        <v>16</v>
      </c>
      <c r="K297"/>
    </row>
    <row r="298" spans="1:11">
      <c r="A298">
        <v>2022</v>
      </c>
      <c r="B298" t="s">
        <v>3807</v>
      </c>
      <c r="C298" t="s">
        <v>3808</v>
      </c>
      <c r="D298" t="s">
        <v>3783</v>
      </c>
      <c r="E298" t="s">
        <v>4593</v>
      </c>
      <c r="F298" s="9">
        <v>9.4</v>
      </c>
      <c r="G298" s="9">
        <v>27</v>
      </c>
      <c r="H298" s="10">
        <v>2.54</v>
      </c>
      <c r="I298" s="10">
        <v>2.35</v>
      </c>
      <c r="J298">
        <v>17</v>
      </c>
      <c r="K298"/>
    </row>
    <row r="299" spans="1:11">
      <c r="A299">
        <v>2023</v>
      </c>
      <c r="B299" t="s">
        <v>3807</v>
      </c>
      <c r="C299" t="s">
        <v>3808</v>
      </c>
      <c r="D299" t="s">
        <v>3783</v>
      </c>
      <c r="E299" t="s">
        <v>4593</v>
      </c>
      <c r="F299" s="9">
        <v>9.5299999999999994</v>
      </c>
      <c r="G299" s="9">
        <v>30.7</v>
      </c>
      <c r="H299" s="10">
        <v>2.93</v>
      </c>
      <c r="I299" s="10">
        <v>2.38</v>
      </c>
      <c r="J299">
        <v>17</v>
      </c>
      <c r="K299"/>
    </row>
    <row r="300" spans="1:11">
      <c r="A300">
        <v>2024</v>
      </c>
      <c r="B300" t="s">
        <v>3807</v>
      </c>
      <c r="C300" t="s">
        <v>3808</v>
      </c>
      <c r="D300" t="s">
        <v>3783</v>
      </c>
      <c r="E300" t="s">
        <v>4593</v>
      </c>
      <c r="F300" s="9">
        <v>10.83</v>
      </c>
      <c r="G300" s="9">
        <v>34.4</v>
      </c>
      <c r="H300" s="10">
        <v>3.73</v>
      </c>
      <c r="I300" s="10">
        <v>2.71</v>
      </c>
      <c r="J300">
        <v>18</v>
      </c>
      <c r="K300"/>
    </row>
    <row r="301" spans="1:11">
      <c r="A301">
        <v>2025</v>
      </c>
      <c r="B301" t="s">
        <v>3807</v>
      </c>
      <c r="C301" t="s">
        <v>3808</v>
      </c>
      <c r="D301" t="s">
        <v>3783</v>
      </c>
      <c r="E301" t="s">
        <v>4593</v>
      </c>
      <c r="F301" s="9">
        <v>12.34</v>
      </c>
      <c r="G301" s="9">
        <v>26.7</v>
      </c>
      <c r="H301" s="10">
        <v>3.29</v>
      </c>
      <c r="I301" s="10">
        <v>3.08</v>
      </c>
      <c r="J301">
        <v>19</v>
      </c>
      <c r="K301"/>
    </row>
    <row r="302" spans="1:11">
      <c r="A302">
        <v>2026</v>
      </c>
      <c r="B302" t="s">
        <v>3807</v>
      </c>
      <c r="C302" t="s">
        <v>3808</v>
      </c>
      <c r="D302" t="s">
        <v>3783</v>
      </c>
      <c r="E302" t="s">
        <v>4593</v>
      </c>
      <c r="F302" s="9">
        <v>13.71</v>
      </c>
      <c r="G302" s="9">
        <v>30.3</v>
      </c>
      <c r="H302" s="10">
        <v>4.1500000000000004</v>
      </c>
      <c r="I302" s="10">
        <v>3.43</v>
      </c>
      <c r="J302">
        <v>19</v>
      </c>
      <c r="K302"/>
    </row>
    <row r="303" spans="1:11">
      <c r="A303">
        <v>2010</v>
      </c>
      <c r="B303" t="s">
        <v>1676</v>
      </c>
      <c r="C303" t="s">
        <v>3809</v>
      </c>
      <c r="D303" t="s">
        <v>3783</v>
      </c>
      <c r="E303" t="s">
        <v>4593</v>
      </c>
      <c r="F303" s="9">
        <v>0.48</v>
      </c>
      <c r="G303" s="9">
        <v>30.1</v>
      </c>
      <c r="H303" s="10">
        <v>0.14000000000000001</v>
      </c>
      <c r="I303" s="10">
        <v>0.12</v>
      </c>
      <c r="J303">
        <v>7</v>
      </c>
      <c r="K303"/>
    </row>
    <row r="304" spans="1:11">
      <c r="A304">
        <v>2011</v>
      </c>
      <c r="B304" t="s">
        <v>1676</v>
      </c>
      <c r="C304" t="s">
        <v>3809</v>
      </c>
      <c r="D304" t="s">
        <v>3783</v>
      </c>
      <c r="E304" t="s">
        <v>4593</v>
      </c>
      <c r="F304" s="9">
        <v>1.17</v>
      </c>
      <c r="G304" s="9">
        <v>33.6</v>
      </c>
      <c r="H304" s="10">
        <v>0.39</v>
      </c>
      <c r="I304" s="10">
        <v>0.28999999999999998</v>
      </c>
      <c r="J304">
        <v>9</v>
      </c>
      <c r="K304"/>
    </row>
    <row r="305" spans="1:11">
      <c r="A305">
        <v>2012</v>
      </c>
      <c r="B305" t="s">
        <v>1676</v>
      </c>
      <c r="C305" t="s">
        <v>3809</v>
      </c>
      <c r="D305" t="s">
        <v>3783</v>
      </c>
      <c r="E305" t="s">
        <v>4593</v>
      </c>
      <c r="F305" s="9">
        <v>1.96</v>
      </c>
      <c r="G305" s="9">
        <v>33.299999999999997</v>
      </c>
      <c r="H305" s="10">
        <v>0.65</v>
      </c>
      <c r="I305" s="10">
        <v>0.49</v>
      </c>
      <c r="J305">
        <v>11</v>
      </c>
      <c r="K305"/>
    </row>
    <row r="306" spans="1:11">
      <c r="A306">
        <v>2013</v>
      </c>
      <c r="B306" t="s">
        <v>1676</v>
      </c>
      <c r="C306" t="s">
        <v>3809</v>
      </c>
      <c r="D306" t="s">
        <v>3783</v>
      </c>
      <c r="E306" t="s">
        <v>4593</v>
      </c>
      <c r="F306" s="9">
        <v>2.5099999999999998</v>
      </c>
      <c r="G306" s="9">
        <v>33.6</v>
      </c>
      <c r="H306" s="10">
        <v>0.84</v>
      </c>
      <c r="I306" s="10">
        <v>0.63</v>
      </c>
      <c r="J306">
        <v>11</v>
      </c>
      <c r="K306"/>
    </row>
    <row r="307" spans="1:11">
      <c r="A307">
        <v>2014</v>
      </c>
      <c r="B307" t="s">
        <v>1676</v>
      </c>
      <c r="C307" t="s">
        <v>3809</v>
      </c>
      <c r="D307" t="s">
        <v>3783</v>
      </c>
      <c r="E307" t="s">
        <v>4593</v>
      </c>
      <c r="F307" s="9">
        <v>3.27</v>
      </c>
      <c r="G307" s="9">
        <v>32.700000000000003</v>
      </c>
      <c r="H307" s="10">
        <v>1.07</v>
      </c>
      <c r="I307" s="10">
        <v>0.82</v>
      </c>
      <c r="J307">
        <v>12</v>
      </c>
      <c r="K307"/>
    </row>
    <row r="308" spans="1:11">
      <c r="A308">
        <v>2015</v>
      </c>
      <c r="B308" t="s">
        <v>1676</v>
      </c>
      <c r="C308" t="s">
        <v>3809</v>
      </c>
      <c r="D308" t="s">
        <v>3783</v>
      </c>
      <c r="E308" t="s">
        <v>4593</v>
      </c>
      <c r="F308" s="9">
        <v>3.93</v>
      </c>
      <c r="G308" s="9">
        <v>33.299999999999997</v>
      </c>
      <c r="H308" s="10">
        <v>1.31</v>
      </c>
      <c r="I308" s="10">
        <v>0.98</v>
      </c>
      <c r="J308">
        <v>13</v>
      </c>
      <c r="K308"/>
    </row>
    <row r="309" spans="1:11">
      <c r="A309">
        <v>2016</v>
      </c>
      <c r="B309" t="s">
        <v>1676</v>
      </c>
      <c r="C309" t="s">
        <v>3809</v>
      </c>
      <c r="D309" t="s">
        <v>3783</v>
      </c>
      <c r="E309" t="s">
        <v>4593</v>
      </c>
      <c r="F309" s="9">
        <v>4.8499999999999996</v>
      </c>
      <c r="G309" s="9">
        <v>28.2</v>
      </c>
      <c r="H309" s="10">
        <v>1.36</v>
      </c>
      <c r="I309" s="10">
        <v>1.21</v>
      </c>
      <c r="J309">
        <v>14</v>
      </c>
      <c r="K309"/>
    </row>
    <row r="310" spans="1:11">
      <c r="A310">
        <v>2017</v>
      </c>
      <c r="B310" t="s">
        <v>1676</v>
      </c>
      <c r="C310" t="s">
        <v>3809</v>
      </c>
      <c r="D310" t="s">
        <v>3783</v>
      </c>
      <c r="E310" t="s">
        <v>4593</v>
      </c>
      <c r="F310" s="9">
        <v>5.96</v>
      </c>
      <c r="G310" s="9">
        <v>32.700000000000003</v>
      </c>
      <c r="H310" s="10">
        <v>1.95</v>
      </c>
      <c r="I310" s="10">
        <v>1.49</v>
      </c>
      <c r="J310">
        <v>15</v>
      </c>
      <c r="K310"/>
    </row>
    <row r="311" spans="1:11">
      <c r="A311">
        <v>2018</v>
      </c>
      <c r="B311" t="s">
        <v>1676</v>
      </c>
      <c r="C311" t="s">
        <v>3809</v>
      </c>
      <c r="D311" t="s">
        <v>3783</v>
      </c>
      <c r="E311" t="s">
        <v>4593</v>
      </c>
      <c r="F311" s="9">
        <v>6.58</v>
      </c>
      <c r="G311" s="9">
        <v>36.4</v>
      </c>
      <c r="H311" s="10">
        <v>2.39</v>
      </c>
      <c r="I311" s="10">
        <v>1.64</v>
      </c>
      <c r="J311">
        <v>15</v>
      </c>
      <c r="K311"/>
    </row>
    <row r="312" spans="1:11">
      <c r="A312">
        <v>2019</v>
      </c>
      <c r="B312" t="s">
        <v>1676</v>
      </c>
      <c r="C312" t="s">
        <v>3809</v>
      </c>
      <c r="D312" t="s">
        <v>3783</v>
      </c>
      <c r="E312" t="s">
        <v>4593</v>
      </c>
      <c r="F312" s="9">
        <v>7.5</v>
      </c>
      <c r="G312" s="9">
        <v>32.1</v>
      </c>
      <c r="H312" s="10">
        <v>2.41</v>
      </c>
      <c r="I312" s="10">
        <v>1.88</v>
      </c>
      <c r="J312">
        <v>16</v>
      </c>
      <c r="K312"/>
    </row>
    <row r="313" spans="1:11">
      <c r="A313">
        <v>2020</v>
      </c>
      <c r="B313" t="s">
        <v>1676</v>
      </c>
      <c r="C313" t="s">
        <v>3809</v>
      </c>
      <c r="D313" t="s">
        <v>3783</v>
      </c>
      <c r="E313" t="s">
        <v>4593</v>
      </c>
      <c r="F313" s="9">
        <v>8.57</v>
      </c>
      <c r="G313" s="9">
        <v>30.1</v>
      </c>
      <c r="H313" s="10">
        <v>2.58</v>
      </c>
      <c r="I313" s="10">
        <v>2.14</v>
      </c>
      <c r="J313">
        <v>17</v>
      </c>
      <c r="K313"/>
    </row>
    <row r="314" spans="1:11">
      <c r="A314">
        <v>2021</v>
      </c>
      <c r="B314" t="s">
        <v>1676</v>
      </c>
      <c r="C314" t="s">
        <v>3809</v>
      </c>
      <c r="D314" t="s">
        <v>3783</v>
      </c>
      <c r="E314" t="s">
        <v>4593</v>
      </c>
      <c r="F314" s="9">
        <v>10.5</v>
      </c>
      <c r="G314" s="9">
        <v>30.4</v>
      </c>
      <c r="H314" s="10">
        <v>3.19</v>
      </c>
      <c r="I314" s="10">
        <v>2.62</v>
      </c>
      <c r="J314">
        <v>18</v>
      </c>
      <c r="K314"/>
    </row>
    <row r="315" spans="1:11">
      <c r="A315">
        <v>2022</v>
      </c>
      <c r="B315" t="s">
        <v>1676</v>
      </c>
      <c r="C315" t="s">
        <v>3809</v>
      </c>
      <c r="D315" t="s">
        <v>3783</v>
      </c>
      <c r="E315" t="s">
        <v>4593</v>
      </c>
      <c r="F315" s="9">
        <v>12.05</v>
      </c>
      <c r="G315" s="9">
        <v>36.1</v>
      </c>
      <c r="H315" s="10">
        <v>4.3499999999999996</v>
      </c>
      <c r="I315" s="10">
        <v>3.01</v>
      </c>
      <c r="J315">
        <v>19</v>
      </c>
      <c r="K315"/>
    </row>
    <row r="316" spans="1:11">
      <c r="A316">
        <v>2023</v>
      </c>
      <c r="B316" t="s">
        <v>1676</v>
      </c>
      <c r="C316" t="s">
        <v>3809</v>
      </c>
      <c r="D316" t="s">
        <v>3783</v>
      </c>
      <c r="E316" t="s">
        <v>4593</v>
      </c>
      <c r="F316" s="9">
        <v>12.7</v>
      </c>
      <c r="G316" s="9">
        <v>24.8</v>
      </c>
      <c r="H316" s="10">
        <v>3.14</v>
      </c>
      <c r="I316" s="10">
        <v>3.17</v>
      </c>
      <c r="J316">
        <v>19</v>
      </c>
      <c r="K316"/>
    </row>
    <row r="317" spans="1:11">
      <c r="A317">
        <v>2024</v>
      </c>
      <c r="B317" t="s">
        <v>1676</v>
      </c>
      <c r="C317" t="s">
        <v>3809</v>
      </c>
      <c r="D317" t="s">
        <v>3783</v>
      </c>
      <c r="E317" t="s">
        <v>4593</v>
      </c>
      <c r="F317" s="9">
        <v>14.9</v>
      </c>
      <c r="G317" s="9">
        <v>39.6</v>
      </c>
      <c r="H317" s="10">
        <v>5.91</v>
      </c>
      <c r="I317" s="10">
        <v>3.73</v>
      </c>
      <c r="J317">
        <v>20</v>
      </c>
      <c r="K317"/>
    </row>
    <row r="318" spans="1:11">
      <c r="A318">
        <v>2025</v>
      </c>
      <c r="B318" t="s">
        <v>1676</v>
      </c>
      <c r="C318" t="s">
        <v>3809</v>
      </c>
      <c r="D318" t="s">
        <v>3783</v>
      </c>
      <c r="E318" t="s">
        <v>4593</v>
      </c>
      <c r="F318" s="9">
        <v>14.92</v>
      </c>
      <c r="G318" s="9">
        <v>26.2</v>
      </c>
      <c r="H318" s="10">
        <v>3.91</v>
      </c>
      <c r="I318" s="10">
        <v>3.73</v>
      </c>
      <c r="J318">
        <v>20</v>
      </c>
      <c r="K318"/>
    </row>
    <row r="319" spans="1:11">
      <c r="A319">
        <v>2026</v>
      </c>
      <c r="B319" t="s">
        <v>1676</v>
      </c>
      <c r="C319" t="s">
        <v>3809</v>
      </c>
      <c r="D319" t="s">
        <v>3783</v>
      </c>
      <c r="E319" t="s">
        <v>4593</v>
      </c>
      <c r="F319" s="9">
        <v>15.85</v>
      </c>
      <c r="G319" s="9">
        <v>31.1</v>
      </c>
      <c r="H319" s="10">
        <v>4.9400000000000004</v>
      </c>
      <c r="I319" s="10">
        <v>3.96</v>
      </c>
      <c r="J319">
        <v>20</v>
      </c>
      <c r="K319"/>
    </row>
    <row r="320" spans="1:11">
      <c r="A320">
        <v>2018</v>
      </c>
      <c r="B320" t="s">
        <v>1640</v>
      </c>
      <c r="C320" t="s">
        <v>3810</v>
      </c>
      <c r="D320" t="s">
        <v>3783</v>
      </c>
      <c r="E320" t="s">
        <v>4593</v>
      </c>
      <c r="F320" s="9">
        <v>0.14000000000000001</v>
      </c>
      <c r="G320" s="9">
        <v>28.7</v>
      </c>
      <c r="H320" s="10">
        <v>0.04</v>
      </c>
      <c r="I320" s="10">
        <v>0.03</v>
      </c>
      <c r="J320">
        <v>4</v>
      </c>
      <c r="K320"/>
    </row>
    <row r="321" spans="1:11">
      <c r="A321">
        <v>2019</v>
      </c>
      <c r="B321" t="s">
        <v>1640</v>
      </c>
      <c r="C321" t="s">
        <v>3810</v>
      </c>
      <c r="D321" t="s">
        <v>3783</v>
      </c>
      <c r="E321" t="s">
        <v>4593</v>
      </c>
      <c r="F321" s="9">
        <v>0.06</v>
      </c>
      <c r="G321" s="9">
        <v>33.6</v>
      </c>
      <c r="H321" s="10">
        <v>0.02</v>
      </c>
      <c r="I321" s="10">
        <v>0.02</v>
      </c>
      <c r="J321">
        <v>3</v>
      </c>
      <c r="K321"/>
    </row>
    <row r="322" spans="1:11">
      <c r="A322">
        <v>2020</v>
      </c>
      <c r="B322" t="s">
        <v>1640</v>
      </c>
      <c r="C322" t="s">
        <v>3810</v>
      </c>
      <c r="D322" t="s">
        <v>3783</v>
      </c>
      <c r="E322" t="s">
        <v>4593</v>
      </c>
      <c r="F322" s="9">
        <v>0.76</v>
      </c>
      <c r="G322" s="9">
        <v>34.1</v>
      </c>
      <c r="H322" s="10">
        <v>0.26</v>
      </c>
      <c r="I322" s="10">
        <v>0.19</v>
      </c>
      <c r="J322">
        <v>8</v>
      </c>
      <c r="K322"/>
    </row>
    <row r="323" spans="1:11">
      <c r="A323">
        <v>2021</v>
      </c>
      <c r="B323" t="s">
        <v>1640</v>
      </c>
      <c r="C323" t="s">
        <v>3810</v>
      </c>
      <c r="D323" t="s">
        <v>3783</v>
      </c>
      <c r="E323" t="s">
        <v>4593</v>
      </c>
      <c r="F323" s="9">
        <v>19.68</v>
      </c>
      <c r="G323" s="9">
        <v>45.5</v>
      </c>
      <c r="H323" s="10">
        <v>8.9600000000000009</v>
      </c>
      <c r="I323" s="10">
        <v>4.92</v>
      </c>
      <c r="J323">
        <v>22</v>
      </c>
      <c r="K323"/>
    </row>
    <row r="324" spans="1:11">
      <c r="A324">
        <v>2022</v>
      </c>
      <c r="B324" t="s">
        <v>1640</v>
      </c>
      <c r="C324" t="s">
        <v>3810</v>
      </c>
      <c r="D324" t="s">
        <v>3783</v>
      </c>
      <c r="E324" t="s">
        <v>4593</v>
      </c>
      <c r="F324" s="9">
        <v>19.11</v>
      </c>
      <c r="G324" s="9">
        <v>44.6</v>
      </c>
      <c r="H324" s="10">
        <v>8.52</v>
      </c>
      <c r="I324" s="10">
        <v>4.78</v>
      </c>
      <c r="J324">
        <v>21</v>
      </c>
      <c r="K324"/>
    </row>
    <row r="325" spans="1:11">
      <c r="A325">
        <v>2023</v>
      </c>
      <c r="B325" t="s">
        <v>1640</v>
      </c>
      <c r="C325" t="s">
        <v>3810</v>
      </c>
      <c r="D325" t="s">
        <v>3783</v>
      </c>
      <c r="E325" t="s">
        <v>4593</v>
      </c>
      <c r="F325" s="9">
        <v>6.93</v>
      </c>
      <c r="G325" s="9">
        <v>-10.199999999999999</v>
      </c>
      <c r="H325" s="10">
        <v>-0.71</v>
      </c>
      <c r="I325" s="10">
        <v>1.73</v>
      </c>
      <c r="J325">
        <v>16</v>
      </c>
      <c r="K325"/>
    </row>
    <row r="326" spans="1:11">
      <c r="A326">
        <v>2024</v>
      </c>
      <c r="B326" t="s">
        <v>1640</v>
      </c>
      <c r="C326" t="s">
        <v>3810</v>
      </c>
      <c r="D326" t="s">
        <v>3783</v>
      </c>
      <c r="E326" t="s">
        <v>4593</v>
      </c>
      <c r="F326" s="9">
        <v>3.42</v>
      </c>
      <c r="G326" s="9">
        <v>-6.2</v>
      </c>
      <c r="H326" s="10">
        <v>-0.21</v>
      </c>
      <c r="I326" s="10">
        <v>0.85</v>
      </c>
      <c r="J326">
        <v>13</v>
      </c>
      <c r="K326"/>
    </row>
    <row r="327" spans="1:11">
      <c r="A327">
        <v>2025</v>
      </c>
      <c r="B327" t="s">
        <v>1640</v>
      </c>
      <c r="C327" t="s">
        <v>3810</v>
      </c>
      <c r="D327" t="s">
        <v>3783</v>
      </c>
      <c r="E327" t="s">
        <v>4593</v>
      </c>
      <c r="F327" s="9">
        <v>4.4400000000000004</v>
      </c>
      <c r="G327" s="9">
        <v>-5.5</v>
      </c>
      <c r="H327" s="10">
        <v>-0.25</v>
      </c>
      <c r="I327" s="10">
        <v>1.1100000000000001</v>
      </c>
      <c r="J327">
        <v>14</v>
      </c>
      <c r="K327"/>
    </row>
    <row r="328" spans="1:11">
      <c r="A328">
        <v>2026</v>
      </c>
      <c r="B328" t="s">
        <v>1640</v>
      </c>
      <c r="C328" t="s">
        <v>3810</v>
      </c>
      <c r="D328" t="s">
        <v>3783</v>
      </c>
      <c r="E328" t="s">
        <v>4593</v>
      </c>
      <c r="F328" s="9">
        <v>5.26</v>
      </c>
      <c r="G328" s="9">
        <v>-8.3000000000000007</v>
      </c>
      <c r="H328" s="10">
        <v>-0.44</v>
      </c>
      <c r="I328" s="10">
        <v>1.31</v>
      </c>
      <c r="J328">
        <v>14</v>
      </c>
      <c r="K328"/>
    </row>
    <row r="329" spans="1:11">
      <c r="A329">
        <v>2018</v>
      </c>
      <c r="B329" t="s">
        <v>4589</v>
      </c>
      <c r="C329" t="s">
        <v>3811</v>
      </c>
      <c r="D329" t="s">
        <v>3800</v>
      </c>
      <c r="E329" t="s">
        <v>4593</v>
      </c>
      <c r="F329" s="9">
        <v>0.13</v>
      </c>
      <c r="G329" s="9">
        <v>33</v>
      </c>
      <c r="H329" s="10">
        <v>0.04</v>
      </c>
      <c r="I329" s="10">
        <v>0.03</v>
      </c>
      <c r="J329">
        <v>4</v>
      </c>
      <c r="K329"/>
    </row>
    <row r="330" spans="1:11">
      <c r="A330">
        <v>2019</v>
      </c>
      <c r="B330" t="s">
        <v>4589</v>
      </c>
      <c r="C330" t="s">
        <v>3811</v>
      </c>
      <c r="D330" t="s">
        <v>3800</v>
      </c>
      <c r="E330" t="s">
        <v>4593</v>
      </c>
      <c r="F330" s="9">
        <v>0.13</v>
      </c>
      <c r="G330" s="9">
        <v>32.5</v>
      </c>
      <c r="H330" s="10">
        <v>0.04</v>
      </c>
      <c r="I330" s="10">
        <v>0.03</v>
      </c>
      <c r="J330">
        <v>4</v>
      </c>
      <c r="K330"/>
    </row>
    <row r="331" spans="1:11">
      <c r="A331">
        <v>2020</v>
      </c>
      <c r="B331" t="s">
        <v>4589</v>
      </c>
      <c r="C331" t="s">
        <v>3811</v>
      </c>
      <c r="D331" t="s">
        <v>3800</v>
      </c>
      <c r="E331" t="s">
        <v>4593</v>
      </c>
      <c r="F331" s="9">
        <v>0.56999999999999995</v>
      </c>
      <c r="G331" s="9">
        <v>31</v>
      </c>
      <c r="H331" s="10">
        <v>0.18</v>
      </c>
      <c r="I331" s="10">
        <v>0.14000000000000001</v>
      </c>
      <c r="J331">
        <v>7</v>
      </c>
      <c r="K331"/>
    </row>
    <row r="332" spans="1:11">
      <c r="A332">
        <v>2021</v>
      </c>
      <c r="B332" t="s">
        <v>4589</v>
      </c>
      <c r="C332" t="s">
        <v>3811</v>
      </c>
      <c r="D332" t="s">
        <v>3800</v>
      </c>
      <c r="E332" t="s">
        <v>4593</v>
      </c>
      <c r="F332" s="9">
        <v>17.96</v>
      </c>
      <c r="G332" s="9">
        <v>44.9</v>
      </c>
      <c r="H332" s="10">
        <v>8.07</v>
      </c>
      <c r="I332" s="10">
        <v>4.49</v>
      </c>
      <c r="J332">
        <v>21</v>
      </c>
      <c r="K332"/>
    </row>
    <row r="333" spans="1:11">
      <c r="A333">
        <v>2022</v>
      </c>
      <c r="B333" t="s">
        <v>4589</v>
      </c>
      <c r="C333" t="s">
        <v>3811</v>
      </c>
      <c r="D333" t="s">
        <v>3800</v>
      </c>
      <c r="E333" t="s">
        <v>4593</v>
      </c>
      <c r="F333" s="9">
        <v>16.84</v>
      </c>
      <c r="G333" s="9">
        <v>44</v>
      </c>
      <c r="H333" s="10">
        <v>7.4</v>
      </c>
      <c r="I333" s="10">
        <v>4.21</v>
      </c>
      <c r="J333">
        <v>21</v>
      </c>
      <c r="K333"/>
    </row>
    <row r="334" spans="1:11">
      <c r="A334">
        <v>2023</v>
      </c>
      <c r="B334" t="s">
        <v>4589</v>
      </c>
      <c r="C334" t="s">
        <v>3811</v>
      </c>
      <c r="D334" t="s">
        <v>3800</v>
      </c>
      <c r="E334" t="s">
        <v>4593</v>
      </c>
      <c r="F334" s="9">
        <v>3.79</v>
      </c>
      <c r="G334" s="9">
        <v>-10.1</v>
      </c>
      <c r="H334" s="10">
        <v>-0.38</v>
      </c>
      <c r="I334" s="10">
        <v>0.95</v>
      </c>
      <c r="J334">
        <v>13</v>
      </c>
      <c r="K334"/>
    </row>
    <row r="335" spans="1:11">
      <c r="A335">
        <v>2024</v>
      </c>
      <c r="B335" t="s">
        <v>4589</v>
      </c>
      <c r="C335" t="s">
        <v>3811</v>
      </c>
      <c r="D335" t="s">
        <v>3800</v>
      </c>
      <c r="E335" t="s">
        <v>4593</v>
      </c>
      <c r="F335" s="9">
        <v>2.76</v>
      </c>
      <c r="G335" s="9">
        <v>-3.6</v>
      </c>
      <c r="H335" s="10">
        <v>-0.1</v>
      </c>
      <c r="I335" s="10">
        <v>0.69</v>
      </c>
      <c r="J335">
        <v>12</v>
      </c>
      <c r="K335"/>
    </row>
    <row r="336" spans="1:11">
      <c r="A336">
        <v>2025</v>
      </c>
      <c r="B336" t="s">
        <v>4589</v>
      </c>
      <c r="C336" t="s">
        <v>3811</v>
      </c>
      <c r="D336" t="s">
        <v>3800</v>
      </c>
      <c r="E336" t="s">
        <v>4593</v>
      </c>
      <c r="F336" s="9">
        <v>3.4</v>
      </c>
      <c r="G336" s="9">
        <v>-12.7</v>
      </c>
      <c r="H336" s="10">
        <v>-0.43</v>
      </c>
      <c r="I336" s="10">
        <v>0.85</v>
      </c>
      <c r="J336">
        <v>13</v>
      </c>
      <c r="K336"/>
    </row>
    <row r="337" spans="1:11">
      <c r="A337">
        <v>2026</v>
      </c>
      <c r="B337" t="s">
        <v>4589</v>
      </c>
      <c r="C337" t="s">
        <v>3811</v>
      </c>
      <c r="D337" t="s">
        <v>3800</v>
      </c>
      <c r="E337" t="s">
        <v>4593</v>
      </c>
      <c r="F337" s="9">
        <v>4.0999999999999996</v>
      </c>
      <c r="G337" s="9">
        <v>-4.2</v>
      </c>
      <c r="H337" s="10">
        <v>-0.17</v>
      </c>
      <c r="I337" s="10">
        <v>1.02</v>
      </c>
      <c r="J337">
        <v>13</v>
      </c>
      <c r="K337"/>
    </row>
    <row r="338" spans="1:11">
      <c r="A338">
        <v>2010</v>
      </c>
      <c r="B338" t="s">
        <v>2802</v>
      </c>
      <c r="C338" t="s">
        <v>3812</v>
      </c>
      <c r="D338" t="s">
        <v>3783</v>
      </c>
      <c r="E338" t="s">
        <v>4593</v>
      </c>
      <c r="F338" s="9">
        <v>4.5999999999999996</v>
      </c>
      <c r="G338" s="9">
        <v>28</v>
      </c>
      <c r="H338" s="10">
        <v>1.29</v>
      </c>
      <c r="I338" s="10">
        <v>1.1499999999999999</v>
      </c>
      <c r="J338">
        <v>14</v>
      </c>
      <c r="K338"/>
    </row>
    <row r="339" spans="1:11">
      <c r="A339">
        <v>2011</v>
      </c>
      <c r="B339" t="s">
        <v>2802</v>
      </c>
      <c r="C339" t="s">
        <v>3812</v>
      </c>
      <c r="D339" t="s">
        <v>3783</v>
      </c>
      <c r="E339" t="s">
        <v>4593</v>
      </c>
      <c r="F339" s="9">
        <v>6.07</v>
      </c>
      <c r="G339" s="9">
        <v>33</v>
      </c>
      <c r="H339" s="10">
        <v>2.0099999999999998</v>
      </c>
      <c r="I339" s="10">
        <v>1.52</v>
      </c>
      <c r="J339">
        <v>15</v>
      </c>
      <c r="K339"/>
    </row>
    <row r="340" spans="1:11">
      <c r="A340">
        <v>2012</v>
      </c>
      <c r="B340" t="s">
        <v>2802</v>
      </c>
      <c r="C340" t="s">
        <v>3812</v>
      </c>
      <c r="D340" t="s">
        <v>3783</v>
      </c>
      <c r="E340" t="s">
        <v>4593</v>
      </c>
      <c r="F340" s="9">
        <v>7.67</v>
      </c>
      <c r="G340" s="9">
        <v>33.299999999999997</v>
      </c>
      <c r="H340" s="10">
        <v>2.5499999999999998</v>
      </c>
      <c r="I340" s="10">
        <v>1.92</v>
      </c>
      <c r="J340">
        <v>16</v>
      </c>
      <c r="K340"/>
    </row>
    <row r="341" spans="1:11">
      <c r="A341">
        <v>2013</v>
      </c>
      <c r="B341" t="s">
        <v>2802</v>
      </c>
      <c r="C341" t="s">
        <v>3812</v>
      </c>
      <c r="D341" t="s">
        <v>3783</v>
      </c>
      <c r="E341" t="s">
        <v>4593</v>
      </c>
      <c r="F341" s="9">
        <v>8.4600000000000009</v>
      </c>
      <c r="G341" s="9">
        <v>31.5</v>
      </c>
      <c r="H341" s="10">
        <v>2.66</v>
      </c>
      <c r="I341" s="10">
        <v>2.11</v>
      </c>
      <c r="J341">
        <v>17</v>
      </c>
      <c r="K341"/>
    </row>
    <row r="342" spans="1:11">
      <c r="A342">
        <v>2014</v>
      </c>
      <c r="B342" t="s">
        <v>2802</v>
      </c>
      <c r="C342" t="s">
        <v>3812</v>
      </c>
      <c r="D342" t="s">
        <v>3783</v>
      </c>
      <c r="E342" t="s">
        <v>4593</v>
      </c>
      <c r="F342" s="9">
        <v>9.82</v>
      </c>
      <c r="G342" s="9">
        <v>33.9</v>
      </c>
      <c r="H342" s="10">
        <v>3.33</v>
      </c>
      <c r="I342" s="10">
        <v>2.4500000000000002</v>
      </c>
      <c r="J342">
        <v>17</v>
      </c>
      <c r="K342"/>
    </row>
    <row r="343" spans="1:11">
      <c r="A343">
        <v>2015</v>
      </c>
      <c r="B343" t="s">
        <v>2802</v>
      </c>
      <c r="C343" t="s">
        <v>3812</v>
      </c>
      <c r="D343" t="s">
        <v>3783</v>
      </c>
      <c r="E343" t="s">
        <v>4593</v>
      </c>
      <c r="F343" s="9">
        <v>11.21</v>
      </c>
      <c r="G343" s="9">
        <v>30.4</v>
      </c>
      <c r="H343" s="10">
        <v>3.41</v>
      </c>
      <c r="I343" s="10">
        <v>2.8</v>
      </c>
      <c r="J343">
        <v>18</v>
      </c>
      <c r="K343"/>
    </row>
    <row r="344" spans="1:11">
      <c r="A344">
        <v>2016</v>
      </c>
      <c r="B344" t="s">
        <v>2802</v>
      </c>
      <c r="C344" t="s">
        <v>3812</v>
      </c>
      <c r="D344" t="s">
        <v>3783</v>
      </c>
      <c r="E344" t="s">
        <v>4593</v>
      </c>
      <c r="F344" s="9">
        <v>11.55</v>
      </c>
      <c r="G344" s="9">
        <v>30.6</v>
      </c>
      <c r="H344" s="10">
        <v>3.53</v>
      </c>
      <c r="I344" s="10">
        <v>2.89</v>
      </c>
      <c r="J344">
        <v>18</v>
      </c>
      <c r="K344"/>
    </row>
    <row r="345" spans="1:11">
      <c r="A345">
        <v>2017</v>
      </c>
      <c r="B345" t="s">
        <v>2802</v>
      </c>
      <c r="C345" t="s">
        <v>3812</v>
      </c>
      <c r="D345" t="s">
        <v>3783</v>
      </c>
      <c r="E345" t="s">
        <v>4593</v>
      </c>
      <c r="F345" s="9">
        <v>12.9</v>
      </c>
      <c r="G345" s="9">
        <v>36.5</v>
      </c>
      <c r="H345" s="10">
        <v>4.71</v>
      </c>
      <c r="I345" s="10">
        <v>3.23</v>
      </c>
      <c r="J345">
        <v>19</v>
      </c>
      <c r="K345"/>
    </row>
    <row r="346" spans="1:11">
      <c r="A346">
        <v>2018</v>
      </c>
      <c r="B346" t="s">
        <v>2802</v>
      </c>
      <c r="C346" t="s">
        <v>3812</v>
      </c>
      <c r="D346" t="s">
        <v>3783</v>
      </c>
      <c r="E346" t="s">
        <v>4593</v>
      </c>
      <c r="F346" s="9">
        <v>13.32</v>
      </c>
      <c r="G346" s="9">
        <v>30.7</v>
      </c>
      <c r="H346" s="10">
        <v>4.09</v>
      </c>
      <c r="I346" s="10">
        <v>3.33</v>
      </c>
      <c r="J346">
        <v>19</v>
      </c>
      <c r="K346"/>
    </row>
    <row r="347" spans="1:11">
      <c r="A347">
        <v>2019</v>
      </c>
      <c r="B347" t="s">
        <v>2802</v>
      </c>
      <c r="C347" t="s">
        <v>3812</v>
      </c>
      <c r="D347" t="s">
        <v>3783</v>
      </c>
      <c r="E347" t="s">
        <v>4593</v>
      </c>
      <c r="F347" s="9">
        <v>13.58</v>
      </c>
      <c r="G347" s="9">
        <v>31.3</v>
      </c>
      <c r="H347" s="10">
        <v>4.24</v>
      </c>
      <c r="I347" s="10">
        <v>3.39</v>
      </c>
      <c r="J347">
        <v>19</v>
      </c>
      <c r="K347"/>
    </row>
    <row r="348" spans="1:11">
      <c r="A348">
        <v>2020</v>
      </c>
      <c r="B348" t="s">
        <v>2802</v>
      </c>
      <c r="C348" t="s">
        <v>3812</v>
      </c>
      <c r="D348" t="s">
        <v>3783</v>
      </c>
      <c r="E348" t="s">
        <v>4593</v>
      </c>
      <c r="F348" s="9">
        <v>13.79</v>
      </c>
      <c r="G348" s="9">
        <v>25.2</v>
      </c>
      <c r="H348" s="10">
        <v>3.48</v>
      </c>
      <c r="I348" s="10">
        <v>3.45</v>
      </c>
      <c r="J348">
        <v>19</v>
      </c>
      <c r="K348"/>
    </row>
    <row r="349" spans="1:11">
      <c r="A349">
        <v>2021</v>
      </c>
      <c r="B349" t="s">
        <v>2802</v>
      </c>
      <c r="C349" t="s">
        <v>3812</v>
      </c>
      <c r="D349" t="s">
        <v>3783</v>
      </c>
      <c r="E349" t="s">
        <v>4593</v>
      </c>
      <c r="F349" s="9">
        <v>11.51</v>
      </c>
      <c r="G349" s="9">
        <v>29.7</v>
      </c>
      <c r="H349" s="10">
        <v>3.41</v>
      </c>
      <c r="I349" s="10">
        <v>2.88</v>
      </c>
      <c r="J349">
        <v>18</v>
      </c>
      <c r="K349"/>
    </row>
    <row r="350" spans="1:11">
      <c r="A350">
        <v>2022</v>
      </c>
      <c r="B350" t="s">
        <v>2802</v>
      </c>
      <c r="C350" t="s">
        <v>3812</v>
      </c>
      <c r="D350" t="s">
        <v>3783</v>
      </c>
      <c r="E350" t="s">
        <v>4593</v>
      </c>
      <c r="F350" s="9">
        <v>9.51</v>
      </c>
      <c r="G350" s="9">
        <v>29.1</v>
      </c>
      <c r="H350" s="10">
        <v>2.77</v>
      </c>
      <c r="I350" s="10">
        <v>2.38</v>
      </c>
      <c r="J350">
        <v>17</v>
      </c>
      <c r="K350"/>
    </row>
    <row r="351" spans="1:11">
      <c r="A351">
        <v>2023</v>
      </c>
      <c r="B351" t="s">
        <v>2802</v>
      </c>
      <c r="C351" t="s">
        <v>3812</v>
      </c>
      <c r="D351" t="s">
        <v>3783</v>
      </c>
      <c r="E351" t="s">
        <v>4593</v>
      </c>
      <c r="F351" s="9">
        <v>9.5299999999999994</v>
      </c>
      <c r="G351" s="9">
        <v>31.4</v>
      </c>
      <c r="H351" s="10">
        <v>2.99</v>
      </c>
      <c r="I351" s="10">
        <v>2.38</v>
      </c>
      <c r="J351">
        <v>17</v>
      </c>
      <c r="K351"/>
    </row>
    <row r="352" spans="1:11">
      <c r="A352">
        <v>2024</v>
      </c>
      <c r="B352" t="s">
        <v>2802</v>
      </c>
      <c r="C352" t="s">
        <v>3812</v>
      </c>
      <c r="D352" t="s">
        <v>3783</v>
      </c>
      <c r="E352" t="s">
        <v>4593</v>
      </c>
      <c r="F352" s="9">
        <v>10.029999999999999</v>
      </c>
      <c r="G352" s="9">
        <v>31.3</v>
      </c>
      <c r="H352" s="10">
        <v>3.14</v>
      </c>
      <c r="I352" s="10">
        <v>2.5099999999999998</v>
      </c>
      <c r="J352">
        <v>17</v>
      </c>
      <c r="K352"/>
    </row>
    <row r="353" spans="1:11">
      <c r="A353">
        <v>2025</v>
      </c>
      <c r="B353" t="s">
        <v>2802</v>
      </c>
      <c r="C353" t="s">
        <v>3812</v>
      </c>
      <c r="D353" t="s">
        <v>3783</v>
      </c>
      <c r="E353" t="s">
        <v>4593</v>
      </c>
      <c r="F353" s="9">
        <v>9.7899999999999991</v>
      </c>
      <c r="G353" s="9">
        <v>31.8</v>
      </c>
      <c r="H353" s="10">
        <v>3.12</v>
      </c>
      <c r="I353" s="10">
        <v>2.4500000000000002</v>
      </c>
      <c r="J353">
        <v>17</v>
      </c>
      <c r="K353"/>
    </row>
    <row r="354" spans="1:11">
      <c r="A354">
        <v>2026</v>
      </c>
      <c r="B354" t="s">
        <v>2802</v>
      </c>
      <c r="C354" t="s">
        <v>3812</v>
      </c>
      <c r="D354" t="s">
        <v>3783</v>
      </c>
      <c r="E354" t="s">
        <v>4593</v>
      </c>
      <c r="F354" s="9">
        <v>10.84</v>
      </c>
      <c r="G354" s="9">
        <v>29.1</v>
      </c>
      <c r="H354" s="10">
        <v>3.15</v>
      </c>
      <c r="I354" s="10">
        <v>2.71</v>
      </c>
      <c r="J354">
        <v>18</v>
      </c>
      <c r="K354"/>
    </row>
    <row r="355" spans="1:11">
      <c r="A355">
        <v>2010</v>
      </c>
      <c r="B355" t="s">
        <v>382</v>
      </c>
      <c r="C355" t="s">
        <v>3813</v>
      </c>
      <c r="D355" t="s">
        <v>3814</v>
      </c>
      <c r="E355" t="s">
        <v>4594</v>
      </c>
      <c r="F355" s="9">
        <v>15.67</v>
      </c>
      <c r="G355" s="9">
        <v>13.7</v>
      </c>
      <c r="H355" s="10">
        <v>2.14</v>
      </c>
      <c r="I355" s="10">
        <v>0.94</v>
      </c>
      <c r="J355">
        <v>24</v>
      </c>
      <c r="K355"/>
    </row>
    <row r="356" spans="1:11">
      <c r="A356">
        <v>2011</v>
      </c>
      <c r="B356" t="s">
        <v>382</v>
      </c>
      <c r="C356" t="s">
        <v>3813</v>
      </c>
      <c r="D356" t="s">
        <v>3814</v>
      </c>
      <c r="E356" t="s">
        <v>4594</v>
      </c>
      <c r="F356" s="9">
        <v>16.71</v>
      </c>
      <c r="G356" s="9">
        <v>13.9</v>
      </c>
      <c r="H356" s="10">
        <v>2.33</v>
      </c>
      <c r="I356" s="10">
        <v>1</v>
      </c>
      <c r="J356">
        <v>25</v>
      </c>
      <c r="K356"/>
    </row>
    <row r="357" spans="1:11">
      <c r="A357">
        <v>2012</v>
      </c>
      <c r="B357" t="s">
        <v>382</v>
      </c>
      <c r="C357" t="s">
        <v>3813</v>
      </c>
      <c r="D357" t="s">
        <v>3814</v>
      </c>
      <c r="E357" t="s">
        <v>4594</v>
      </c>
      <c r="F357" s="9">
        <v>17.53</v>
      </c>
      <c r="G357" s="9">
        <v>14.1</v>
      </c>
      <c r="H357" s="10">
        <v>2.4700000000000002</v>
      </c>
      <c r="I357" s="10">
        <v>1.05</v>
      </c>
      <c r="J357">
        <v>25</v>
      </c>
      <c r="K357"/>
    </row>
    <row r="358" spans="1:11">
      <c r="A358">
        <v>2013</v>
      </c>
      <c r="B358" t="s">
        <v>382</v>
      </c>
      <c r="C358" t="s">
        <v>3813</v>
      </c>
      <c r="D358" t="s">
        <v>3814</v>
      </c>
      <c r="E358" t="s">
        <v>4594</v>
      </c>
      <c r="F358" s="9">
        <v>17.7</v>
      </c>
      <c r="G358" s="9">
        <v>12</v>
      </c>
      <c r="H358" s="10">
        <v>2.12</v>
      </c>
      <c r="I358" s="10">
        <v>1.06</v>
      </c>
      <c r="J358">
        <v>25</v>
      </c>
      <c r="K358"/>
    </row>
    <row r="359" spans="1:11">
      <c r="A359">
        <v>2014</v>
      </c>
      <c r="B359" t="s">
        <v>382</v>
      </c>
      <c r="C359" t="s">
        <v>3813</v>
      </c>
      <c r="D359" t="s">
        <v>3814</v>
      </c>
      <c r="E359" t="s">
        <v>4594</v>
      </c>
      <c r="F359" s="9">
        <v>18.86</v>
      </c>
      <c r="G359" s="9">
        <v>8.4</v>
      </c>
      <c r="H359" s="10">
        <v>1.58</v>
      </c>
      <c r="I359" s="10">
        <v>1.1299999999999999</v>
      </c>
      <c r="J359">
        <v>26</v>
      </c>
      <c r="K359"/>
    </row>
    <row r="360" spans="1:11">
      <c r="A360">
        <v>2015</v>
      </c>
      <c r="B360" t="s">
        <v>382</v>
      </c>
      <c r="C360" t="s">
        <v>3813</v>
      </c>
      <c r="D360" t="s">
        <v>3814</v>
      </c>
      <c r="E360" t="s">
        <v>4594</v>
      </c>
      <c r="F360" s="9">
        <v>18.8</v>
      </c>
      <c r="G360" s="9">
        <v>14.1</v>
      </c>
      <c r="H360" s="10">
        <v>2.64</v>
      </c>
      <c r="I360" s="10">
        <v>1.1299999999999999</v>
      </c>
      <c r="J360">
        <v>26</v>
      </c>
      <c r="K360"/>
    </row>
    <row r="361" spans="1:11">
      <c r="A361">
        <v>2016</v>
      </c>
      <c r="B361" t="s">
        <v>382</v>
      </c>
      <c r="C361" t="s">
        <v>3813</v>
      </c>
      <c r="D361" t="s">
        <v>3814</v>
      </c>
      <c r="E361" t="s">
        <v>4594</v>
      </c>
      <c r="F361" s="9">
        <v>19.23</v>
      </c>
      <c r="G361" s="9">
        <v>8.9</v>
      </c>
      <c r="H361" s="10">
        <v>1.72</v>
      </c>
      <c r="I361" s="10">
        <v>1.1499999999999999</v>
      </c>
      <c r="J361">
        <v>26</v>
      </c>
      <c r="K361"/>
    </row>
    <row r="362" spans="1:11">
      <c r="A362">
        <v>2017</v>
      </c>
      <c r="B362" t="s">
        <v>382</v>
      </c>
      <c r="C362" t="s">
        <v>3813</v>
      </c>
      <c r="D362" t="s">
        <v>3814</v>
      </c>
      <c r="E362" t="s">
        <v>4594</v>
      </c>
      <c r="F362" s="9">
        <v>19.11</v>
      </c>
      <c r="G362" s="9">
        <v>11.4</v>
      </c>
      <c r="H362" s="10">
        <v>2.1800000000000002</v>
      </c>
      <c r="I362" s="10">
        <v>1.1499999999999999</v>
      </c>
      <c r="J362">
        <v>26</v>
      </c>
      <c r="K362"/>
    </row>
    <row r="363" spans="1:11">
      <c r="A363">
        <v>2018</v>
      </c>
      <c r="B363" t="s">
        <v>382</v>
      </c>
      <c r="C363" t="s">
        <v>3813</v>
      </c>
      <c r="D363" t="s">
        <v>3814</v>
      </c>
      <c r="E363" t="s">
        <v>4594</v>
      </c>
      <c r="F363" s="9">
        <v>17.649999999999999</v>
      </c>
      <c r="G363" s="9">
        <v>3.5</v>
      </c>
      <c r="H363" s="10">
        <v>0.62</v>
      </c>
      <c r="I363" s="10">
        <v>1.06</v>
      </c>
      <c r="J363">
        <v>25</v>
      </c>
      <c r="K363"/>
    </row>
    <row r="364" spans="1:11">
      <c r="A364">
        <v>2019</v>
      </c>
      <c r="B364" t="s">
        <v>382</v>
      </c>
      <c r="C364" t="s">
        <v>3813</v>
      </c>
      <c r="D364" t="s">
        <v>3814</v>
      </c>
      <c r="E364" t="s">
        <v>4594</v>
      </c>
      <c r="F364" s="9">
        <v>17.309999999999999</v>
      </c>
      <c r="G364" s="9">
        <v>12.4</v>
      </c>
      <c r="H364" s="10">
        <v>2.14</v>
      </c>
      <c r="I364" s="10">
        <v>1.04</v>
      </c>
      <c r="J364">
        <v>25</v>
      </c>
      <c r="K364"/>
    </row>
    <row r="365" spans="1:11">
      <c r="A365">
        <v>2020</v>
      </c>
      <c r="B365" t="s">
        <v>382</v>
      </c>
      <c r="C365" t="s">
        <v>3813</v>
      </c>
      <c r="D365" t="s">
        <v>3814</v>
      </c>
      <c r="E365" t="s">
        <v>4594</v>
      </c>
      <c r="F365" s="9">
        <v>16.84</v>
      </c>
      <c r="G365" s="9">
        <v>10.3</v>
      </c>
      <c r="H365" s="10">
        <v>1.74</v>
      </c>
      <c r="I365" s="10">
        <v>1.01</v>
      </c>
      <c r="J365">
        <v>25</v>
      </c>
      <c r="K365"/>
    </row>
    <row r="366" spans="1:11">
      <c r="A366">
        <v>2021</v>
      </c>
      <c r="B366" t="s">
        <v>382</v>
      </c>
      <c r="C366" t="s">
        <v>3813</v>
      </c>
      <c r="D366" t="s">
        <v>3814</v>
      </c>
      <c r="E366" t="s">
        <v>4594</v>
      </c>
      <c r="F366" s="9">
        <v>15.27</v>
      </c>
      <c r="G366" s="9">
        <v>4.5999999999999996</v>
      </c>
      <c r="H366" s="10">
        <v>0.71</v>
      </c>
      <c r="I366" s="10">
        <v>0.92</v>
      </c>
      <c r="J366">
        <v>24</v>
      </c>
      <c r="K366"/>
    </row>
    <row r="367" spans="1:11">
      <c r="A367">
        <v>2022</v>
      </c>
      <c r="B367" t="s">
        <v>382</v>
      </c>
      <c r="C367" t="s">
        <v>3813</v>
      </c>
      <c r="D367" t="s">
        <v>3814</v>
      </c>
      <c r="E367" t="s">
        <v>4594</v>
      </c>
      <c r="F367" s="9">
        <v>15.1</v>
      </c>
      <c r="G367" s="9">
        <v>8.1999999999999993</v>
      </c>
      <c r="H367" s="10">
        <v>1.23</v>
      </c>
      <c r="I367" s="10">
        <v>0.91</v>
      </c>
      <c r="J367">
        <v>24</v>
      </c>
      <c r="K367"/>
    </row>
    <row r="368" spans="1:11">
      <c r="A368">
        <v>2023</v>
      </c>
      <c r="B368" t="s">
        <v>382</v>
      </c>
      <c r="C368" t="s">
        <v>3813</v>
      </c>
      <c r="D368" t="s">
        <v>3814</v>
      </c>
      <c r="E368" t="s">
        <v>4594</v>
      </c>
      <c r="F368" s="9">
        <v>16.059999999999999</v>
      </c>
      <c r="G368" s="9">
        <v>7.4</v>
      </c>
      <c r="H368" s="10">
        <v>1.19</v>
      </c>
      <c r="I368" s="10">
        <v>0.96</v>
      </c>
      <c r="J368">
        <v>24</v>
      </c>
      <c r="K368"/>
    </row>
    <row r="369" spans="1:11">
      <c r="A369">
        <v>2024</v>
      </c>
      <c r="B369" t="s">
        <v>382</v>
      </c>
      <c r="C369" t="s">
        <v>3813</v>
      </c>
      <c r="D369" t="s">
        <v>3814</v>
      </c>
      <c r="E369" t="s">
        <v>4594</v>
      </c>
      <c r="F369" s="9">
        <v>16.64</v>
      </c>
      <c r="G369" s="9">
        <v>8.5</v>
      </c>
      <c r="H369" s="10">
        <v>1.41</v>
      </c>
      <c r="I369" s="10">
        <v>1</v>
      </c>
      <c r="J369">
        <v>25</v>
      </c>
      <c r="K369"/>
    </row>
    <row r="370" spans="1:11">
      <c r="A370">
        <v>2025</v>
      </c>
      <c r="B370" t="s">
        <v>382</v>
      </c>
      <c r="C370" t="s">
        <v>3813</v>
      </c>
      <c r="D370" t="s">
        <v>3814</v>
      </c>
      <c r="E370" t="s">
        <v>4594</v>
      </c>
      <c r="F370" s="9">
        <v>17.399999999999999</v>
      </c>
      <c r="G370" s="9">
        <v>10.4</v>
      </c>
      <c r="H370" s="10">
        <v>1.81</v>
      </c>
      <c r="I370" s="10">
        <v>1.04</v>
      </c>
      <c r="J370">
        <v>25</v>
      </c>
      <c r="K370"/>
    </row>
    <row r="371" spans="1:11">
      <c r="A371">
        <v>2026</v>
      </c>
      <c r="B371" t="s">
        <v>382</v>
      </c>
      <c r="C371" t="s">
        <v>3813</v>
      </c>
      <c r="D371" t="s">
        <v>3814</v>
      </c>
      <c r="E371" t="s">
        <v>4594</v>
      </c>
      <c r="F371" s="9">
        <v>16.670000000000002</v>
      </c>
      <c r="G371" s="9">
        <v>1.3</v>
      </c>
      <c r="H371" s="10">
        <v>0.21</v>
      </c>
      <c r="I371" s="10">
        <v>1</v>
      </c>
      <c r="J371">
        <v>25</v>
      </c>
      <c r="K371"/>
    </row>
    <row r="372" spans="1:11">
      <c r="A372">
        <v>2010</v>
      </c>
      <c r="B372" t="s">
        <v>3815</v>
      </c>
      <c r="C372" t="s">
        <v>3816</v>
      </c>
      <c r="D372" t="s">
        <v>3817</v>
      </c>
      <c r="E372" t="s">
        <v>4594</v>
      </c>
      <c r="F372" s="9">
        <v>1.55</v>
      </c>
      <c r="G372" s="9">
        <v>15.6</v>
      </c>
      <c r="H372" s="10">
        <v>0.24</v>
      </c>
      <c r="I372" s="10">
        <v>0.09</v>
      </c>
      <c r="J372">
        <v>12</v>
      </c>
      <c r="K372"/>
    </row>
    <row r="373" spans="1:11">
      <c r="A373">
        <v>2011</v>
      </c>
      <c r="B373" t="s">
        <v>3815</v>
      </c>
      <c r="C373" t="s">
        <v>3816</v>
      </c>
      <c r="D373" t="s">
        <v>3817</v>
      </c>
      <c r="E373" t="s">
        <v>4594</v>
      </c>
      <c r="F373" s="9">
        <v>1.98</v>
      </c>
      <c r="G373" s="9">
        <v>6.4</v>
      </c>
      <c r="H373" s="10">
        <v>0.13</v>
      </c>
      <c r="I373" s="10">
        <v>0.12</v>
      </c>
      <c r="J373">
        <v>13</v>
      </c>
      <c r="K373"/>
    </row>
    <row r="374" spans="1:11">
      <c r="A374">
        <v>2012</v>
      </c>
      <c r="B374" t="s">
        <v>3815</v>
      </c>
      <c r="C374" t="s">
        <v>3816</v>
      </c>
      <c r="D374" t="s">
        <v>3817</v>
      </c>
      <c r="E374" t="s">
        <v>4594</v>
      </c>
      <c r="F374" s="9">
        <v>2.59</v>
      </c>
      <c r="G374" s="9">
        <v>14.8</v>
      </c>
      <c r="H374" s="10">
        <v>0.38</v>
      </c>
      <c r="I374" s="10">
        <v>0.16</v>
      </c>
      <c r="J374">
        <v>14</v>
      </c>
      <c r="K374"/>
    </row>
    <row r="375" spans="1:11">
      <c r="A375">
        <v>2013</v>
      </c>
      <c r="B375" t="s">
        <v>3815</v>
      </c>
      <c r="C375" t="s">
        <v>3816</v>
      </c>
      <c r="D375" t="s">
        <v>3817</v>
      </c>
      <c r="E375" t="s">
        <v>4594</v>
      </c>
      <c r="F375" s="9">
        <v>3.29</v>
      </c>
      <c r="G375" s="9">
        <v>13.5</v>
      </c>
      <c r="H375" s="10">
        <v>0.45</v>
      </c>
      <c r="I375" s="10">
        <v>0.2</v>
      </c>
      <c r="J375">
        <v>15</v>
      </c>
      <c r="K375"/>
    </row>
    <row r="376" spans="1:11">
      <c r="A376">
        <v>2014</v>
      </c>
      <c r="B376" t="s">
        <v>3815</v>
      </c>
      <c r="C376" t="s">
        <v>3816</v>
      </c>
      <c r="D376" t="s">
        <v>3817</v>
      </c>
      <c r="E376" t="s">
        <v>4594</v>
      </c>
      <c r="F376" s="9">
        <v>3.62</v>
      </c>
      <c r="G376" s="9">
        <v>9.3000000000000007</v>
      </c>
      <c r="H376" s="10">
        <v>0.34</v>
      </c>
      <c r="I376" s="10">
        <v>0.22</v>
      </c>
      <c r="J376">
        <v>15</v>
      </c>
      <c r="K376"/>
    </row>
    <row r="377" spans="1:11">
      <c r="A377">
        <v>2015</v>
      </c>
      <c r="B377" t="s">
        <v>3815</v>
      </c>
      <c r="C377" t="s">
        <v>3816</v>
      </c>
      <c r="D377" t="s">
        <v>3817</v>
      </c>
      <c r="E377" t="s">
        <v>4594</v>
      </c>
      <c r="F377" s="9">
        <v>4.2</v>
      </c>
      <c r="G377" s="9">
        <v>11.1</v>
      </c>
      <c r="H377" s="10">
        <v>0.47</v>
      </c>
      <c r="I377" s="10">
        <v>0.25</v>
      </c>
      <c r="J377">
        <v>16</v>
      </c>
      <c r="K377"/>
    </row>
    <row r="378" spans="1:11">
      <c r="A378">
        <v>2016</v>
      </c>
      <c r="B378" t="s">
        <v>3815</v>
      </c>
      <c r="C378" t="s">
        <v>3816</v>
      </c>
      <c r="D378" t="s">
        <v>3817</v>
      </c>
      <c r="E378" t="s">
        <v>4594</v>
      </c>
      <c r="F378" s="9">
        <v>4.01</v>
      </c>
      <c r="G378" s="9">
        <v>18.100000000000001</v>
      </c>
      <c r="H378" s="10">
        <v>0.73</v>
      </c>
      <c r="I378" s="10">
        <v>0.24</v>
      </c>
      <c r="J378">
        <v>16</v>
      </c>
      <c r="K378"/>
    </row>
    <row r="379" spans="1:11">
      <c r="A379">
        <v>2017</v>
      </c>
      <c r="B379" t="s">
        <v>3815</v>
      </c>
      <c r="C379" t="s">
        <v>3816</v>
      </c>
      <c r="D379" t="s">
        <v>3817</v>
      </c>
      <c r="E379" t="s">
        <v>4594</v>
      </c>
      <c r="F379" s="9">
        <v>4.29</v>
      </c>
      <c r="G379" s="9">
        <v>15.4</v>
      </c>
      <c r="H379" s="10">
        <v>0.66</v>
      </c>
      <c r="I379" s="10">
        <v>0.26</v>
      </c>
      <c r="J379">
        <v>16</v>
      </c>
      <c r="K379"/>
    </row>
    <row r="380" spans="1:11">
      <c r="A380">
        <v>2018</v>
      </c>
      <c r="B380" t="s">
        <v>3815</v>
      </c>
      <c r="C380" t="s">
        <v>3816</v>
      </c>
      <c r="D380" t="s">
        <v>3817</v>
      </c>
      <c r="E380" t="s">
        <v>4594</v>
      </c>
      <c r="F380" s="9">
        <v>3.89</v>
      </c>
      <c r="G380" s="9">
        <v>14.6</v>
      </c>
      <c r="H380" s="10">
        <v>0.56999999999999995</v>
      </c>
      <c r="I380" s="10">
        <v>0.23</v>
      </c>
      <c r="J380">
        <v>16</v>
      </c>
      <c r="K380"/>
    </row>
    <row r="381" spans="1:11">
      <c r="A381">
        <v>2019</v>
      </c>
      <c r="B381" t="s">
        <v>3815</v>
      </c>
      <c r="C381" t="s">
        <v>3816</v>
      </c>
      <c r="D381" t="s">
        <v>3817</v>
      </c>
      <c r="E381" t="s">
        <v>4594</v>
      </c>
      <c r="F381" s="9">
        <v>4.33</v>
      </c>
      <c r="G381" s="9">
        <v>13.3</v>
      </c>
      <c r="H381" s="10">
        <v>0.57999999999999996</v>
      </c>
      <c r="I381" s="10">
        <v>0.26</v>
      </c>
      <c r="J381">
        <v>16</v>
      </c>
      <c r="K381"/>
    </row>
    <row r="382" spans="1:11">
      <c r="A382">
        <v>2020</v>
      </c>
      <c r="B382" t="s">
        <v>3815</v>
      </c>
      <c r="C382" t="s">
        <v>3816</v>
      </c>
      <c r="D382" t="s">
        <v>3817</v>
      </c>
      <c r="E382" t="s">
        <v>4594</v>
      </c>
      <c r="F382" s="9">
        <v>4.67</v>
      </c>
      <c r="G382" s="9">
        <v>13.9</v>
      </c>
      <c r="H382" s="10">
        <v>0.65</v>
      </c>
      <c r="I382" s="10">
        <v>0.28000000000000003</v>
      </c>
      <c r="J382">
        <v>17</v>
      </c>
      <c r="K382"/>
    </row>
    <row r="383" spans="1:11">
      <c r="A383">
        <v>2021</v>
      </c>
      <c r="B383" t="s">
        <v>3815</v>
      </c>
      <c r="C383" t="s">
        <v>3816</v>
      </c>
      <c r="D383" t="s">
        <v>3817</v>
      </c>
      <c r="E383" t="s">
        <v>4594</v>
      </c>
      <c r="F383" s="9">
        <v>5.0599999999999996</v>
      </c>
      <c r="G383" s="9">
        <v>13.9</v>
      </c>
      <c r="H383" s="10">
        <v>0.7</v>
      </c>
      <c r="I383" s="10">
        <v>0.3</v>
      </c>
      <c r="J383">
        <v>17</v>
      </c>
      <c r="K383"/>
    </row>
    <row r="384" spans="1:11">
      <c r="A384">
        <v>2022</v>
      </c>
      <c r="B384" t="s">
        <v>3815</v>
      </c>
      <c r="C384" t="s">
        <v>3816</v>
      </c>
      <c r="D384" t="s">
        <v>3817</v>
      </c>
      <c r="E384" t="s">
        <v>4594</v>
      </c>
      <c r="F384" s="9">
        <v>5.46</v>
      </c>
      <c r="G384" s="9">
        <v>6.6</v>
      </c>
      <c r="H384" s="10">
        <v>0.36</v>
      </c>
      <c r="I384" s="10">
        <v>0.33</v>
      </c>
      <c r="J384">
        <v>17</v>
      </c>
      <c r="K384"/>
    </row>
    <row r="385" spans="1:11">
      <c r="A385">
        <v>2023</v>
      </c>
      <c r="B385" t="s">
        <v>3815</v>
      </c>
      <c r="C385" t="s">
        <v>3816</v>
      </c>
      <c r="D385" t="s">
        <v>3817</v>
      </c>
      <c r="E385" t="s">
        <v>4594</v>
      </c>
      <c r="F385" s="9">
        <v>5.81</v>
      </c>
      <c r="G385" s="9">
        <v>10.3</v>
      </c>
      <c r="H385" s="10">
        <v>0.6</v>
      </c>
      <c r="I385" s="10">
        <v>0.35</v>
      </c>
      <c r="J385">
        <v>18</v>
      </c>
      <c r="K385"/>
    </row>
    <row r="386" spans="1:11">
      <c r="A386">
        <v>2024</v>
      </c>
      <c r="B386" t="s">
        <v>3815</v>
      </c>
      <c r="C386" t="s">
        <v>3816</v>
      </c>
      <c r="D386" t="s">
        <v>3817</v>
      </c>
      <c r="E386" t="s">
        <v>4594</v>
      </c>
      <c r="F386" s="9">
        <v>6.35</v>
      </c>
      <c r="G386" s="9">
        <v>17</v>
      </c>
      <c r="H386" s="10">
        <v>1.08</v>
      </c>
      <c r="I386" s="10">
        <v>0.38</v>
      </c>
      <c r="J386">
        <v>18</v>
      </c>
      <c r="K386"/>
    </row>
    <row r="387" spans="1:11">
      <c r="A387">
        <v>2025</v>
      </c>
      <c r="B387" t="s">
        <v>3815</v>
      </c>
      <c r="C387" t="s">
        <v>3816</v>
      </c>
      <c r="D387" t="s">
        <v>3817</v>
      </c>
      <c r="E387" t="s">
        <v>4594</v>
      </c>
      <c r="F387" s="9">
        <v>7.69</v>
      </c>
      <c r="G387" s="9">
        <v>16.100000000000001</v>
      </c>
      <c r="H387" s="10">
        <v>1.24</v>
      </c>
      <c r="I387" s="10">
        <v>0.46</v>
      </c>
      <c r="J387">
        <v>19</v>
      </c>
      <c r="K387"/>
    </row>
    <row r="388" spans="1:11">
      <c r="A388">
        <v>2026</v>
      </c>
      <c r="B388" t="s">
        <v>3815</v>
      </c>
      <c r="C388" t="s">
        <v>3816</v>
      </c>
      <c r="D388" t="s">
        <v>3817</v>
      </c>
      <c r="E388" t="s">
        <v>4594</v>
      </c>
      <c r="F388" s="9">
        <v>8.06</v>
      </c>
      <c r="G388" s="9">
        <v>16.100000000000001</v>
      </c>
      <c r="H388" s="10">
        <v>1.29</v>
      </c>
      <c r="I388" s="10">
        <v>0.48</v>
      </c>
      <c r="J388">
        <v>20</v>
      </c>
      <c r="K388"/>
    </row>
    <row r="389" spans="1:11">
      <c r="A389">
        <v>2010</v>
      </c>
      <c r="B389" t="s">
        <v>3818</v>
      </c>
      <c r="C389" t="s">
        <v>3819</v>
      </c>
      <c r="D389" t="s">
        <v>3820</v>
      </c>
      <c r="E389" t="s">
        <v>4592</v>
      </c>
      <c r="F389" s="9">
        <v>0.55000000000000004</v>
      </c>
      <c r="G389" s="9">
        <v>28.6</v>
      </c>
      <c r="H389" s="10">
        <v>0.16</v>
      </c>
      <c r="I389" s="10">
        <v>0.1</v>
      </c>
      <c r="J389">
        <v>27</v>
      </c>
      <c r="K389"/>
    </row>
    <row r="390" spans="1:11">
      <c r="A390">
        <v>2011</v>
      </c>
      <c r="B390" t="s">
        <v>3818</v>
      </c>
      <c r="C390" t="s">
        <v>3819</v>
      </c>
      <c r="D390" t="s">
        <v>3820</v>
      </c>
      <c r="E390" t="s">
        <v>4592</v>
      </c>
      <c r="F390" s="9">
        <v>0.68</v>
      </c>
      <c r="G390" s="9">
        <v>29.2</v>
      </c>
      <c r="H390" s="10">
        <v>0.2</v>
      </c>
      <c r="I390" s="10">
        <v>0.12</v>
      </c>
      <c r="J390">
        <v>28</v>
      </c>
      <c r="K390"/>
    </row>
    <row r="391" spans="1:11">
      <c r="A391">
        <v>2012</v>
      </c>
      <c r="B391" t="s">
        <v>3818</v>
      </c>
      <c r="C391" t="s">
        <v>3819</v>
      </c>
      <c r="D391" t="s">
        <v>3820</v>
      </c>
      <c r="E391" t="s">
        <v>4592</v>
      </c>
      <c r="F391" s="9">
        <v>0.85</v>
      </c>
      <c r="G391" s="9">
        <v>24.1</v>
      </c>
      <c r="H391" s="10">
        <v>0.21</v>
      </c>
      <c r="I391" s="10">
        <v>0.15</v>
      </c>
      <c r="J391">
        <v>30</v>
      </c>
      <c r="K391"/>
    </row>
    <row r="392" spans="1:11">
      <c r="A392">
        <v>2013</v>
      </c>
      <c r="B392" t="s">
        <v>3818</v>
      </c>
      <c r="C392" t="s">
        <v>3819</v>
      </c>
      <c r="D392" t="s">
        <v>3820</v>
      </c>
      <c r="E392" t="s">
        <v>4592</v>
      </c>
      <c r="F392" s="9">
        <v>1</v>
      </c>
      <c r="G392" s="9">
        <v>27.8</v>
      </c>
      <c r="H392" s="10">
        <v>0.28000000000000003</v>
      </c>
      <c r="I392" s="10">
        <v>0.18</v>
      </c>
      <c r="J392">
        <v>32</v>
      </c>
      <c r="K392"/>
    </row>
    <row r="393" spans="1:11">
      <c r="A393">
        <v>2014</v>
      </c>
      <c r="B393" t="s">
        <v>3818</v>
      </c>
      <c r="C393" t="s">
        <v>3819</v>
      </c>
      <c r="D393" t="s">
        <v>3820</v>
      </c>
      <c r="E393" t="s">
        <v>4592</v>
      </c>
      <c r="F393" s="9">
        <v>1.21</v>
      </c>
      <c r="G393" s="9">
        <v>30.7</v>
      </c>
      <c r="H393" s="10">
        <v>0.37</v>
      </c>
      <c r="I393" s="10">
        <v>0.22</v>
      </c>
      <c r="J393">
        <v>34</v>
      </c>
      <c r="K393"/>
    </row>
    <row r="394" spans="1:11">
      <c r="A394">
        <v>2015</v>
      </c>
      <c r="B394" t="s">
        <v>3818</v>
      </c>
      <c r="C394" t="s">
        <v>3819</v>
      </c>
      <c r="D394" t="s">
        <v>3820</v>
      </c>
      <c r="E394" t="s">
        <v>4592</v>
      </c>
      <c r="F394" s="9">
        <v>1.3</v>
      </c>
      <c r="G394" s="9">
        <v>28.7</v>
      </c>
      <c r="H394" s="10">
        <v>0.37</v>
      </c>
      <c r="I394" s="10">
        <v>0.23</v>
      </c>
      <c r="J394">
        <v>35</v>
      </c>
      <c r="K394"/>
    </row>
    <row r="395" spans="1:11">
      <c r="A395">
        <v>2016</v>
      </c>
      <c r="B395" t="s">
        <v>3818</v>
      </c>
      <c r="C395" t="s">
        <v>3819</v>
      </c>
      <c r="D395" t="s">
        <v>3820</v>
      </c>
      <c r="E395" t="s">
        <v>4592</v>
      </c>
      <c r="F395" s="9">
        <v>1.7</v>
      </c>
      <c r="G395" s="9">
        <v>27.4</v>
      </c>
      <c r="H395" s="10">
        <v>0.47</v>
      </c>
      <c r="I395" s="10">
        <v>0.31</v>
      </c>
      <c r="J395">
        <v>38</v>
      </c>
      <c r="K395"/>
    </row>
    <row r="396" spans="1:11">
      <c r="A396">
        <v>2017</v>
      </c>
      <c r="B396" t="s">
        <v>3818</v>
      </c>
      <c r="C396" t="s">
        <v>3819</v>
      </c>
      <c r="D396" t="s">
        <v>3820</v>
      </c>
      <c r="E396" t="s">
        <v>4592</v>
      </c>
      <c r="F396" s="9">
        <v>2.0299999999999998</v>
      </c>
      <c r="G396" s="9">
        <v>27.5</v>
      </c>
      <c r="H396" s="10">
        <v>0.56000000000000005</v>
      </c>
      <c r="I396" s="10">
        <v>0.37</v>
      </c>
      <c r="J396">
        <v>40</v>
      </c>
      <c r="K396"/>
    </row>
    <row r="397" spans="1:11">
      <c r="A397">
        <v>2018</v>
      </c>
      <c r="B397" t="s">
        <v>3818</v>
      </c>
      <c r="C397" t="s">
        <v>3819</v>
      </c>
      <c r="D397" t="s">
        <v>3820</v>
      </c>
      <c r="E397" t="s">
        <v>4592</v>
      </c>
      <c r="F397" s="9">
        <v>2.44</v>
      </c>
      <c r="G397" s="9">
        <v>24.2</v>
      </c>
      <c r="H397" s="10">
        <v>0.59</v>
      </c>
      <c r="I397" s="10">
        <v>0.44</v>
      </c>
      <c r="J397">
        <v>42</v>
      </c>
      <c r="K397"/>
    </row>
    <row r="398" spans="1:11">
      <c r="A398">
        <v>2019</v>
      </c>
      <c r="B398" t="s">
        <v>3818</v>
      </c>
      <c r="C398" t="s">
        <v>3819</v>
      </c>
      <c r="D398" t="s">
        <v>3820</v>
      </c>
      <c r="E398" t="s">
        <v>4592</v>
      </c>
      <c r="F398" s="9">
        <v>3.3</v>
      </c>
      <c r="G398" s="9">
        <v>29.2</v>
      </c>
      <c r="H398" s="10">
        <v>0.96</v>
      </c>
      <c r="I398" s="10">
        <v>0.59</v>
      </c>
      <c r="J398">
        <v>46</v>
      </c>
      <c r="K398"/>
    </row>
    <row r="399" spans="1:11">
      <c r="A399">
        <v>2020</v>
      </c>
      <c r="B399" t="s">
        <v>3818</v>
      </c>
      <c r="C399" t="s">
        <v>3819</v>
      </c>
      <c r="D399" t="s">
        <v>3820</v>
      </c>
      <c r="E399" t="s">
        <v>4592</v>
      </c>
      <c r="F399" s="9">
        <v>3.79</v>
      </c>
      <c r="G399" s="9">
        <v>27.6</v>
      </c>
      <c r="H399" s="10">
        <v>1.05</v>
      </c>
      <c r="I399" s="10">
        <v>0.68</v>
      </c>
      <c r="J399">
        <v>48</v>
      </c>
      <c r="K399"/>
    </row>
    <row r="400" spans="1:11">
      <c r="A400">
        <v>2021</v>
      </c>
      <c r="B400" t="s">
        <v>3818</v>
      </c>
      <c r="C400" t="s">
        <v>3819</v>
      </c>
      <c r="D400" t="s">
        <v>3820</v>
      </c>
      <c r="E400" t="s">
        <v>4592</v>
      </c>
      <c r="F400" s="9">
        <v>3.61</v>
      </c>
      <c r="G400" s="9">
        <v>31.2</v>
      </c>
      <c r="H400" s="10">
        <v>1.1200000000000001</v>
      </c>
      <c r="I400" s="10">
        <v>0.65</v>
      </c>
      <c r="J400">
        <v>47</v>
      </c>
      <c r="K400"/>
    </row>
    <row r="401" spans="1:11">
      <c r="A401">
        <v>2022</v>
      </c>
      <c r="B401" t="s">
        <v>3818</v>
      </c>
      <c r="C401" t="s">
        <v>3819</v>
      </c>
      <c r="D401" t="s">
        <v>3820</v>
      </c>
      <c r="E401" t="s">
        <v>4592</v>
      </c>
      <c r="F401" s="9">
        <v>3.09</v>
      </c>
      <c r="G401" s="9">
        <v>28.1</v>
      </c>
      <c r="H401" s="10">
        <v>0.87</v>
      </c>
      <c r="I401" s="10">
        <v>0.56000000000000005</v>
      </c>
      <c r="J401">
        <v>45</v>
      </c>
      <c r="K401"/>
    </row>
    <row r="402" spans="1:11">
      <c r="A402">
        <v>2023</v>
      </c>
      <c r="B402" t="s">
        <v>3818</v>
      </c>
      <c r="C402" t="s">
        <v>3819</v>
      </c>
      <c r="D402" t="s">
        <v>3820</v>
      </c>
      <c r="E402" t="s">
        <v>4592</v>
      </c>
      <c r="F402" s="9">
        <v>3.02</v>
      </c>
      <c r="G402" s="9">
        <v>24.7</v>
      </c>
      <c r="H402" s="10">
        <v>0.75</v>
      </c>
      <c r="I402" s="10">
        <v>0.54</v>
      </c>
      <c r="J402">
        <v>45</v>
      </c>
      <c r="K402"/>
    </row>
    <row r="403" spans="1:11">
      <c r="A403">
        <v>2024</v>
      </c>
      <c r="B403" t="s">
        <v>3818</v>
      </c>
      <c r="C403" t="s">
        <v>3819</v>
      </c>
      <c r="D403" t="s">
        <v>3820</v>
      </c>
      <c r="E403" t="s">
        <v>4592</v>
      </c>
      <c r="F403" s="9">
        <v>3.44</v>
      </c>
      <c r="G403" s="9">
        <v>29.1</v>
      </c>
      <c r="H403" s="10">
        <v>1</v>
      </c>
      <c r="I403" s="10">
        <v>0.62</v>
      </c>
      <c r="J403">
        <v>46</v>
      </c>
      <c r="K403"/>
    </row>
    <row r="404" spans="1:11">
      <c r="A404">
        <v>2025</v>
      </c>
      <c r="B404" t="s">
        <v>3818</v>
      </c>
      <c r="C404" t="s">
        <v>3819</v>
      </c>
      <c r="D404" t="s">
        <v>3820</v>
      </c>
      <c r="E404" t="s">
        <v>4592</v>
      </c>
      <c r="F404" s="9">
        <v>4.1100000000000003</v>
      </c>
      <c r="G404" s="9">
        <v>31.3</v>
      </c>
      <c r="H404" s="10">
        <v>1.29</v>
      </c>
      <c r="I404" s="10">
        <v>0.74</v>
      </c>
      <c r="J404">
        <v>49</v>
      </c>
      <c r="K404"/>
    </row>
    <row r="405" spans="1:11">
      <c r="A405">
        <v>2026</v>
      </c>
      <c r="B405" t="s">
        <v>3818</v>
      </c>
      <c r="C405" t="s">
        <v>3819</v>
      </c>
      <c r="D405" t="s">
        <v>3820</v>
      </c>
      <c r="E405" t="s">
        <v>4592</v>
      </c>
      <c r="F405" s="9">
        <v>4.4800000000000004</v>
      </c>
      <c r="G405" s="9">
        <v>24.3</v>
      </c>
      <c r="H405" s="10">
        <v>1.0900000000000001</v>
      </c>
      <c r="I405" s="10">
        <v>0.81</v>
      </c>
      <c r="J405">
        <v>50</v>
      </c>
      <c r="K405"/>
    </row>
    <row r="406" spans="1:11">
      <c r="A406">
        <v>2010</v>
      </c>
      <c r="B406" t="s">
        <v>3821</v>
      </c>
      <c r="C406" s="1" t="s">
        <v>3822</v>
      </c>
      <c r="D406" t="s">
        <v>3803</v>
      </c>
      <c r="E406" t="s">
        <v>4592</v>
      </c>
      <c r="F406" s="9">
        <v>9.41</v>
      </c>
      <c r="G406" s="9">
        <v>28.7</v>
      </c>
      <c r="H406" s="10">
        <v>2.7</v>
      </c>
      <c r="I406" s="10">
        <v>1.69</v>
      </c>
      <c r="J406">
        <v>63</v>
      </c>
      <c r="K406"/>
    </row>
    <row r="407" spans="1:11">
      <c r="A407">
        <v>2011</v>
      </c>
      <c r="B407" t="s">
        <v>3821</v>
      </c>
      <c r="C407" t="s">
        <v>3822</v>
      </c>
      <c r="D407" t="s">
        <v>3803</v>
      </c>
      <c r="E407" t="s">
        <v>4592</v>
      </c>
      <c r="F407" s="9">
        <v>9.18</v>
      </c>
      <c r="G407" s="9">
        <v>26.3</v>
      </c>
      <c r="H407" s="10">
        <v>2.41</v>
      </c>
      <c r="I407" s="10">
        <v>1.65</v>
      </c>
      <c r="J407">
        <v>63</v>
      </c>
      <c r="K407"/>
    </row>
    <row r="408" spans="1:11">
      <c r="A408">
        <v>2012</v>
      </c>
      <c r="B408" t="s">
        <v>3821</v>
      </c>
      <c r="C408" t="s">
        <v>3822</v>
      </c>
      <c r="D408" t="s">
        <v>3803</v>
      </c>
      <c r="E408" t="s">
        <v>4592</v>
      </c>
      <c r="F408" s="9">
        <v>9.0500000000000007</v>
      </c>
      <c r="G408" s="9">
        <v>26.5</v>
      </c>
      <c r="H408" s="10">
        <v>2.4</v>
      </c>
      <c r="I408" s="10">
        <v>1.63</v>
      </c>
      <c r="J408">
        <v>62</v>
      </c>
      <c r="K408"/>
    </row>
    <row r="409" spans="1:11">
      <c r="A409">
        <v>2013</v>
      </c>
      <c r="B409" t="s">
        <v>3821</v>
      </c>
      <c r="C409" t="s">
        <v>3822</v>
      </c>
      <c r="D409" t="s">
        <v>3803</v>
      </c>
      <c r="E409" t="s">
        <v>4592</v>
      </c>
      <c r="F409" s="9">
        <v>8.56</v>
      </c>
      <c r="G409" s="9">
        <v>28.9</v>
      </c>
      <c r="H409" s="10">
        <v>2.48</v>
      </c>
      <c r="I409" s="10">
        <v>1.54</v>
      </c>
      <c r="J409">
        <v>61</v>
      </c>
      <c r="K409"/>
    </row>
    <row r="410" spans="1:11">
      <c r="A410">
        <v>2014</v>
      </c>
      <c r="B410" t="s">
        <v>3821</v>
      </c>
      <c r="C410" t="s">
        <v>3822</v>
      </c>
      <c r="D410" t="s">
        <v>3803</v>
      </c>
      <c r="E410" t="s">
        <v>4592</v>
      </c>
      <c r="F410" s="9">
        <v>8.36</v>
      </c>
      <c r="G410" s="9">
        <v>28.7</v>
      </c>
      <c r="H410" s="10">
        <v>2.4</v>
      </c>
      <c r="I410" s="10">
        <v>1.5</v>
      </c>
      <c r="J410">
        <v>61</v>
      </c>
      <c r="K410"/>
    </row>
    <row r="411" spans="1:11">
      <c r="A411">
        <v>2015</v>
      </c>
      <c r="B411" t="s">
        <v>3821</v>
      </c>
      <c r="C411" t="s">
        <v>3822</v>
      </c>
      <c r="D411" t="s">
        <v>3803</v>
      </c>
      <c r="E411" t="s">
        <v>4592</v>
      </c>
      <c r="F411" s="9">
        <v>8.27</v>
      </c>
      <c r="G411" s="9">
        <v>24.6</v>
      </c>
      <c r="H411" s="10">
        <v>2.0299999999999998</v>
      </c>
      <c r="I411" s="10">
        <v>1.49</v>
      </c>
      <c r="J411">
        <v>61</v>
      </c>
      <c r="K411"/>
    </row>
    <row r="412" spans="1:11">
      <c r="A412">
        <v>2016</v>
      </c>
      <c r="B412" t="s">
        <v>3821</v>
      </c>
      <c r="C412" t="s">
        <v>3822</v>
      </c>
      <c r="D412" t="s">
        <v>3803</v>
      </c>
      <c r="E412" t="s">
        <v>4592</v>
      </c>
      <c r="F412" s="9">
        <v>8.18</v>
      </c>
      <c r="G412" s="9">
        <v>32.299999999999997</v>
      </c>
      <c r="H412" s="10">
        <v>2.64</v>
      </c>
      <c r="I412" s="10">
        <v>1.47</v>
      </c>
      <c r="J412">
        <v>60</v>
      </c>
      <c r="K412"/>
    </row>
    <row r="413" spans="1:11">
      <c r="A413">
        <v>2017</v>
      </c>
      <c r="B413" t="s">
        <v>3821</v>
      </c>
      <c r="C413" t="s">
        <v>3822</v>
      </c>
      <c r="D413" t="s">
        <v>3803</v>
      </c>
      <c r="E413" t="s">
        <v>4592</v>
      </c>
      <c r="F413" s="9">
        <v>8.11</v>
      </c>
      <c r="G413" s="9">
        <v>21.7</v>
      </c>
      <c r="H413" s="10">
        <v>1.76</v>
      </c>
      <c r="I413" s="10">
        <v>1.46</v>
      </c>
      <c r="J413">
        <v>60</v>
      </c>
      <c r="K413"/>
    </row>
    <row r="414" spans="1:11">
      <c r="A414">
        <v>2018</v>
      </c>
      <c r="B414" t="s">
        <v>3821</v>
      </c>
      <c r="C414" t="s">
        <v>3822</v>
      </c>
      <c r="D414" t="s">
        <v>3803</v>
      </c>
      <c r="E414" t="s">
        <v>4592</v>
      </c>
      <c r="F414" s="9">
        <v>8.0399999999999991</v>
      </c>
      <c r="G414" s="9">
        <v>28.1</v>
      </c>
      <c r="H414" s="10">
        <v>2.2599999999999998</v>
      </c>
      <c r="I414" s="10">
        <v>1.45</v>
      </c>
      <c r="J414">
        <v>60</v>
      </c>
      <c r="K414"/>
    </row>
    <row r="415" spans="1:11">
      <c r="A415">
        <v>2019</v>
      </c>
      <c r="B415" t="s">
        <v>3821</v>
      </c>
      <c r="C415" t="s">
        <v>3822</v>
      </c>
      <c r="D415" t="s">
        <v>3803</v>
      </c>
      <c r="E415" t="s">
        <v>4592</v>
      </c>
      <c r="F415" s="9">
        <v>8.91</v>
      </c>
      <c r="G415" s="9">
        <v>27.6</v>
      </c>
      <c r="H415" s="10">
        <v>2.46</v>
      </c>
      <c r="I415" s="10">
        <v>1.6</v>
      </c>
      <c r="J415">
        <v>62</v>
      </c>
      <c r="K415"/>
    </row>
    <row r="416" spans="1:11">
      <c r="A416">
        <v>2020</v>
      </c>
      <c r="B416" t="s">
        <v>3821</v>
      </c>
      <c r="C416" t="s">
        <v>3822</v>
      </c>
      <c r="D416" t="s">
        <v>3803</v>
      </c>
      <c r="E416" t="s">
        <v>4592</v>
      </c>
      <c r="F416" s="9">
        <v>9.65</v>
      </c>
      <c r="G416" s="9">
        <v>20</v>
      </c>
      <c r="H416" s="10">
        <v>1.93</v>
      </c>
      <c r="I416" s="10">
        <v>1.74</v>
      </c>
      <c r="J416">
        <v>64</v>
      </c>
      <c r="K416"/>
    </row>
    <row r="417" spans="1:11">
      <c r="A417">
        <v>2021</v>
      </c>
      <c r="B417" t="s">
        <v>3821</v>
      </c>
      <c r="C417" t="s">
        <v>3822</v>
      </c>
      <c r="D417" t="s">
        <v>3803</v>
      </c>
      <c r="E417" t="s">
        <v>4592</v>
      </c>
      <c r="F417" s="9">
        <v>10.32</v>
      </c>
      <c r="G417" s="9">
        <v>32.700000000000003</v>
      </c>
      <c r="H417" s="10">
        <v>3.37</v>
      </c>
      <c r="I417" s="10">
        <v>1.86</v>
      </c>
      <c r="J417">
        <v>65</v>
      </c>
      <c r="K417"/>
    </row>
    <row r="418" spans="1:11">
      <c r="A418">
        <v>2022</v>
      </c>
      <c r="B418" t="s">
        <v>3821</v>
      </c>
      <c r="C418" t="s">
        <v>3822</v>
      </c>
      <c r="D418" t="s">
        <v>3803</v>
      </c>
      <c r="E418" t="s">
        <v>4592</v>
      </c>
      <c r="F418" s="9">
        <v>10.73</v>
      </c>
      <c r="G418" s="9">
        <v>26.9</v>
      </c>
      <c r="H418" s="10">
        <v>2.88</v>
      </c>
      <c r="I418" s="10">
        <v>1.93</v>
      </c>
      <c r="J418">
        <v>66</v>
      </c>
      <c r="K418"/>
    </row>
    <row r="419" spans="1:11">
      <c r="A419">
        <v>2023</v>
      </c>
      <c r="B419" t="s">
        <v>3821</v>
      </c>
      <c r="C419" t="s">
        <v>3822</v>
      </c>
      <c r="D419" t="s">
        <v>3803</v>
      </c>
      <c r="E419" t="s">
        <v>4592</v>
      </c>
      <c r="F419" s="9">
        <v>12.22</v>
      </c>
      <c r="G419" s="9">
        <v>25.3</v>
      </c>
      <c r="H419" s="10">
        <v>3.09</v>
      </c>
      <c r="I419" s="10">
        <v>2.2000000000000002</v>
      </c>
      <c r="J419">
        <v>68</v>
      </c>
      <c r="K419"/>
    </row>
    <row r="420" spans="1:11">
      <c r="A420">
        <v>2024</v>
      </c>
      <c r="B420" t="s">
        <v>3821</v>
      </c>
      <c r="C420" t="s">
        <v>3822</v>
      </c>
      <c r="D420" t="s">
        <v>3803</v>
      </c>
      <c r="E420" t="s">
        <v>4592</v>
      </c>
      <c r="F420" s="9">
        <v>13.67</v>
      </c>
      <c r="G420" s="9">
        <v>32.299999999999997</v>
      </c>
      <c r="H420" s="10">
        <v>4.41</v>
      </c>
      <c r="I420" s="10">
        <v>2.46</v>
      </c>
      <c r="J420">
        <v>71</v>
      </c>
      <c r="K420"/>
    </row>
    <row r="421" spans="1:11">
      <c r="A421">
        <v>2025</v>
      </c>
      <c r="B421" t="s">
        <v>3821</v>
      </c>
      <c r="C421" t="s">
        <v>3822</v>
      </c>
      <c r="D421" t="s">
        <v>3803</v>
      </c>
      <c r="E421" t="s">
        <v>4592</v>
      </c>
      <c r="F421" s="9">
        <v>16.8</v>
      </c>
      <c r="G421" s="9">
        <v>27</v>
      </c>
      <c r="H421" s="10">
        <v>4.53</v>
      </c>
      <c r="I421" s="10">
        <v>3.02</v>
      </c>
      <c r="J421">
        <v>75</v>
      </c>
      <c r="K421"/>
    </row>
    <row r="422" spans="1:11">
      <c r="A422">
        <v>2026</v>
      </c>
      <c r="B422" t="s">
        <v>3821</v>
      </c>
      <c r="C422" t="s">
        <v>3822</v>
      </c>
      <c r="D422" t="s">
        <v>3803</v>
      </c>
      <c r="E422" t="s">
        <v>4592</v>
      </c>
      <c r="F422" s="9">
        <v>19.059999999999999</v>
      </c>
      <c r="G422" s="9">
        <v>28.1</v>
      </c>
      <c r="H422" s="10">
        <v>5.36</v>
      </c>
      <c r="I422" s="10">
        <v>3.43</v>
      </c>
      <c r="J422">
        <v>78</v>
      </c>
      <c r="K422"/>
    </row>
    <row r="423" spans="1:11">
      <c r="A423">
        <v>2010</v>
      </c>
      <c r="B423" t="s">
        <v>3823</v>
      </c>
      <c r="C423" t="s">
        <v>3824</v>
      </c>
      <c r="D423" t="s">
        <v>3783</v>
      </c>
      <c r="E423" t="s">
        <v>4595</v>
      </c>
      <c r="F423" s="9">
        <v>16.649999999999999</v>
      </c>
      <c r="G423" s="9">
        <v>19.7</v>
      </c>
      <c r="H423" s="10">
        <v>3.28</v>
      </c>
      <c r="I423" s="10">
        <v>1.33</v>
      </c>
      <c r="J423">
        <v>12</v>
      </c>
      <c r="K423"/>
    </row>
    <row r="424" spans="1:11">
      <c r="A424">
        <v>2011</v>
      </c>
      <c r="B424" t="s">
        <v>3823</v>
      </c>
      <c r="C424" t="s">
        <v>3824</v>
      </c>
      <c r="D424" t="s">
        <v>3783</v>
      </c>
      <c r="E424" t="s">
        <v>4595</v>
      </c>
      <c r="F424" s="9">
        <v>18.47</v>
      </c>
      <c r="G424" s="9">
        <v>21.1</v>
      </c>
      <c r="H424" s="10">
        <v>3.9</v>
      </c>
      <c r="I424" s="10">
        <v>1.48</v>
      </c>
      <c r="J424">
        <v>12</v>
      </c>
      <c r="K424"/>
    </row>
    <row r="425" spans="1:11">
      <c r="A425">
        <v>2012</v>
      </c>
      <c r="B425" t="s">
        <v>3823</v>
      </c>
      <c r="C425" t="s">
        <v>3824</v>
      </c>
      <c r="D425" t="s">
        <v>3783</v>
      </c>
      <c r="E425" t="s">
        <v>4595</v>
      </c>
      <c r="F425" s="9">
        <v>23.1</v>
      </c>
      <c r="G425" s="9">
        <v>22.6</v>
      </c>
      <c r="H425" s="10">
        <v>5.21</v>
      </c>
      <c r="I425" s="10">
        <v>1.85</v>
      </c>
      <c r="J425">
        <v>13</v>
      </c>
      <c r="K425"/>
    </row>
    <row r="426" spans="1:11">
      <c r="A426">
        <v>2013</v>
      </c>
      <c r="B426" t="s">
        <v>3823</v>
      </c>
      <c r="C426" t="s">
        <v>3824</v>
      </c>
      <c r="D426" t="s">
        <v>3783</v>
      </c>
      <c r="E426" t="s">
        <v>4595</v>
      </c>
      <c r="F426" s="9">
        <v>23.1</v>
      </c>
      <c r="G426" s="9">
        <v>22.9</v>
      </c>
      <c r="H426" s="10">
        <v>5.29</v>
      </c>
      <c r="I426" s="10">
        <v>1.85</v>
      </c>
      <c r="J426">
        <v>13</v>
      </c>
      <c r="K426"/>
    </row>
    <row r="427" spans="1:11">
      <c r="A427">
        <v>2014</v>
      </c>
      <c r="B427" t="s">
        <v>3823</v>
      </c>
      <c r="C427" t="s">
        <v>3824</v>
      </c>
      <c r="D427" t="s">
        <v>3783</v>
      </c>
      <c r="E427" t="s">
        <v>4595</v>
      </c>
      <c r="F427" s="9">
        <v>25.92</v>
      </c>
      <c r="G427" s="9">
        <v>18.5</v>
      </c>
      <c r="H427" s="10">
        <v>4.8</v>
      </c>
      <c r="I427" s="10">
        <v>2.0699999999999998</v>
      </c>
      <c r="J427">
        <v>14</v>
      </c>
      <c r="K427"/>
    </row>
    <row r="428" spans="1:11">
      <c r="A428">
        <v>2015</v>
      </c>
      <c r="B428" t="s">
        <v>3823</v>
      </c>
      <c r="C428" t="s">
        <v>3824</v>
      </c>
      <c r="D428" t="s">
        <v>3783</v>
      </c>
      <c r="E428" t="s">
        <v>4595</v>
      </c>
      <c r="F428" s="9">
        <v>29.6</v>
      </c>
      <c r="G428" s="9">
        <v>20.100000000000001</v>
      </c>
      <c r="H428" s="10">
        <v>5.95</v>
      </c>
      <c r="I428" s="10">
        <v>2.37</v>
      </c>
      <c r="J428">
        <v>14</v>
      </c>
      <c r="K428"/>
    </row>
    <row r="429" spans="1:11">
      <c r="A429">
        <v>2016</v>
      </c>
      <c r="B429" t="s">
        <v>3823</v>
      </c>
      <c r="C429" t="s">
        <v>3824</v>
      </c>
      <c r="D429" t="s">
        <v>3783</v>
      </c>
      <c r="E429" t="s">
        <v>4595</v>
      </c>
      <c r="F429" s="9">
        <v>29.34</v>
      </c>
      <c r="G429" s="9">
        <v>20</v>
      </c>
      <c r="H429" s="10">
        <v>5.88</v>
      </c>
      <c r="I429" s="10">
        <v>2.35</v>
      </c>
      <c r="J429">
        <v>14</v>
      </c>
      <c r="K429"/>
    </row>
    <row r="430" spans="1:11">
      <c r="A430">
        <v>2017</v>
      </c>
      <c r="B430" t="s">
        <v>3823</v>
      </c>
      <c r="C430" t="s">
        <v>3824</v>
      </c>
      <c r="D430" t="s">
        <v>3783</v>
      </c>
      <c r="E430" t="s">
        <v>4595</v>
      </c>
      <c r="F430" s="9">
        <v>29.7</v>
      </c>
      <c r="G430" s="9">
        <v>21.3</v>
      </c>
      <c r="H430" s="10">
        <v>6.32</v>
      </c>
      <c r="I430" s="10">
        <v>2.38</v>
      </c>
      <c r="J430">
        <v>14</v>
      </c>
      <c r="K430"/>
    </row>
    <row r="431" spans="1:11">
      <c r="A431">
        <v>2018</v>
      </c>
      <c r="B431" t="s">
        <v>3823</v>
      </c>
      <c r="C431" t="s">
        <v>3824</v>
      </c>
      <c r="D431" t="s">
        <v>3783</v>
      </c>
      <c r="E431" t="s">
        <v>4595</v>
      </c>
      <c r="F431" s="9">
        <v>28.02</v>
      </c>
      <c r="G431" s="9">
        <v>22</v>
      </c>
      <c r="H431" s="10">
        <v>6.17</v>
      </c>
      <c r="I431" s="10">
        <v>2.2400000000000002</v>
      </c>
      <c r="J431">
        <v>14</v>
      </c>
      <c r="K431"/>
    </row>
    <row r="432" spans="1:11">
      <c r="A432">
        <v>2019</v>
      </c>
      <c r="B432" t="s">
        <v>3823</v>
      </c>
      <c r="C432" t="s">
        <v>3824</v>
      </c>
      <c r="D432" t="s">
        <v>3783</v>
      </c>
      <c r="E432" t="s">
        <v>4595</v>
      </c>
      <c r="F432" s="9">
        <v>28.45</v>
      </c>
      <c r="G432" s="9">
        <v>15.7</v>
      </c>
      <c r="H432" s="10">
        <v>4.46</v>
      </c>
      <c r="I432" s="10">
        <v>2.2799999999999998</v>
      </c>
      <c r="J432">
        <v>14</v>
      </c>
      <c r="K432"/>
    </row>
    <row r="433" spans="1:11">
      <c r="A433">
        <v>2020</v>
      </c>
      <c r="B433" t="s">
        <v>3823</v>
      </c>
      <c r="C433" t="s">
        <v>3824</v>
      </c>
      <c r="D433" t="s">
        <v>3783</v>
      </c>
      <c r="E433" t="s">
        <v>4595</v>
      </c>
      <c r="F433" s="9">
        <v>28.85</v>
      </c>
      <c r="G433" s="9">
        <v>20.3</v>
      </c>
      <c r="H433" s="10">
        <v>5.84</v>
      </c>
      <c r="I433" s="10">
        <v>2.31</v>
      </c>
      <c r="J433">
        <v>14</v>
      </c>
      <c r="K433"/>
    </row>
    <row r="434" spans="1:11">
      <c r="A434">
        <v>2021</v>
      </c>
      <c r="B434" t="s">
        <v>3823</v>
      </c>
      <c r="C434" t="s">
        <v>3824</v>
      </c>
      <c r="D434" t="s">
        <v>3783</v>
      </c>
      <c r="E434" t="s">
        <v>4595</v>
      </c>
      <c r="F434" s="9">
        <v>29.68</v>
      </c>
      <c r="G434" s="9">
        <v>22.5</v>
      </c>
      <c r="H434" s="10">
        <v>6.68</v>
      </c>
      <c r="I434" s="10">
        <v>2.37</v>
      </c>
      <c r="J434">
        <v>14</v>
      </c>
      <c r="K434"/>
    </row>
    <row r="435" spans="1:11">
      <c r="A435">
        <v>2022</v>
      </c>
      <c r="B435" t="s">
        <v>3823</v>
      </c>
      <c r="C435" t="s">
        <v>3824</v>
      </c>
      <c r="D435" t="s">
        <v>3783</v>
      </c>
      <c r="E435" t="s">
        <v>4595</v>
      </c>
      <c r="F435" s="9">
        <v>30.45</v>
      </c>
      <c r="G435" s="9">
        <v>18.8</v>
      </c>
      <c r="H435" s="10">
        <v>5.72</v>
      </c>
      <c r="I435" s="10">
        <v>2.44</v>
      </c>
      <c r="J435">
        <v>15</v>
      </c>
      <c r="K435"/>
    </row>
    <row r="436" spans="1:11">
      <c r="A436">
        <v>2023</v>
      </c>
      <c r="B436" t="s">
        <v>3823</v>
      </c>
      <c r="C436" t="s">
        <v>3824</v>
      </c>
      <c r="D436" t="s">
        <v>3783</v>
      </c>
      <c r="E436" t="s">
        <v>4595</v>
      </c>
      <c r="F436" s="9">
        <v>30.66</v>
      </c>
      <c r="G436" s="9">
        <v>19.899999999999999</v>
      </c>
      <c r="H436" s="10">
        <v>6.09</v>
      </c>
      <c r="I436" s="10">
        <v>2.4500000000000002</v>
      </c>
      <c r="J436">
        <v>15</v>
      </c>
      <c r="K436"/>
    </row>
    <row r="437" spans="1:11">
      <c r="A437">
        <v>2024</v>
      </c>
      <c r="B437" t="s">
        <v>3823</v>
      </c>
      <c r="C437" t="s">
        <v>3824</v>
      </c>
      <c r="D437" t="s">
        <v>3783</v>
      </c>
      <c r="E437" t="s">
        <v>4595</v>
      </c>
      <c r="F437" s="9">
        <v>32.67</v>
      </c>
      <c r="G437" s="9">
        <v>17</v>
      </c>
      <c r="H437" s="10">
        <v>5.55</v>
      </c>
      <c r="I437" s="10">
        <v>2.61</v>
      </c>
      <c r="J437">
        <v>15</v>
      </c>
      <c r="K437"/>
    </row>
    <row r="438" spans="1:11">
      <c r="A438">
        <v>2025</v>
      </c>
      <c r="B438" t="s">
        <v>3823</v>
      </c>
      <c r="C438" t="s">
        <v>3824</v>
      </c>
      <c r="D438" t="s">
        <v>3783</v>
      </c>
      <c r="E438" t="s">
        <v>4595</v>
      </c>
      <c r="F438" s="9">
        <v>34.44</v>
      </c>
      <c r="G438" s="9">
        <v>20.2</v>
      </c>
      <c r="H438" s="10">
        <v>6.95</v>
      </c>
      <c r="I438" s="10">
        <v>2.76</v>
      </c>
      <c r="J438">
        <v>15</v>
      </c>
      <c r="K438"/>
    </row>
    <row r="439" spans="1:11">
      <c r="A439">
        <v>2026</v>
      </c>
      <c r="B439" t="s">
        <v>3823</v>
      </c>
      <c r="C439" t="s">
        <v>3824</v>
      </c>
      <c r="D439" t="s">
        <v>3783</v>
      </c>
      <c r="E439" t="s">
        <v>4595</v>
      </c>
      <c r="F439" s="9">
        <v>33.07</v>
      </c>
      <c r="G439" s="9">
        <v>14.1</v>
      </c>
      <c r="H439" s="10">
        <v>4.67</v>
      </c>
      <c r="I439" s="10">
        <v>2.65</v>
      </c>
      <c r="J439">
        <v>15</v>
      </c>
      <c r="K439"/>
    </row>
    <row r="440" spans="1:11">
      <c r="A440">
        <v>2010</v>
      </c>
      <c r="B440" t="s">
        <v>3825</v>
      </c>
      <c r="C440" t="s">
        <v>3826</v>
      </c>
      <c r="D440" t="s">
        <v>3783</v>
      </c>
      <c r="E440" t="s">
        <v>4591</v>
      </c>
      <c r="F440" s="9">
        <v>35.19</v>
      </c>
      <c r="G440" s="9">
        <v>21.3</v>
      </c>
      <c r="H440" s="10">
        <v>7.51</v>
      </c>
      <c r="I440" s="10">
        <v>4.22</v>
      </c>
      <c r="J440">
        <v>62</v>
      </c>
      <c r="K440"/>
    </row>
    <row r="441" spans="1:11">
      <c r="A441">
        <v>2011</v>
      </c>
      <c r="B441" t="s">
        <v>3825</v>
      </c>
      <c r="C441" t="s">
        <v>3826</v>
      </c>
      <c r="D441" t="s">
        <v>3783</v>
      </c>
      <c r="E441" t="s">
        <v>4591</v>
      </c>
      <c r="F441" s="9">
        <v>32.14</v>
      </c>
      <c r="G441" s="9">
        <v>21.9</v>
      </c>
      <c r="H441" s="10">
        <v>7.04</v>
      </c>
      <c r="I441" s="10">
        <v>3.86</v>
      </c>
      <c r="J441">
        <v>61</v>
      </c>
      <c r="K441"/>
    </row>
    <row r="442" spans="1:11">
      <c r="A442">
        <v>2012</v>
      </c>
      <c r="B442" t="s">
        <v>3825</v>
      </c>
      <c r="C442" t="s">
        <v>3826</v>
      </c>
      <c r="D442" t="s">
        <v>3783</v>
      </c>
      <c r="E442" t="s">
        <v>4591</v>
      </c>
      <c r="F442" s="9">
        <v>29.48</v>
      </c>
      <c r="G442" s="9">
        <v>24.8</v>
      </c>
      <c r="H442" s="10">
        <v>7.32</v>
      </c>
      <c r="I442" s="10">
        <v>3.54</v>
      </c>
      <c r="J442">
        <v>59</v>
      </c>
      <c r="K442"/>
    </row>
    <row r="443" spans="1:11">
      <c r="A443">
        <v>2013</v>
      </c>
      <c r="B443" t="s">
        <v>3825</v>
      </c>
      <c r="C443" t="s">
        <v>3826</v>
      </c>
      <c r="D443" t="s">
        <v>3783</v>
      </c>
      <c r="E443" t="s">
        <v>4591</v>
      </c>
      <c r="F443" s="9">
        <v>25.46</v>
      </c>
      <c r="G443" s="9">
        <v>18.5</v>
      </c>
      <c r="H443" s="10">
        <v>4.71</v>
      </c>
      <c r="I443" s="10">
        <v>3.05</v>
      </c>
      <c r="J443">
        <v>57</v>
      </c>
      <c r="K443"/>
    </row>
    <row r="444" spans="1:11">
      <c r="A444">
        <v>2014</v>
      </c>
      <c r="B444" t="s">
        <v>3825</v>
      </c>
      <c r="C444" t="s">
        <v>3826</v>
      </c>
      <c r="D444" t="s">
        <v>3783</v>
      </c>
      <c r="E444" t="s">
        <v>4591</v>
      </c>
      <c r="F444" s="9">
        <v>22.61</v>
      </c>
      <c r="G444" s="9">
        <v>22.9</v>
      </c>
      <c r="H444" s="10">
        <v>5.17</v>
      </c>
      <c r="I444" s="10">
        <v>2.71</v>
      </c>
      <c r="J444">
        <v>55</v>
      </c>
      <c r="K444"/>
    </row>
    <row r="445" spans="1:11">
      <c r="A445">
        <v>2015</v>
      </c>
      <c r="B445" t="s">
        <v>3825</v>
      </c>
      <c r="C445" t="s">
        <v>3826</v>
      </c>
      <c r="D445" t="s">
        <v>3783</v>
      </c>
      <c r="E445" t="s">
        <v>4591</v>
      </c>
      <c r="F445" s="9">
        <v>21.18</v>
      </c>
      <c r="G445" s="9">
        <v>20.7</v>
      </c>
      <c r="H445" s="10">
        <v>4.38</v>
      </c>
      <c r="I445" s="10">
        <v>2.54</v>
      </c>
      <c r="J445">
        <v>54</v>
      </c>
      <c r="K445"/>
    </row>
    <row r="446" spans="1:11">
      <c r="A446">
        <v>2016</v>
      </c>
      <c r="B446" t="s">
        <v>3825</v>
      </c>
      <c r="C446" t="s">
        <v>3826</v>
      </c>
      <c r="D446" t="s">
        <v>3783</v>
      </c>
      <c r="E446" t="s">
        <v>4591</v>
      </c>
      <c r="F446" s="9">
        <v>22.08</v>
      </c>
      <c r="G446" s="9">
        <v>16.899999999999999</v>
      </c>
      <c r="H446" s="10">
        <v>3.73</v>
      </c>
      <c r="I446" s="10">
        <v>2.65</v>
      </c>
      <c r="J446">
        <v>54</v>
      </c>
      <c r="K446"/>
    </row>
    <row r="447" spans="1:11">
      <c r="A447">
        <v>2017</v>
      </c>
      <c r="B447" t="s">
        <v>3825</v>
      </c>
      <c r="C447" t="s">
        <v>3826</v>
      </c>
      <c r="D447" t="s">
        <v>3783</v>
      </c>
      <c r="E447" t="s">
        <v>4591</v>
      </c>
      <c r="F447" s="9">
        <v>26.53</v>
      </c>
      <c r="G447" s="9">
        <v>20.3</v>
      </c>
      <c r="H447" s="10">
        <v>5.39</v>
      </c>
      <c r="I447" s="10">
        <v>3.18</v>
      </c>
      <c r="J447">
        <v>57</v>
      </c>
      <c r="K447"/>
    </row>
    <row r="448" spans="1:11">
      <c r="A448">
        <v>2018</v>
      </c>
      <c r="B448" t="s">
        <v>3825</v>
      </c>
      <c r="C448" t="s">
        <v>3826</v>
      </c>
      <c r="D448" t="s">
        <v>3783</v>
      </c>
      <c r="E448" t="s">
        <v>4591</v>
      </c>
      <c r="F448" s="9">
        <v>30.23</v>
      </c>
      <c r="G448" s="9">
        <v>22.1</v>
      </c>
      <c r="H448" s="10">
        <v>6.69</v>
      </c>
      <c r="I448" s="10">
        <v>3.63</v>
      </c>
      <c r="J448">
        <v>60</v>
      </c>
      <c r="K448"/>
    </row>
    <row r="449" spans="1:11">
      <c r="A449">
        <v>2019</v>
      </c>
      <c r="B449" t="s">
        <v>3825</v>
      </c>
      <c r="C449" t="s">
        <v>3826</v>
      </c>
      <c r="D449" t="s">
        <v>3783</v>
      </c>
      <c r="E449" t="s">
        <v>4591</v>
      </c>
      <c r="F449" s="9">
        <v>32.299999999999997</v>
      </c>
      <c r="G449" s="9">
        <v>25.1</v>
      </c>
      <c r="H449" s="10">
        <v>8.1199999999999992</v>
      </c>
      <c r="I449" s="10">
        <v>3.88</v>
      </c>
      <c r="J449">
        <v>61</v>
      </c>
      <c r="K449"/>
    </row>
    <row r="450" spans="1:11">
      <c r="A450">
        <v>2020</v>
      </c>
      <c r="B450" t="s">
        <v>3825</v>
      </c>
      <c r="C450" t="s">
        <v>3826</v>
      </c>
      <c r="D450" t="s">
        <v>3783</v>
      </c>
      <c r="E450" t="s">
        <v>4591</v>
      </c>
      <c r="F450" s="9">
        <v>33.909999999999997</v>
      </c>
      <c r="G450" s="9">
        <v>19.399999999999999</v>
      </c>
      <c r="H450" s="10">
        <v>6.58</v>
      </c>
      <c r="I450" s="10">
        <v>4.07</v>
      </c>
      <c r="J450">
        <v>62</v>
      </c>
      <c r="K450"/>
    </row>
    <row r="451" spans="1:11">
      <c r="A451">
        <v>2021</v>
      </c>
      <c r="B451" t="s">
        <v>3825</v>
      </c>
      <c r="C451" t="s">
        <v>3826</v>
      </c>
      <c r="D451" t="s">
        <v>3783</v>
      </c>
      <c r="E451" t="s">
        <v>4591</v>
      </c>
      <c r="F451" s="9">
        <v>39.72</v>
      </c>
      <c r="G451" s="9">
        <v>17.399999999999999</v>
      </c>
      <c r="H451" s="10">
        <v>6.91</v>
      </c>
      <c r="I451" s="10">
        <v>4.7699999999999996</v>
      </c>
      <c r="J451">
        <v>65</v>
      </c>
      <c r="K451"/>
    </row>
    <row r="452" spans="1:11">
      <c r="A452">
        <v>2022</v>
      </c>
      <c r="B452" t="s">
        <v>3825</v>
      </c>
      <c r="C452" t="s">
        <v>3826</v>
      </c>
      <c r="D452" t="s">
        <v>3783</v>
      </c>
      <c r="E452" t="s">
        <v>4591</v>
      </c>
      <c r="F452" s="9">
        <v>44.21</v>
      </c>
      <c r="G452" s="9">
        <v>22.3</v>
      </c>
      <c r="H452" s="10">
        <v>9.86</v>
      </c>
      <c r="I452" s="10">
        <v>5.31</v>
      </c>
      <c r="J452">
        <v>67</v>
      </c>
      <c r="K452"/>
    </row>
    <row r="453" spans="1:11">
      <c r="A453">
        <v>2023</v>
      </c>
      <c r="B453" t="s">
        <v>3825</v>
      </c>
      <c r="C453" t="s">
        <v>3826</v>
      </c>
      <c r="D453" t="s">
        <v>3783</v>
      </c>
      <c r="E453" t="s">
        <v>4591</v>
      </c>
      <c r="F453" s="9">
        <v>39.92</v>
      </c>
      <c r="G453" s="9">
        <v>26.8</v>
      </c>
      <c r="H453" s="10">
        <v>10.69</v>
      </c>
      <c r="I453" s="10">
        <v>4.79</v>
      </c>
      <c r="J453">
        <v>65</v>
      </c>
      <c r="K453"/>
    </row>
    <row r="454" spans="1:11">
      <c r="A454">
        <v>2024</v>
      </c>
      <c r="B454" t="s">
        <v>3825</v>
      </c>
      <c r="C454" t="s">
        <v>3826</v>
      </c>
      <c r="D454" t="s">
        <v>3783</v>
      </c>
      <c r="E454" t="s">
        <v>4591</v>
      </c>
      <c r="F454" s="9">
        <v>41.13</v>
      </c>
      <c r="G454" s="9">
        <v>28.2</v>
      </c>
      <c r="H454" s="10">
        <v>11.59</v>
      </c>
      <c r="I454" s="10">
        <v>4.9400000000000004</v>
      </c>
      <c r="J454">
        <v>65</v>
      </c>
      <c r="K454"/>
    </row>
    <row r="455" spans="1:11">
      <c r="A455">
        <v>2025</v>
      </c>
      <c r="B455" t="s">
        <v>3825</v>
      </c>
      <c r="C455" t="s">
        <v>3826</v>
      </c>
      <c r="D455" t="s">
        <v>3783</v>
      </c>
      <c r="E455" t="s">
        <v>4591</v>
      </c>
      <c r="F455" s="9">
        <v>43.16</v>
      </c>
      <c r="G455" s="9">
        <v>18.2</v>
      </c>
      <c r="H455" s="10">
        <v>7.84</v>
      </c>
      <c r="I455" s="10">
        <v>5.18</v>
      </c>
      <c r="J455">
        <v>66</v>
      </c>
      <c r="K455"/>
    </row>
    <row r="456" spans="1:11">
      <c r="A456">
        <v>2026</v>
      </c>
      <c r="B456" t="s">
        <v>3825</v>
      </c>
      <c r="C456" t="s">
        <v>3826</v>
      </c>
      <c r="D456" t="s">
        <v>3783</v>
      </c>
      <c r="E456" t="s">
        <v>4591</v>
      </c>
      <c r="F456" s="9">
        <v>45.09</v>
      </c>
      <c r="G456" s="9">
        <v>18.8</v>
      </c>
      <c r="H456" s="10">
        <v>8.4600000000000009</v>
      </c>
      <c r="I456" s="10">
        <v>5.41</v>
      </c>
      <c r="J456">
        <v>67</v>
      </c>
      <c r="K456"/>
    </row>
    <row r="457" spans="1:11">
      <c r="A457">
        <v>2010</v>
      </c>
      <c r="B457" t="s">
        <v>3827</v>
      </c>
      <c r="C457" t="s">
        <v>3828</v>
      </c>
      <c r="D457" t="s">
        <v>3783</v>
      </c>
      <c r="E457" t="s">
        <v>4595</v>
      </c>
      <c r="F457" s="9">
        <v>7.14</v>
      </c>
      <c r="G457" s="9">
        <v>21.2</v>
      </c>
      <c r="H457" s="10">
        <v>1.51</v>
      </c>
      <c r="I457" s="10">
        <v>0.56999999999999995</v>
      </c>
      <c r="J457">
        <v>9</v>
      </c>
      <c r="K457"/>
    </row>
    <row r="458" spans="1:11">
      <c r="A458">
        <v>2011</v>
      </c>
      <c r="B458" t="s">
        <v>3827</v>
      </c>
      <c r="C458" t="s">
        <v>3828</v>
      </c>
      <c r="D458" t="s">
        <v>3783</v>
      </c>
      <c r="E458" t="s">
        <v>4595</v>
      </c>
      <c r="F458" s="9">
        <v>7.95</v>
      </c>
      <c r="G458" s="9">
        <v>18.100000000000001</v>
      </c>
      <c r="H458" s="10">
        <v>1.44</v>
      </c>
      <c r="I458" s="10">
        <v>0.64</v>
      </c>
      <c r="J458">
        <v>10</v>
      </c>
      <c r="K458"/>
    </row>
    <row r="459" spans="1:11">
      <c r="A459">
        <v>2012</v>
      </c>
      <c r="B459" t="s">
        <v>3827</v>
      </c>
      <c r="C459" t="s">
        <v>3828</v>
      </c>
      <c r="D459" t="s">
        <v>3783</v>
      </c>
      <c r="E459" t="s">
        <v>4595</v>
      </c>
      <c r="F459" s="9">
        <v>8.59</v>
      </c>
      <c r="G459" s="9">
        <v>23.5</v>
      </c>
      <c r="H459" s="10">
        <v>2.02</v>
      </c>
      <c r="I459" s="10">
        <v>0.69</v>
      </c>
      <c r="J459">
        <v>10</v>
      </c>
      <c r="K459"/>
    </row>
    <row r="460" spans="1:11">
      <c r="A460">
        <v>2013</v>
      </c>
      <c r="B460" t="s">
        <v>3827</v>
      </c>
      <c r="C460" t="s">
        <v>3828</v>
      </c>
      <c r="D460" t="s">
        <v>3783</v>
      </c>
      <c r="E460" t="s">
        <v>4595</v>
      </c>
      <c r="F460" s="9">
        <v>9.25</v>
      </c>
      <c r="G460" s="9">
        <v>21.6</v>
      </c>
      <c r="H460" s="10">
        <v>2</v>
      </c>
      <c r="I460" s="10">
        <v>0.74</v>
      </c>
      <c r="J460">
        <v>10</v>
      </c>
      <c r="K460"/>
    </row>
    <row r="461" spans="1:11">
      <c r="A461">
        <v>2014</v>
      </c>
      <c r="B461" t="s">
        <v>3827</v>
      </c>
      <c r="C461" t="s">
        <v>3828</v>
      </c>
      <c r="D461" t="s">
        <v>3783</v>
      </c>
      <c r="E461" t="s">
        <v>4595</v>
      </c>
      <c r="F461" s="9">
        <v>9.77</v>
      </c>
      <c r="G461" s="9">
        <v>14.4</v>
      </c>
      <c r="H461" s="10">
        <v>1.4</v>
      </c>
      <c r="I461" s="10">
        <v>0.78</v>
      </c>
      <c r="J461">
        <v>10</v>
      </c>
      <c r="K461"/>
    </row>
    <row r="462" spans="1:11">
      <c r="A462">
        <v>2015</v>
      </c>
      <c r="B462" t="s">
        <v>3827</v>
      </c>
      <c r="C462" t="s">
        <v>3828</v>
      </c>
      <c r="D462" t="s">
        <v>3783</v>
      </c>
      <c r="E462" t="s">
        <v>4595</v>
      </c>
      <c r="F462" s="9">
        <v>9.81</v>
      </c>
      <c r="G462" s="9">
        <v>17.399999999999999</v>
      </c>
      <c r="H462" s="10">
        <v>1.71</v>
      </c>
      <c r="I462" s="10">
        <v>0.78</v>
      </c>
      <c r="J462">
        <v>10</v>
      </c>
      <c r="K462"/>
    </row>
    <row r="463" spans="1:11">
      <c r="A463">
        <v>2016</v>
      </c>
      <c r="B463" t="s">
        <v>3827</v>
      </c>
      <c r="C463" t="s">
        <v>3828</v>
      </c>
      <c r="D463" t="s">
        <v>3783</v>
      </c>
      <c r="E463" t="s">
        <v>4595</v>
      </c>
      <c r="F463" s="9">
        <v>11.17</v>
      </c>
      <c r="G463" s="9">
        <v>18.3</v>
      </c>
      <c r="H463" s="10">
        <v>2.04</v>
      </c>
      <c r="I463" s="10">
        <v>0.89</v>
      </c>
      <c r="J463">
        <v>11</v>
      </c>
      <c r="K463"/>
    </row>
    <row r="464" spans="1:11">
      <c r="A464">
        <v>2017</v>
      </c>
      <c r="B464" t="s">
        <v>3827</v>
      </c>
      <c r="C464" t="s">
        <v>3828</v>
      </c>
      <c r="D464" t="s">
        <v>3783</v>
      </c>
      <c r="E464" t="s">
        <v>4595</v>
      </c>
      <c r="F464" s="9">
        <v>12.31</v>
      </c>
      <c r="G464" s="9">
        <v>25.6</v>
      </c>
      <c r="H464" s="10">
        <v>3.16</v>
      </c>
      <c r="I464" s="10">
        <v>0.98</v>
      </c>
      <c r="J464">
        <v>11</v>
      </c>
      <c r="K464"/>
    </row>
    <row r="465" spans="1:11">
      <c r="A465">
        <v>2018</v>
      </c>
      <c r="B465" t="s">
        <v>3827</v>
      </c>
      <c r="C465" t="s">
        <v>3828</v>
      </c>
      <c r="D465" t="s">
        <v>3783</v>
      </c>
      <c r="E465" t="s">
        <v>4595</v>
      </c>
      <c r="F465" s="9">
        <v>13.53</v>
      </c>
      <c r="G465" s="9">
        <v>21.2</v>
      </c>
      <c r="H465" s="10">
        <v>2.87</v>
      </c>
      <c r="I465" s="10">
        <v>1.08</v>
      </c>
      <c r="J465">
        <v>11</v>
      </c>
      <c r="K465"/>
    </row>
    <row r="466" spans="1:11">
      <c r="A466">
        <v>2019</v>
      </c>
      <c r="B466" t="s">
        <v>3827</v>
      </c>
      <c r="C466" t="s">
        <v>3828</v>
      </c>
      <c r="D466" t="s">
        <v>3783</v>
      </c>
      <c r="E466" t="s">
        <v>4595</v>
      </c>
      <c r="F466" s="9">
        <v>13.9</v>
      </c>
      <c r="G466" s="9">
        <v>20.2</v>
      </c>
      <c r="H466" s="10">
        <v>2.81</v>
      </c>
      <c r="I466" s="10">
        <v>1.1100000000000001</v>
      </c>
      <c r="J466">
        <v>11</v>
      </c>
      <c r="K466"/>
    </row>
    <row r="467" spans="1:11">
      <c r="A467">
        <v>2020</v>
      </c>
      <c r="B467" t="s">
        <v>3827</v>
      </c>
      <c r="C467" t="s">
        <v>3828</v>
      </c>
      <c r="D467" t="s">
        <v>3783</v>
      </c>
      <c r="E467" t="s">
        <v>4595</v>
      </c>
      <c r="F467" s="9">
        <v>14.4</v>
      </c>
      <c r="G467" s="9">
        <v>21.3</v>
      </c>
      <c r="H467" s="10">
        <v>3.07</v>
      </c>
      <c r="I467" s="10">
        <v>1.1499999999999999</v>
      </c>
      <c r="J467">
        <v>12</v>
      </c>
      <c r="K467"/>
    </row>
    <row r="468" spans="1:11">
      <c r="A468">
        <v>2021</v>
      </c>
      <c r="B468" t="s">
        <v>3827</v>
      </c>
      <c r="C468" t="s">
        <v>3828</v>
      </c>
      <c r="D468" t="s">
        <v>3783</v>
      </c>
      <c r="E468" t="s">
        <v>4595</v>
      </c>
      <c r="F468" s="9">
        <v>16.98</v>
      </c>
      <c r="G468" s="9">
        <v>24.9</v>
      </c>
      <c r="H468" s="10">
        <v>4.24</v>
      </c>
      <c r="I468" s="10">
        <v>1.36</v>
      </c>
      <c r="J468">
        <v>12</v>
      </c>
      <c r="K468"/>
    </row>
    <row r="469" spans="1:11">
      <c r="A469">
        <v>2022</v>
      </c>
      <c r="B469" t="s">
        <v>3827</v>
      </c>
      <c r="C469" t="s">
        <v>3828</v>
      </c>
      <c r="D469" t="s">
        <v>3783</v>
      </c>
      <c r="E469" t="s">
        <v>4595</v>
      </c>
      <c r="F469" s="9">
        <v>18.57</v>
      </c>
      <c r="G469" s="9">
        <v>21.8</v>
      </c>
      <c r="H469" s="10">
        <v>4.04</v>
      </c>
      <c r="I469" s="10">
        <v>1.49</v>
      </c>
      <c r="J469">
        <v>12</v>
      </c>
      <c r="K469"/>
    </row>
    <row r="470" spans="1:11">
      <c r="A470">
        <v>2023</v>
      </c>
      <c r="B470" t="s">
        <v>3827</v>
      </c>
      <c r="C470" t="s">
        <v>3828</v>
      </c>
      <c r="D470" t="s">
        <v>3783</v>
      </c>
      <c r="E470" t="s">
        <v>4595</v>
      </c>
      <c r="F470" s="9">
        <v>19.8</v>
      </c>
      <c r="G470" s="9">
        <v>19.7</v>
      </c>
      <c r="H470" s="10">
        <v>3.91</v>
      </c>
      <c r="I470" s="10">
        <v>1.58</v>
      </c>
      <c r="J470">
        <v>13</v>
      </c>
      <c r="K470"/>
    </row>
    <row r="471" spans="1:11">
      <c r="A471">
        <v>2024</v>
      </c>
      <c r="B471" t="s">
        <v>3827</v>
      </c>
      <c r="C471" t="s">
        <v>3828</v>
      </c>
      <c r="D471" t="s">
        <v>3783</v>
      </c>
      <c r="E471" t="s">
        <v>4595</v>
      </c>
      <c r="F471" s="9">
        <v>23.25</v>
      </c>
      <c r="G471" s="9">
        <v>22.6</v>
      </c>
      <c r="H471" s="10">
        <v>5.25</v>
      </c>
      <c r="I471" s="10">
        <v>1.86</v>
      </c>
      <c r="J471">
        <v>13</v>
      </c>
      <c r="K471"/>
    </row>
    <row r="472" spans="1:11">
      <c r="A472">
        <v>2025</v>
      </c>
      <c r="B472" t="s">
        <v>3827</v>
      </c>
      <c r="C472" t="s">
        <v>3828</v>
      </c>
      <c r="D472" t="s">
        <v>3783</v>
      </c>
      <c r="E472" t="s">
        <v>4595</v>
      </c>
      <c r="F472" s="9">
        <v>24.45</v>
      </c>
      <c r="G472" s="9">
        <v>22.7</v>
      </c>
      <c r="H472" s="10">
        <v>5.54</v>
      </c>
      <c r="I472" s="10">
        <v>1.96</v>
      </c>
      <c r="J472">
        <v>14</v>
      </c>
      <c r="K472"/>
    </row>
    <row r="473" spans="1:11">
      <c r="A473">
        <v>2026</v>
      </c>
      <c r="B473" t="s">
        <v>3827</v>
      </c>
      <c r="C473" t="s">
        <v>3828</v>
      </c>
      <c r="D473" t="s">
        <v>3783</v>
      </c>
      <c r="E473" t="s">
        <v>4595</v>
      </c>
      <c r="F473" s="9">
        <v>26.39</v>
      </c>
      <c r="G473" s="9">
        <v>23.6</v>
      </c>
      <c r="H473" s="10">
        <v>6.23</v>
      </c>
      <c r="I473" s="10">
        <v>2.11</v>
      </c>
      <c r="J473">
        <v>14</v>
      </c>
      <c r="K473"/>
    </row>
    <row r="474" spans="1:11">
      <c r="A474">
        <v>2010</v>
      </c>
      <c r="B474" t="s">
        <v>3829</v>
      </c>
      <c r="C474" t="s">
        <v>3830</v>
      </c>
      <c r="D474" t="s">
        <v>3783</v>
      </c>
      <c r="E474" t="s">
        <v>4596</v>
      </c>
      <c r="F474" s="9">
        <v>13.32</v>
      </c>
      <c r="G474" s="9">
        <v>20.9</v>
      </c>
      <c r="H474" s="10">
        <v>2.79</v>
      </c>
      <c r="I474" s="10">
        <v>1.33</v>
      </c>
      <c r="J474">
        <v>7</v>
      </c>
      <c r="K474"/>
    </row>
    <row r="475" spans="1:11">
      <c r="A475">
        <v>2011</v>
      </c>
      <c r="B475" t="s">
        <v>3829</v>
      </c>
      <c r="C475" t="s">
        <v>3830</v>
      </c>
      <c r="D475" t="s">
        <v>3783</v>
      </c>
      <c r="E475" t="s">
        <v>4596</v>
      </c>
      <c r="F475" s="9">
        <v>14.83</v>
      </c>
      <c r="G475" s="9">
        <v>13.2</v>
      </c>
      <c r="H475" s="10">
        <v>1.96</v>
      </c>
      <c r="I475" s="10">
        <v>1.48</v>
      </c>
      <c r="J475">
        <v>8</v>
      </c>
      <c r="K475"/>
    </row>
    <row r="476" spans="1:11">
      <c r="A476">
        <v>2012</v>
      </c>
      <c r="B476" t="s">
        <v>3829</v>
      </c>
      <c r="C476" t="s">
        <v>3830</v>
      </c>
      <c r="D476" t="s">
        <v>3783</v>
      </c>
      <c r="E476" t="s">
        <v>4596</v>
      </c>
      <c r="F476" s="9">
        <v>16.350000000000001</v>
      </c>
      <c r="G476" s="9">
        <v>11.1</v>
      </c>
      <c r="H476" s="10">
        <v>1.81</v>
      </c>
      <c r="I476" s="10">
        <v>1.63</v>
      </c>
      <c r="J476">
        <v>8</v>
      </c>
      <c r="K476"/>
    </row>
    <row r="477" spans="1:11">
      <c r="A477">
        <v>2013</v>
      </c>
      <c r="B477" t="s">
        <v>3829</v>
      </c>
      <c r="C477" t="s">
        <v>3830</v>
      </c>
      <c r="D477" t="s">
        <v>3783</v>
      </c>
      <c r="E477" t="s">
        <v>4596</v>
      </c>
      <c r="F477" s="9">
        <v>16.75</v>
      </c>
      <c r="G477" s="9">
        <v>23.4</v>
      </c>
      <c r="H477" s="10">
        <v>3.91</v>
      </c>
      <c r="I477" s="10">
        <v>1.68</v>
      </c>
      <c r="J477">
        <v>8</v>
      </c>
      <c r="K477"/>
    </row>
    <row r="478" spans="1:11">
      <c r="A478">
        <v>2014</v>
      </c>
      <c r="B478" t="s">
        <v>3829</v>
      </c>
      <c r="C478" t="s">
        <v>3830</v>
      </c>
      <c r="D478" t="s">
        <v>3783</v>
      </c>
      <c r="E478" t="s">
        <v>4596</v>
      </c>
      <c r="F478" s="9">
        <v>19.399999999999999</v>
      </c>
      <c r="G478" s="9">
        <v>18.5</v>
      </c>
      <c r="H478" s="10">
        <v>3.59</v>
      </c>
      <c r="I478" s="10">
        <v>1.94</v>
      </c>
      <c r="J478">
        <v>8</v>
      </c>
      <c r="K478"/>
    </row>
    <row r="479" spans="1:11">
      <c r="A479">
        <v>2015</v>
      </c>
      <c r="B479" t="s">
        <v>3829</v>
      </c>
      <c r="C479" t="s">
        <v>3830</v>
      </c>
      <c r="D479" t="s">
        <v>3783</v>
      </c>
      <c r="E479" t="s">
        <v>4596</v>
      </c>
      <c r="F479" s="9">
        <v>20.16</v>
      </c>
      <c r="G479" s="9">
        <v>26.1</v>
      </c>
      <c r="H479" s="10">
        <v>5.27</v>
      </c>
      <c r="I479" s="10">
        <v>2.02</v>
      </c>
      <c r="J479">
        <v>8</v>
      </c>
      <c r="K479"/>
    </row>
    <row r="480" spans="1:11">
      <c r="A480">
        <v>2016</v>
      </c>
      <c r="B480" t="s">
        <v>3829</v>
      </c>
      <c r="C480" t="s">
        <v>3830</v>
      </c>
      <c r="D480" t="s">
        <v>3783</v>
      </c>
      <c r="E480" t="s">
        <v>4596</v>
      </c>
      <c r="F480" s="9">
        <v>20.07</v>
      </c>
      <c r="G480" s="9">
        <v>28.7</v>
      </c>
      <c r="H480" s="10">
        <v>5.77</v>
      </c>
      <c r="I480" s="10">
        <v>2.0099999999999998</v>
      </c>
      <c r="J480">
        <v>8</v>
      </c>
      <c r="K480"/>
    </row>
    <row r="481" spans="1:11">
      <c r="A481">
        <v>2017</v>
      </c>
      <c r="B481" t="s">
        <v>3829</v>
      </c>
      <c r="C481" t="s">
        <v>3830</v>
      </c>
      <c r="D481" t="s">
        <v>3783</v>
      </c>
      <c r="E481" t="s">
        <v>4596</v>
      </c>
      <c r="F481" s="9">
        <v>20.13</v>
      </c>
      <c r="G481" s="9">
        <v>23.2</v>
      </c>
      <c r="H481" s="10">
        <v>4.68</v>
      </c>
      <c r="I481" s="10">
        <v>2.0099999999999998</v>
      </c>
      <c r="J481">
        <v>8</v>
      </c>
      <c r="K481"/>
    </row>
    <row r="482" spans="1:11">
      <c r="A482">
        <v>2018</v>
      </c>
      <c r="B482" t="s">
        <v>3829</v>
      </c>
      <c r="C482" t="s">
        <v>3830</v>
      </c>
      <c r="D482" t="s">
        <v>3783</v>
      </c>
      <c r="E482" t="s">
        <v>4596</v>
      </c>
      <c r="F482" s="9">
        <v>20.89</v>
      </c>
      <c r="G482" s="9">
        <v>22.4</v>
      </c>
      <c r="H482" s="10">
        <v>4.68</v>
      </c>
      <c r="I482" s="10">
        <v>2.09</v>
      </c>
      <c r="J482">
        <v>8</v>
      </c>
      <c r="K482"/>
    </row>
    <row r="483" spans="1:11">
      <c r="A483">
        <v>2019</v>
      </c>
      <c r="B483" t="s">
        <v>3829</v>
      </c>
      <c r="C483" t="s">
        <v>3830</v>
      </c>
      <c r="D483" t="s">
        <v>3783</v>
      </c>
      <c r="E483" t="s">
        <v>4596</v>
      </c>
      <c r="F483" s="9">
        <v>20.47</v>
      </c>
      <c r="G483" s="9">
        <v>21.7</v>
      </c>
      <c r="H483" s="10">
        <v>4.4400000000000004</v>
      </c>
      <c r="I483" s="10">
        <v>2.0499999999999998</v>
      </c>
      <c r="J483">
        <v>8</v>
      </c>
      <c r="K483"/>
    </row>
    <row r="484" spans="1:11">
      <c r="A484">
        <v>2020</v>
      </c>
      <c r="B484" t="s">
        <v>3829</v>
      </c>
      <c r="C484" t="s">
        <v>3830</v>
      </c>
      <c r="D484" t="s">
        <v>3783</v>
      </c>
      <c r="E484" t="s">
        <v>4596</v>
      </c>
      <c r="F484" s="9">
        <v>22.28</v>
      </c>
      <c r="G484" s="9">
        <v>17.899999999999999</v>
      </c>
      <c r="H484" s="10">
        <v>3.99</v>
      </c>
      <c r="I484" s="10">
        <v>2.23</v>
      </c>
      <c r="J484">
        <v>9</v>
      </c>
      <c r="K484"/>
    </row>
    <row r="485" spans="1:11">
      <c r="A485">
        <v>2021</v>
      </c>
      <c r="B485" t="s">
        <v>3829</v>
      </c>
      <c r="C485" t="s">
        <v>3830</v>
      </c>
      <c r="D485" t="s">
        <v>3783</v>
      </c>
      <c r="E485" t="s">
        <v>4596</v>
      </c>
      <c r="F485" s="9">
        <v>26.69</v>
      </c>
      <c r="G485" s="9">
        <v>19.8</v>
      </c>
      <c r="H485" s="10">
        <v>5.28</v>
      </c>
      <c r="I485" s="10">
        <v>2.67</v>
      </c>
      <c r="J485">
        <v>9</v>
      </c>
      <c r="K485"/>
    </row>
    <row r="486" spans="1:11">
      <c r="A486">
        <v>2022</v>
      </c>
      <c r="B486" t="s">
        <v>3829</v>
      </c>
      <c r="C486" t="s">
        <v>3830</v>
      </c>
      <c r="D486" t="s">
        <v>3783</v>
      </c>
      <c r="E486" t="s">
        <v>4596</v>
      </c>
      <c r="F486" s="9">
        <v>32.39</v>
      </c>
      <c r="G486" s="9">
        <v>22.1</v>
      </c>
      <c r="H486" s="10">
        <v>7.16</v>
      </c>
      <c r="I486" s="10">
        <v>3.24</v>
      </c>
      <c r="J486">
        <v>10</v>
      </c>
      <c r="K486"/>
    </row>
    <row r="487" spans="1:11">
      <c r="A487">
        <v>2023</v>
      </c>
      <c r="B487" t="s">
        <v>3829</v>
      </c>
      <c r="C487" t="s">
        <v>3830</v>
      </c>
      <c r="D487" t="s">
        <v>3783</v>
      </c>
      <c r="E487" t="s">
        <v>4596</v>
      </c>
      <c r="F487" s="9">
        <v>23.7</v>
      </c>
      <c r="G487" s="9">
        <v>21.7</v>
      </c>
      <c r="H487" s="10">
        <v>5.14</v>
      </c>
      <c r="I487" s="10">
        <v>2.37</v>
      </c>
      <c r="J487">
        <v>9</v>
      </c>
      <c r="K487"/>
    </row>
    <row r="488" spans="1:11">
      <c r="A488">
        <v>2024</v>
      </c>
      <c r="B488" t="s">
        <v>3829</v>
      </c>
      <c r="C488" t="s">
        <v>3830</v>
      </c>
      <c r="D488" t="s">
        <v>3783</v>
      </c>
      <c r="E488" t="s">
        <v>4596</v>
      </c>
      <c r="F488" s="9">
        <v>24.16</v>
      </c>
      <c r="G488" s="9">
        <v>23.9</v>
      </c>
      <c r="H488" s="10">
        <v>5.76</v>
      </c>
      <c r="I488" s="10">
        <v>2.42</v>
      </c>
      <c r="J488">
        <v>9</v>
      </c>
      <c r="K488"/>
    </row>
    <row r="489" spans="1:11">
      <c r="A489">
        <v>2025</v>
      </c>
      <c r="B489" t="s">
        <v>3829</v>
      </c>
      <c r="C489" t="s">
        <v>3830</v>
      </c>
      <c r="D489" t="s">
        <v>3783</v>
      </c>
      <c r="E489" t="s">
        <v>4596</v>
      </c>
      <c r="F489" s="9">
        <v>25.23</v>
      </c>
      <c r="G489" s="9">
        <v>18.899999999999999</v>
      </c>
      <c r="H489" s="10">
        <v>4.76</v>
      </c>
      <c r="I489" s="10">
        <v>2.52</v>
      </c>
      <c r="J489">
        <v>9</v>
      </c>
      <c r="K489"/>
    </row>
    <row r="490" spans="1:11">
      <c r="A490">
        <v>2026</v>
      </c>
      <c r="B490" t="s">
        <v>3829</v>
      </c>
      <c r="C490" t="s">
        <v>3830</v>
      </c>
      <c r="D490" t="s">
        <v>3783</v>
      </c>
      <c r="E490" t="s">
        <v>4596</v>
      </c>
      <c r="F490" s="9">
        <v>28.94</v>
      </c>
      <c r="G490" s="9">
        <v>20.8</v>
      </c>
      <c r="H490" s="10">
        <v>6.01</v>
      </c>
      <c r="I490" s="10">
        <v>2.89</v>
      </c>
      <c r="J490">
        <v>9</v>
      </c>
      <c r="K49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7D8A-6FBE-4639-A1A4-B2A21CECEDD6}">
  <dimension ref="A3:K45"/>
  <sheetViews>
    <sheetView tabSelected="1" workbookViewId="0">
      <selection activeCell="A46" sqref="A46"/>
    </sheetView>
  </sheetViews>
  <sheetFormatPr defaultRowHeight="14.4"/>
  <cols>
    <col min="1" max="1" width="35" bestFit="1" customWidth="1"/>
    <col min="2" max="2" width="29.21875" bestFit="1" customWidth="1"/>
    <col min="6" max="6" width="19.77734375" bestFit="1" customWidth="1"/>
    <col min="10" max="10" width="19.33203125" customWidth="1"/>
  </cols>
  <sheetData>
    <row r="3" spans="1:11">
      <c r="B3" s="3" t="s">
        <v>4607</v>
      </c>
      <c r="C3" s="3"/>
      <c r="D3" s="3"/>
    </row>
    <row r="4" spans="1:11">
      <c r="B4" s="7"/>
    </row>
    <row r="5" spans="1:11">
      <c r="A5" t="s">
        <v>4606</v>
      </c>
      <c r="B5" s="7">
        <f>COUNTBLANK(biotech_funding9[#All])</f>
        <v>0</v>
      </c>
    </row>
    <row r="6" spans="1:11">
      <c r="A6" t="s">
        <v>4609</v>
      </c>
      <c r="B6" s="7">
        <f>ROWS(_xlfn.UNIQUE(biotech_funding9[deal_id]))</f>
        <v>1208</v>
      </c>
      <c r="J6" s="4"/>
    </row>
    <row r="7" spans="1:11">
      <c r="A7" t="s">
        <v>4608</v>
      </c>
      <c r="B7" s="7">
        <f>COUNTA(biotech_funding9[deal_id])</f>
        <v>1208</v>
      </c>
      <c r="J7" s="5"/>
      <c r="K7" s="5"/>
    </row>
    <row r="8" spans="1:11">
      <c r="A8" t="s">
        <v>4769</v>
      </c>
      <c r="B8" s="7" t="s">
        <v>4770</v>
      </c>
      <c r="J8" s="5"/>
      <c r="K8" s="5"/>
    </row>
    <row r="9" spans="1:11">
      <c r="B9" s="7" t="s">
        <v>4771</v>
      </c>
      <c r="F9" s="4"/>
      <c r="J9" s="5"/>
      <c r="K9" s="5"/>
    </row>
    <row r="10" spans="1:11">
      <c r="A10" t="s">
        <v>4765</v>
      </c>
      <c r="B10" s="7" t="s">
        <v>4772</v>
      </c>
      <c r="F10" s="5"/>
      <c r="J10" s="5"/>
      <c r="K10" s="5"/>
    </row>
    <row r="11" spans="1:11">
      <c r="B11" s="7" t="s">
        <v>4773</v>
      </c>
      <c r="F11" s="5"/>
      <c r="J11" s="5"/>
      <c r="K11" s="5"/>
    </row>
    <row r="12" spans="1:11">
      <c r="A12" t="s">
        <v>4774</v>
      </c>
      <c r="B12" s="7" t="s">
        <v>4775</v>
      </c>
      <c r="F12" s="5"/>
      <c r="J12" s="5"/>
      <c r="K12" s="5"/>
    </row>
    <row r="13" spans="1:11">
      <c r="A13" t="s">
        <v>4776</v>
      </c>
      <c r="B13" s="7" t="s">
        <v>4777</v>
      </c>
      <c r="F13" s="5"/>
      <c r="J13" s="5"/>
      <c r="K13" s="5"/>
    </row>
    <row r="14" spans="1:11">
      <c r="F14" s="5"/>
      <c r="J14" s="5"/>
      <c r="K14" s="5"/>
    </row>
    <row r="15" spans="1:11">
      <c r="F15" s="5"/>
      <c r="J15" s="5"/>
      <c r="K15" s="5"/>
    </row>
    <row r="16" spans="1:11">
      <c r="B16" s="3" t="s">
        <v>4610</v>
      </c>
      <c r="F16" s="5"/>
    </row>
    <row r="17" spans="1:6">
      <c r="B17" s="3"/>
      <c r="F17" s="6"/>
    </row>
    <row r="18" spans="1:6">
      <c r="B18" s="7"/>
      <c r="F18" s="5"/>
    </row>
    <row r="19" spans="1:6">
      <c r="A19" t="s">
        <v>4606</v>
      </c>
      <c r="B19" s="7">
        <v>0</v>
      </c>
      <c r="F19" s="5"/>
    </row>
    <row r="20" spans="1:6">
      <c r="A20" t="s">
        <v>4609</v>
      </c>
      <c r="B20" s="7">
        <v>599</v>
      </c>
    </row>
    <row r="21" spans="1:6">
      <c r="A21" t="s">
        <v>4608</v>
      </c>
      <c r="B21" s="7">
        <v>599</v>
      </c>
    </row>
    <row r="22" spans="1:6">
      <c r="A22" t="s">
        <v>4778</v>
      </c>
      <c r="B22" s="7"/>
    </row>
    <row r="23" spans="1:6">
      <c r="A23" t="s">
        <v>4779</v>
      </c>
      <c r="B23" s="7" t="s">
        <v>4780</v>
      </c>
    </row>
    <row r="24" spans="1:6">
      <c r="B24" s="7"/>
    </row>
    <row r="26" spans="1:6">
      <c r="B26" s="3" t="s">
        <v>4611</v>
      </c>
    </row>
    <row r="28" spans="1:6">
      <c r="A28" t="s">
        <v>4606</v>
      </c>
      <c r="B28" s="7">
        <f>COUNTBLANK(drug_approvals13[approval_id])</f>
        <v>0</v>
      </c>
    </row>
    <row r="29" spans="1:6">
      <c r="A29" t="s">
        <v>4609</v>
      </c>
      <c r="B29" s="7">
        <f>ROWS(_xlfn.UNIQUE(drug_approvals13[approval_id]))</f>
        <v>722</v>
      </c>
    </row>
    <row r="30" spans="1:6">
      <c r="A30" t="s">
        <v>4608</v>
      </c>
      <c r="B30" s="7">
        <f>COUNTA(drug_approvals13[approval_id])</f>
        <v>722</v>
      </c>
    </row>
    <row r="31" spans="1:6">
      <c r="B31" s="7"/>
    </row>
    <row r="32" spans="1:6">
      <c r="B32" s="7"/>
    </row>
    <row r="35" spans="1:2">
      <c r="B35" s="3" t="s">
        <v>4784</v>
      </c>
    </row>
    <row r="36" spans="1:2">
      <c r="A36" t="s">
        <v>4606</v>
      </c>
      <c r="B36">
        <v>0</v>
      </c>
    </row>
    <row r="37" spans="1:2">
      <c r="A37" t="s">
        <v>4785</v>
      </c>
      <c r="B37">
        <v>0</v>
      </c>
    </row>
    <row r="38" spans="1:2">
      <c r="A38" t="s">
        <v>4781</v>
      </c>
      <c r="B38" s="7" t="s">
        <v>4775</v>
      </c>
    </row>
    <row r="39" spans="1:2">
      <c r="A39" t="s">
        <v>4782</v>
      </c>
      <c r="B39" s="7" t="s">
        <v>4783</v>
      </c>
    </row>
    <row r="42" spans="1:2">
      <c r="B42" s="3" t="s">
        <v>4786</v>
      </c>
    </row>
    <row r="43" spans="1:2">
      <c r="A43" t="s">
        <v>4606</v>
      </c>
      <c r="B43">
        <v>0</v>
      </c>
    </row>
    <row r="44" spans="1:2">
      <c r="A44" t="s">
        <v>4787</v>
      </c>
      <c r="B44">
        <v>0</v>
      </c>
    </row>
    <row r="45" spans="1:2">
      <c r="A45" t="s">
        <v>4788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6F35A-AE72-4FEA-A3BD-E6C11C466B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Biotech_funding-1</vt:lpstr>
      <vt:lpstr>Clinical_trails-1</vt:lpstr>
      <vt:lpstr>disease_burden-1</vt:lpstr>
      <vt:lpstr>drug_approvals-1</vt:lpstr>
      <vt:lpstr>pharma_companies_financials-1</vt:lpstr>
      <vt:lpstr>Data_Profiling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 Rocky</dc:creator>
  <cp:lastModifiedBy>Rocky Rocky</cp:lastModifiedBy>
  <dcterms:created xsi:type="dcterms:W3CDTF">2026-08-05T11:34:45Z</dcterms:created>
  <dcterms:modified xsi:type="dcterms:W3CDTF">2026-08-29T13:47:10Z</dcterms:modified>
</cp:coreProperties>
</file>